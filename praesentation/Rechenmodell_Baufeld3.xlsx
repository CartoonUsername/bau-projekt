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930</v>
      </c>
      <c r="C8" s="2" t="inlineStr">
        <is>
          <t>EG 340 + 1. OG 340 + Staffelgeschoss 250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6000</v>
      </c>
      <c r="C32" s="2" t="inlineStr"/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250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90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nach Lohn = 0)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2670731</v>
      </c>
      <c r="C5" s="16" t="n">
        <v>10171.81</v>
      </c>
      <c r="D5" s="21" t="n">
        <v>3860.19</v>
      </c>
      <c r="E5" s="16" t="n">
        <v>11964.38</v>
      </c>
      <c r="F5" s="21" t="n">
        <v>2067.62</v>
      </c>
      <c r="G5" s="16" t="n">
        <v>37343.63</v>
      </c>
      <c r="H5" s="16" t="n">
        <v>43220.91</v>
      </c>
    </row>
    <row r="6">
      <c r="A6" s="20" t="n">
        <v>0.05</v>
      </c>
      <c r="B6" s="16" t="n">
        <v>2537194.45</v>
      </c>
      <c r="C6" s="16" t="n">
        <v>9663.219999999999</v>
      </c>
      <c r="D6" s="21" t="n">
        <v>4368.78</v>
      </c>
      <c r="E6" s="16" t="n">
        <v>11366.16</v>
      </c>
      <c r="F6" s="21" t="n">
        <v>2665.84</v>
      </c>
      <c r="G6" s="16" t="n">
        <v>35676.12</v>
      </c>
      <c r="H6" s="16" t="n">
        <v>41259.53</v>
      </c>
    </row>
    <row r="7">
      <c r="A7" s="20" t="n">
        <v>0.1</v>
      </c>
      <c r="B7" s="16" t="n">
        <v>2403657.9</v>
      </c>
      <c r="C7" s="16" t="n">
        <v>9154.629999999999</v>
      </c>
      <c r="D7" s="21" t="n">
        <v>4877.37</v>
      </c>
      <c r="E7" s="16" t="n">
        <v>10767.94</v>
      </c>
      <c r="F7" s="21" t="n">
        <v>3264.06</v>
      </c>
      <c r="G7" s="16" t="n">
        <v>34008.61</v>
      </c>
      <c r="H7" s="16" t="n">
        <v>39298.16</v>
      </c>
    </row>
    <row r="8">
      <c r="A8" s="20" t="n">
        <v>0.15</v>
      </c>
      <c r="B8" s="16" t="n">
        <v>2270121.35</v>
      </c>
      <c r="C8" s="16" t="n">
        <v>8646.040000000001</v>
      </c>
      <c r="D8" s="21" t="n">
        <v>5385.96</v>
      </c>
      <c r="E8" s="16" t="n">
        <v>10169.72</v>
      </c>
      <c r="F8" s="21" t="n">
        <v>3862.28</v>
      </c>
      <c r="G8" s="16" t="n">
        <v>32341.1</v>
      </c>
      <c r="H8" s="16" t="n">
        <v>37336.79</v>
      </c>
    </row>
    <row r="9">
      <c r="A9" s="20" t="n">
        <v>0.2</v>
      </c>
      <c r="B9" s="16" t="n">
        <v>2136584.8</v>
      </c>
      <c r="C9" s="16" t="n">
        <v>8137.44</v>
      </c>
      <c r="D9" s="21" t="n">
        <v>5894.56</v>
      </c>
      <c r="E9" s="16" t="n">
        <v>9571.5</v>
      </c>
      <c r="F9" s="21" t="n">
        <v>4460.5</v>
      </c>
      <c r="G9" s="16" t="n">
        <v>30673.59</v>
      </c>
      <c r="H9" s="16" t="n">
        <v>35375.41</v>
      </c>
    </row>
    <row r="10">
      <c r="A10" s="20" t="n">
        <v>0.25</v>
      </c>
      <c r="B10" s="16" t="n">
        <v>2003048.25</v>
      </c>
      <c r="C10" s="16" t="n">
        <v>7628.85</v>
      </c>
      <c r="D10" s="21" t="n">
        <v>6403.15</v>
      </c>
      <c r="E10" s="16" t="n">
        <v>8973.280000000001</v>
      </c>
      <c r="F10" s="21" t="n">
        <v>5058.72</v>
      </c>
      <c r="G10" s="16" t="n">
        <v>29006.08</v>
      </c>
      <c r="H10" s="16" t="n">
        <v>33414.04</v>
      </c>
    </row>
    <row r="12">
      <c r="A12" s="14" t="inlineStr">
        <is>
          <t>Ergebnis pro Monat nach Lohn,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810.1900000000001</v>
      </c>
      <c r="C14" s="21" t="n">
        <v>2335.19</v>
      </c>
      <c r="D14" s="21" t="n">
        <v>3860.19</v>
      </c>
      <c r="E14" s="21" t="n">
        <v>5385.19</v>
      </c>
      <c r="F14" s="21" t="n">
        <v>6910.19</v>
      </c>
    </row>
    <row r="15">
      <c r="A15" s="20" t="n">
        <v>0.1</v>
      </c>
      <c r="B15" s="21" t="n">
        <v>1827.37</v>
      </c>
      <c r="C15" s="21" t="n">
        <v>3352.37</v>
      </c>
      <c r="D15" s="21" t="n">
        <v>4877.37</v>
      </c>
      <c r="E15" s="21" t="n">
        <v>6402.37</v>
      </c>
      <c r="F15" s="21" t="n">
        <v>7927.37</v>
      </c>
    </row>
    <row r="16">
      <c r="A16" s="20" t="n">
        <v>0.15</v>
      </c>
      <c r="B16" s="21" t="n">
        <v>2335.96</v>
      </c>
      <c r="C16" s="21" t="n">
        <v>3860.96</v>
      </c>
      <c r="D16" s="21" t="n">
        <v>5385.96</v>
      </c>
      <c r="E16" s="21" t="n">
        <v>6910.96</v>
      </c>
      <c r="F16" s="21" t="n">
        <v>8435.959999999999</v>
      </c>
    </row>
    <row r="17">
      <c r="A17" s="20" t="n">
        <v>0.2</v>
      </c>
      <c r="B17" s="21" t="n">
        <v>2844.56</v>
      </c>
      <c r="C17" s="21" t="n">
        <v>4369.56</v>
      </c>
      <c r="D17" s="21" t="n">
        <v>5894.56</v>
      </c>
      <c r="E17" s="21" t="n">
        <v>7419.56</v>
      </c>
      <c r="F17" s="21" t="n">
        <v>8944.559999999999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1" t="inlineStr"/>
      <c r="B4" s="12" t="inlineStr">
        <is>
          <t>A: 1. OG 85 m²</t>
        </is>
      </c>
      <c r="C4" s="12" t="inlineStr">
        <is>
          <t>A: Staffel 56 m²</t>
        </is>
      </c>
      <c r="D4" s="12" t="inlineStr">
        <is>
          <t>A: Gastro (Du)</t>
        </is>
      </c>
      <c r="E4" s="12" t="inlineStr">
        <is>
          <t>B: 1. OG 85 m²</t>
        </is>
      </c>
      <c r="F4" s="12" t="inlineStr">
        <is>
          <t>B: Staffel 56 m²</t>
        </is>
      </c>
      <c r="G4" s="12" t="inlineStr">
        <is>
          <t>B: Gastro + Büro (Du)</t>
        </is>
      </c>
      <c r="H4" s="12" t="inlineStr">
        <is>
          <t>C: Regelgeschoss 85 m²</t>
        </is>
      </c>
      <c r="I4" s="12" t="inlineStr">
        <is>
          <t>C: Staffel 56 m²</t>
        </is>
      </c>
      <c r="J4" s="12" t="inlineStr">
        <is>
          <t>C: Gastro + Büro (Du)</t>
        </is>
      </c>
    </row>
    <row r="5">
      <c r="A5" s="5" t="inlineStr">
        <is>
          <t>Preis (Selbstkosten)</t>
        </is>
      </c>
      <c r="B5" s="16" t="n">
        <v>315524.39</v>
      </c>
      <c r="C5" s="16" t="n">
        <v>209194.89</v>
      </c>
      <c r="D5" s="16" t="n">
        <v>1096573.16</v>
      </c>
      <c r="E5" s="16" t="n">
        <v>297244.42</v>
      </c>
      <c r="F5" s="16" t="n">
        <v>172967.47</v>
      </c>
      <c r="G5" s="16" t="n">
        <v>1601252.16</v>
      </c>
      <c r="H5" s="16" t="n">
        <v>292633.16</v>
      </c>
      <c r="I5" s="16" t="n">
        <v>169931.56</v>
      </c>
      <c r="J5" s="16" t="n">
        <v>1578738.35</v>
      </c>
    </row>
    <row r="6">
      <c r="A6" s="5" t="inlineStr">
        <is>
          <t>Rate pro Monat</t>
        </is>
      </c>
      <c r="B6" s="16" t="n">
        <v>1201.71</v>
      </c>
      <c r="C6" s="16" t="n">
        <v>796.74</v>
      </c>
      <c r="D6" s="16" t="n">
        <v>4176.43</v>
      </c>
      <c r="E6" s="16" t="n">
        <v>1132.09</v>
      </c>
      <c r="F6" s="16" t="n">
        <v>658.77</v>
      </c>
      <c r="G6" s="16" t="n">
        <v>6098.56</v>
      </c>
      <c r="H6" s="16" t="n">
        <v>1114.53</v>
      </c>
      <c r="I6" s="16" t="n">
        <v>647.21</v>
      </c>
      <c r="J6" s="16" t="n">
        <v>6012.82</v>
      </c>
    </row>
    <row r="7">
      <c r="A7" s="5" t="inlineStr">
        <is>
          <t>Einnahme nach Rücklagen / Gastro-Gewinn nach Lohn (+ Büro)</t>
        </is>
      </c>
      <c r="B7" s="16" t="n">
        <v>855</v>
      </c>
      <c r="C7" s="16" t="n">
        <v>855</v>
      </c>
      <c r="D7" s="16" t="n">
        <v>9250</v>
      </c>
      <c r="E7" s="16" t="n">
        <v>855</v>
      </c>
      <c r="F7" s="16" t="n">
        <v>855</v>
      </c>
      <c r="G7" s="16" t="n">
        <v>10600</v>
      </c>
      <c r="H7" s="16" t="n">
        <v>855</v>
      </c>
      <c r="I7" s="16" t="n">
        <v>855</v>
      </c>
      <c r="J7" s="16" t="n">
        <v>10600</v>
      </c>
    </row>
    <row r="8">
      <c r="A8" s="5" t="inlineStr">
        <is>
          <t>Ergebnis pro Monat</t>
        </is>
      </c>
      <c r="B8" s="21" t="n">
        <v>-346.71</v>
      </c>
      <c r="C8" s="21" t="n">
        <v>58.26</v>
      </c>
      <c r="D8" s="21" t="n">
        <v>5073.57</v>
      </c>
      <c r="E8" s="21" t="n">
        <v>-277.09</v>
      </c>
      <c r="F8" s="21" t="n">
        <v>196.23</v>
      </c>
      <c r="G8" s="21" t="n">
        <v>4501.44</v>
      </c>
      <c r="H8" s="21" t="n">
        <v>-259.53</v>
      </c>
      <c r="I8" s="21" t="n">
        <v>207.79</v>
      </c>
      <c r="J8" s="21" t="n">
        <v>4587.18</v>
      </c>
    </row>
    <row r="9">
      <c r="A9" s="5" t="inlineStr">
        <is>
          <t>Preis für Ergebnis 0 €</t>
        </is>
      </c>
      <c r="B9" s="16" t="n">
        <v>211211.47</v>
      </c>
      <c r="C9" s="16" t="n">
        <v>211211.47</v>
      </c>
      <c r="E9" s="16" t="n">
        <v>211211.47</v>
      </c>
      <c r="F9" s="16" t="n">
        <v>211211.47</v>
      </c>
      <c r="H9" s="16" t="n">
        <v>211211.47</v>
      </c>
      <c r="I9" s="16" t="n">
        <v>211211.47</v>
      </c>
    </row>
    <row r="10">
      <c r="A10" s="5" t="inlineStr">
        <is>
          <t>Lücke zum Selbstkostenpreis</t>
        </is>
      </c>
      <c r="B10" s="16" t="n">
        <v>104312.92</v>
      </c>
      <c r="C10" s="16" t="n">
        <v>0</v>
      </c>
      <c r="E10" s="16" t="n">
        <v>86032.95</v>
      </c>
      <c r="F10" s="16" t="n">
        <v>0</v>
      </c>
      <c r="H10" s="16" t="n">
        <v>81421.69</v>
      </c>
      <c r="I10" s="16" t="n">
        <v>0</v>
      </c>
    </row>
    <row r="13">
      <c r="A13" s="14" t="inlineStr">
        <is>
          <t>Haus als Ganzes mit einem Kredit</t>
        </is>
      </c>
    </row>
    <row r="14">
      <c r="A14" s="11" t="inlineStr"/>
      <c r="B14" s="12" t="inlineStr">
        <is>
          <t>A: 340 m²</t>
        </is>
      </c>
      <c r="C14" s="12" t="inlineStr">
        <is>
          <t>B: 540 m²</t>
        </is>
      </c>
      <c r="D14" s="12" t="inlineStr">
        <is>
          <t>C: 540 m², 3 Vollgeschosse + Holz-Penthouse</t>
        </is>
      </c>
    </row>
    <row r="15">
      <c r="A15" s="5" t="inlineStr">
        <is>
          <t>Gesamtkosten</t>
        </is>
      </c>
      <c r="B15" s="16" t="n">
        <v>2670731</v>
      </c>
      <c r="C15" s="16" t="n">
        <v>4050156</v>
      </c>
      <c r="D15" s="16" t="n">
        <v>5416356</v>
      </c>
    </row>
    <row r="16">
      <c r="A16" s="5" t="inlineStr">
        <is>
          <t>Rate pro Monat</t>
        </is>
      </c>
      <c r="B16" s="16" t="n">
        <v>10171.81</v>
      </c>
      <c r="C16" s="16" t="n">
        <v>15418.75</v>
      </c>
      <c r="D16" s="16" t="n">
        <v>20615.4</v>
      </c>
    </row>
    <row r="17">
      <c r="A17" s="5" t="inlineStr">
        <is>
          <t>Ergebnis pro Monat bei 50.000 € Umsatz</t>
        </is>
      </c>
      <c r="B17" s="21" t="n">
        <v>3860.19</v>
      </c>
      <c r="C17" s="21" t="n">
        <v>2256.66</v>
      </c>
      <c r="D17" s="21" t="n">
        <v>1234.43</v>
      </c>
    </row>
    <row r="18">
      <c r="A18" s="5" t="inlineStr">
        <is>
          <t>Break-even Gastro-Umsatz</t>
        </is>
      </c>
      <c r="B18" s="16" t="n">
        <v>37343.63</v>
      </c>
      <c r="C18" s="16" t="n">
        <v>42601.12</v>
      </c>
      <c r="D18" s="16" t="n">
        <v>45952.7</v>
      </c>
    </row>
    <row r="20">
      <c r="A20" s="2" t="inlineStr">
        <is>
          <t>B: EG 540 m² (Gastro 290 + Büro 150), 1. OG 540 m², Staffel 420 m² mit 120 m² Terrasse. C: zusätzlich 2. OG 540 m², Höhe ca. 13 m. Nur mit Ausnahme der Stadt (Baufenster, II Vollgeschosse, 12 m).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930</v>
      </c>
      <c r="C6" s="23" t="n">
        <v>1270</v>
      </c>
    </row>
    <row r="7">
      <c r="A7" t="inlineStr">
        <is>
          <t>Gesamtkosten</t>
        </is>
      </c>
      <c r="B7" s="16" t="n">
        <v>2670731</v>
      </c>
      <c r="C7" s="16" t="n">
        <v>3530931</v>
      </c>
    </row>
    <row r="8">
      <c r="A8" t="inlineStr">
        <is>
          <t>Rate (Plan)</t>
        </is>
      </c>
      <c r="B8" s="16" t="n">
        <v>10171.81</v>
      </c>
      <c r="C8" s="16" t="n">
        <v>13443.77</v>
      </c>
    </row>
    <row r="9">
      <c r="A9" t="inlineStr">
        <is>
          <t>Ergebnis pro Monat ohne Förderung</t>
        </is>
      </c>
      <c r="B9" s="21" t="n">
        <v>3860.19</v>
      </c>
      <c r="C9" s="21" t="n">
        <v>3153.23</v>
      </c>
    </row>
    <row r="10">
      <c r="A10" t="inlineStr">
        <is>
          <t>Ergebnis pro Monat mit 15 % Förderung</t>
        </is>
      </c>
      <c r="B10" s="21" t="n">
        <v>5385.96</v>
      </c>
      <c r="C10" s="21" t="n">
        <v>5169.8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Nicht enthalten: Hausverwaltung, Versicherung, Grundsteuer (ca. 300–500 € im Monat).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250 m², Holzbau,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2026-10-15T11:49:26Z</dcterms:created>
  <dcterms:modified xmlns:dcterms="http://purl.org/dc/terms/" xmlns:xsi="http://www.w3.org/2001/XMLSchema-instance" xsi:type="dcterms:W3CDTF">2026-10-15T11:49:26Z</dcterms:modified>
</cp:coreProperties>
</file>