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nnahmen" sheetId="1" state="visible" r:id="rId3"/>
    <sheet name="Kosten" sheetId="2" state="visible" r:id="rId4"/>
    <sheet name="Kredit" sheetId="3" state="visible" r:id="rId5"/>
    <sheet name="Cashflow" sheetId="4" state="visible" r:id="rId6"/>
    <sheet name="Szenarien" sheetId="5" state="visible" r:id="rId7"/>
    <sheet name="Variante 4 Ebenen" sheetId="6" state="visible" r:id="rId8"/>
    <sheet name="Hinweis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<sst xmlns="http://schemas.openxmlformats.org/spreadsheetml/2006/main" count="141" uniqueCount="130">
  <si>
    <t xml:space="preserve">Annahmen</t>
  </si>
  <si>
    <t xml:space="preserve">Blaue Zellen sind Eingaben. Alle anderen Blätter rechnen daraus.</t>
  </si>
  <si>
    <t xml:space="preserve">Grundstück und Bau</t>
  </si>
  <si>
    <t xml:space="preserve">Grundstück (m²)</t>
  </si>
  <si>
    <t xml:space="preserve">Baufeld 3, ca. 960 m²</t>
  </si>
  <si>
    <t xml:space="preserve">Preis je m² (€)</t>
  </si>
  <si>
    <t xml:space="preserve">Grunderwerbsteuer</t>
  </si>
  <si>
    <t xml:space="preserve">Steuer beim Grundstückskauf</t>
  </si>
  <si>
    <t xml:space="preserve">Notar und Grundbuch</t>
  </si>
  <si>
    <t xml:space="preserve">Annahme</t>
  </si>
  <si>
    <t xml:space="preserve">Bruttogrundfläche BGF (m²)</t>
  </si>
  <si>
    <t xml:space="preserve">EG 340 + 1. OG 340 + Staffelgeschoss 280</t>
  </si>
  <si>
    <t xml:space="preserve">Baukosten je m² BGF (€)</t>
  </si>
  <si>
    <t xml:space="preserve">Annahme, mit Architekt prüfen</t>
  </si>
  <si>
    <t xml:space="preserve">Baunebenkosten</t>
  </si>
  <si>
    <t xml:space="preserve">Architekt, Statik, Gebühren</t>
  </si>
  <si>
    <t xml:space="preserve">Gastro-Ausbau (€)</t>
  </si>
  <si>
    <t xml:space="preserve">Küche, Bar, Möbel, Technik, Planung, Puffer</t>
  </si>
  <si>
    <t xml:space="preserve">Förderung (Zuschuss in % der Kosten)</t>
  </si>
  <si>
    <t xml:space="preserve">Annahme, mit der Stadt klären (0 bis 25 %)</t>
  </si>
  <si>
    <t xml:space="preserve">Finanzierung</t>
  </si>
  <si>
    <t xml:space="preserve">Zins Plan</t>
  </si>
  <si>
    <t xml:space="preserve">Mischzins aus Förderkrediten (Annahme)</t>
  </si>
  <si>
    <t xml:space="preserve">Zins Ausgang</t>
  </si>
  <si>
    <t xml:space="preserve">10 Jahre fest, Stand 17.09.2026</t>
  </si>
  <si>
    <t xml:space="preserve">Zins für diese Rechnung</t>
  </si>
  <si>
    <t xml:space="preserve">Auf =B16 stellen für den Ausgangszins</t>
  </si>
  <si>
    <t xml:space="preserve">Tilgung</t>
  </si>
  <si>
    <t xml:space="preserve">Rückzahlung der Schuld, 0 % = nur Zinsen</t>
  </si>
  <si>
    <t xml:space="preserve">Bauzeit (Monate)</t>
  </si>
  <si>
    <t xml:space="preserve">Plan im Blatt Kredit ist auf 15 Monate ausgelegt</t>
  </si>
  <si>
    <t xml:space="preserve">Bereitstellungszins p. a.</t>
  </si>
  <si>
    <t xml:space="preserve">Gebühr auf zugesagtes, noch nicht abgerufenes Geld</t>
  </si>
  <si>
    <t xml:space="preserve">Bereitstellungszins ab Monat</t>
  </si>
  <si>
    <t xml:space="preserve">Raten-Aufschub (Monate)</t>
  </si>
  <si>
    <t xml:space="preserve">Plan im Blatt Kredit ist auf 12 Monate ausgelegt</t>
  </si>
  <si>
    <t xml:space="preserve">Einnahmen und Gastro</t>
  </si>
  <si>
    <t xml:space="preserve">Anzahl Wohnungen</t>
  </si>
  <si>
    <t xml:space="preserve">3 im 1. OG, 3 im Staffelgeschoss</t>
  </si>
  <si>
    <t xml:space="preserve">Kaltmiete je Wohnung (€)</t>
  </si>
  <si>
    <t xml:space="preserve">Annahme des Bauherrn, Markt ca. 11 €/m²</t>
  </si>
  <si>
    <t xml:space="preserve">Gastrofläche (m²)</t>
  </si>
  <si>
    <t xml:space="preserve">Pacht je m² (€)</t>
  </si>
  <si>
    <t xml:space="preserve">Gastro zahlt an das Haus</t>
  </si>
  <si>
    <t xml:space="preserve">Rücklagen</t>
  </si>
  <si>
    <t xml:space="preserve">Reparaturen, Leerstand, in % von Miete und Pacht</t>
  </si>
  <si>
    <t xml:space="preserve">Gastro-Umsatz pro Monat (€)</t>
  </si>
  <si>
    <t xml:space="preserve">netto</t>
  </si>
  <si>
    <t xml:space="preserve">Gastro-Marge vor Pacht</t>
  </si>
  <si>
    <t xml:space="preserve">Branchen-Richtwert</t>
  </si>
  <si>
    <t xml:space="preserve">Dein Lohn pro Monat (€)</t>
  </si>
  <si>
    <t xml:space="preserve">Kosten bis zum fertigen Haus</t>
  </si>
  <si>
    <t xml:space="preserve">Posten</t>
  </si>
  <si>
    <t xml:space="preserve">Betrag</t>
  </si>
  <si>
    <t xml:space="preserve">Rechnung</t>
  </si>
  <si>
    <t xml:space="preserve">Grundstück</t>
  </si>
  <si>
    <t xml:space="preserve">m² × Preis</t>
  </si>
  <si>
    <t xml:space="preserve">Grundstück gesamt</t>
  </si>
  <si>
    <t xml:space="preserve">Bau</t>
  </si>
  <si>
    <t xml:space="preserve">BGF × Baukosten je m²</t>
  </si>
  <si>
    <t xml:space="preserve">Bau gesamt</t>
  </si>
  <si>
    <t xml:space="preserve">Gastro-Ausbau</t>
  </si>
  <si>
    <t xml:space="preserve">Gesamtkosten</t>
  </si>
  <si>
    <t xml:space="preserve">Förderung (Zuschuss)</t>
  </si>
  <si>
    <t xml:space="preserve">Kosten nach Förderung</t>
  </si>
  <si>
    <t xml:space="preserve">Kosten je m² BGF</t>
  </si>
  <si>
    <t xml:space="preserve">Grundstück nach Förderung (für den Kredit)</t>
  </si>
  <si>
    <t xml:space="preserve">Bau und Gastro nach Förderung (für den Kredit)</t>
  </si>
  <si>
    <t xml:space="preserve">Kredit: Bauzeit, Aufschub und Rate</t>
  </si>
  <si>
    <t xml:space="preserve">Zinsen und Bereitstellungszinsen werden dem Kredit zugeschlagen (kein Eigenkapital).</t>
  </si>
  <si>
    <t xml:space="preserve">Monat</t>
  </si>
  <si>
    <t xml:space="preserve">Auszahlung</t>
  </si>
  <si>
    <t xml:space="preserve">Zinsen</t>
  </si>
  <si>
    <t xml:space="preserve">Bereitstellung</t>
  </si>
  <si>
    <t xml:space="preserve">Noch nicht abgerufen</t>
  </si>
  <si>
    <t xml:space="preserve">Kredit am Monatsende</t>
  </si>
  <si>
    <t xml:space="preserve">Ergebnis</t>
  </si>
  <si>
    <t xml:space="preserve">Zinsen in der Bauzeit</t>
  </si>
  <si>
    <t xml:space="preserve">Bereitstellungszinsen</t>
  </si>
  <si>
    <t xml:space="preserve">Zinsen im Aufschub-Jahr</t>
  </si>
  <si>
    <t xml:space="preserve">Kredit bei Start der Rate</t>
  </si>
  <si>
    <t xml:space="preserve">Rate pro Monat</t>
  </si>
  <si>
    <t xml:space="preserve">   davon Zinsen</t>
  </si>
  <si>
    <t xml:space="preserve">   davon Tilgung</t>
  </si>
  <si>
    <t xml:space="preserve">Raten-Aufschub: nur Zinsen laufen auf</t>
  </si>
  <si>
    <t xml:space="preserve">Was pro Monat übrig bleibt</t>
  </si>
  <si>
    <t xml:space="preserve">Mit den Annahmen aus dem Blatt Annahmen (Zins, Förderung, Umsatz).</t>
  </si>
  <si>
    <t xml:space="preserve">pro Monat</t>
  </si>
  <si>
    <t xml:space="preserve">Wohnungen (Kaltmiete)</t>
  </si>
  <si>
    <t xml:space="preserve">Gastro-Pacht</t>
  </si>
  <si>
    <t xml:space="preserve">Miete und Pacht gesamt</t>
  </si>
  <si>
    <t xml:space="preserve">Gastro-Gewinn nach Pacht</t>
  </si>
  <si>
    <t xml:space="preserve">Rate (Zinsen und Tilgung)</t>
  </si>
  <si>
    <t xml:space="preserve">Dein Lohn</t>
  </si>
  <si>
    <t xml:space="preserve">Ergebnis pro Monat</t>
  </si>
  <si>
    <t xml:space="preserve">Ergebnis pro Jahr</t>
  </si>
  <si>
    <t xml:space="preserve">Break-even Gastro-Umsatz (Ergebnis nach Lohn = 0)</t>
  </si>
  <si>
    <t xml:space="preserve">Die Tilgung in der Rate ist Vermögensaufbau (die Schuld sinkt), kein Verlust.</t>
  </si>
  <si>
    <t xml:space="preserve">Szenarien (Werte aus dem Rechenmodell, Stand Oktober 2026)</t>
  </si>
  <si>
    <t xml:space="preserve">Gastro-Umsatz 50.000 €, Mieten 6 × 950 €. Ändern sich die Annahmen, bitte neu erzeugen.</t>
  </si>
  <si>
    <t xml:space="preserve">Förderung</t>
  </si>
  <si>
    <t xml:space="preserve">Rate Plan 3,3 %</t>
  </si>
  <si>
    <t xml:space="preserve">Ergebnis Plan</t>
  </si>
  <si>
    <t xml:space="preserve">Rate Ausgang 4,0 %</t>
  </si>
  <si>
    <t xml:space="preserve">Ergebnis Ausgang</t>
  </si>
  <si>
    <t xml:space="preserve">Break-even Umsatz Plan</t>
  </si>
  <si>
    <t xml:space="preserve">Break-even Umsatz Ausgang</t>
  </si>
  <si>
    <t xml:space="preserve">Ergebnis pro Monat nach Lohn, Plan 3,3 %, je Gastro-Umsatz</t>
  </si>
  <si>
    <t xml:space="preserve">40.000 €</t>
  </si>
  <si>
    <t xml:space="preserve">45.000 €</t>
  </si>
  <si>
    <t xml:space="preserve">50.000 €</t>
  </si>
  <si>
    <t xml:space="preserve">55.000 €</t>
  </si>
  <si>
    <t xml:space="preserve">60.000 €</t>
  </si>
  <si>
    <t xml:space="preserve">Variante: Mittelgeschoss doppelt (4 Ebenen)</t>
  </si>
  <si>
    <t xml:space="preserve">Nur als Gedankenspiel: Höhe ca. 13 m, der B-Plan erlaubt 12 m.</t>
  </si>
  <si>
    <t xml:space="preserve">3 Ebenen</t>
  </si>
  <si>
    <t xml:space="preserve">4 Ebenen</t>
  </si>
  <si>
    <t xml:space="preserve">Wohnungen</t>
  </si>
  <si>
    <t xml:space="preserve">BGF (m²)</t>
  </si>
  <si>
    <t xml:space="preserve">Rate (Plan)</t>
  </si>
  <si>
    <t xml:space="preserve">Ergebnis pro Monat ohne Förderung</t>
  </si>
  <si>
    <t xml:space="preserve">Ergebnis pro Monat mit 15 % Förderung</t>
  </si>
  <si>
    <t xml:space="preserve">Hinweise und offene Punkte</t>
  </si>
  <si>
    <t xml:space="preserve">• Alle Zahlen sind Planungsannahmen, keine Zusagen von Bank oder Stadt.</t>
  </si>
  <si>
    <t xml:space="preserve">• Nicht enthalten: Hausverwaltung, Versicherung, Grundsteuer (ca. 300–500 € im Monat).</t>
  </si>
  <si>
    <t xml:space="preserve">• Miete 950 € je Wohnung liegt über den Portalwerten für Neubau in Werlte (ca. 10,70–11,02 €/m²).</t>
  </si>
  <si>
    <t xml:space="preserve">• Förderung ist als Zuschuss in Prozent der Gesamtkosten angesetzt, Höhe und Zweck sind offen.</t>
  </si>
  <si>
    <t xml:space="preserve">• Gastro-Marge (30,5 % vor Pacht) und Kostenstruktur sind Branchen-Richtwerte, nicht aus Werlte.</t>
  </si>
  <si>
    <t xml:space="preserve">• Staffelgeschoss (ca. 280 m²) und Gesamthöhe ca. 9,90 m müssen mit der Stadt abgestimmt werden.</t>
  </si>
  <si>
    <t xml:space="preserve">• Zinsbindung 10 Jahre, der Folgezins ist offen.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</si>
</sst>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&quot; €&quot;;[RED]\-#,##0&quot; €&quot;"/>
    <numFmt numFmtId="167" formatCode="0.0%"/>
    <numFmt numFmtId="168" formatCode="0"/>
    <numFmt numFmtId="169" formatCode="\+#,##0&quot; €&quot;;[RED]\-#,##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8C3B32"/>
      <name val="Cambria"/>
      <family val="0"/>
      <charset val="1"/>
    </font>
    <font>
      <i val="true"/>
      <sz val="10"/>
      <color rgb="FF5B677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1F0EE"/>
        <bgColor rgb="FFFFFFFF"/>
      </patternFill>
    </fill>
    <fill>
      <patternFill patternType="solid">
        <fgColor rgb="FF2F4A3E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770"/>
      <rgbColor rgb="FF969696"/>
      <rgbColor rgb="FF003366"/>
      <rgbColor rgb="FF339966"/>
      <rgbColor rgb="FF003300"/>
      <rgbColor rgb="FF333300"/>
      <rgbColor rgb="FF8C3B32"/>
      <rgbColor rgb="FF993366"/>
      <rgbColor rgb="FF333399"/>
      <rgbColor rgb="FF2F4A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/>
      <c r="C3" s="4"/>
    </row>
    <row r="4" customFormat="false" ht="15" hidden="false" customHeight="false" outlineLevel="0" collapsed="false">
      <c r="A4" s="5" t="s">
        <v>3</v>
      </c>
      <c r="B4" s="6" t="n">
        <v>960</v>
      </c>
      <c r="C4" s="2" t="s">
        <v>4</v>
      </c>
    </row>
    <row r="5" customFormat="false" ht="15" hidden="false" customHeight="false" outlineLevel="0" collapsed="false">
      <c r="A5" s="5" t="s">
        <v>5</v>
      </c>
      <c r="B5" s="7" t="n">
        <v>230</v>
      </c>
      <c r="C5" s="2"/>
    </row>
    <row r="6" customFormat="false" ht="15" hidden="false" customHeight="false" outlineLevel="0" collapsed="false">
      <c r="A6" s="5" t="s">
        <v>6</v>
      </c>
      <c r="B6" s="8" t="n">
        <v>0.05</v>
      </c>
      <c r="C6" s="2" t="s">
        <v>7</v>
      </c>
    </row>
    <row r="7" customFormat="false" ht="15" hidden="false" customHeight="false" outlineLevel="0" collapsed="false">
      <c r="A7" s="5" t="s">
        <v>8</v>
      </c>
      <c r="B7" s="8" t="n">
        <v>0.02</v>
      </c>
      <c r="C7" s="2" t="s">
        <v>9</v>
      </c>
    </row>
    <row r="8" customFormat="false" ht="15" hidden="false" customHeight="false" outlineLevel="0" collapsed="false">
      <c r="A8" s="5" t="s">
        <v>10</v>
      </c>
      <c r="B8" s="6" t="n">
        <v>960</v>
      </c>
      <c r="C8" s="2" t="s">
        <v>11</v>
      </c>
    </row>
    <row r="9" customFormat="false" ht="15" hidden="false" customHeight="false" outlineLevel="0" collapsed="false">
      <c r="A9" s="5" t="s">
        <v>12</v>
      </c>
      <c r="B9" s="7" t="n">
        <v>2700</v>
      </c>
      <c r="C9" s="2" t="s">
        <v>13</v>
      </c>
    </row>
    <row r="10" customFormat="false" ht="15" hidden="false" customHeight="false" outlineLevel="0" collapsed="false">
      <c r="A10" s="5" t="s">
        <v>14</v>
      </c>
      <c r="B10" s="8" t="n">
        <v>0.15</v>
      </c>
      <c r="C10" s="2" t="s">
        <v>15</v>
      </c>
    </row>
    <row r="11" customFormat="false" ht="15" hidden="false" customHeight="false" outlineLevel="0" collapsed="false">
      <c r="A11" s="5" t="s">
        <v>16</v>
      </c>
      <c r="B11" s="7" t="n">
        <v>310000</v>
      </c>
      <c r="C11" s="2" t="s">
        <v>17</v>
      </c>
    </row>
    <row r="12" customFormat="false" ht="15" hidden="false" customHeight="false" outlineLevel="0" collapsed="false">
      <c r="A12" s="5" t="s">
        <v>18</v>
      </c>
      <c r="B12" s="8" t="n">
        <v>0</v>
      </c>
      <c r="C12" s="2" t="s">
        <v>19</v>
      </c>
    </row>
    <row r="14" customFormat="false" ht="15" hidden="false" customHeight="false" outlineLevel="0" collapsed="false">
      <c r="A14" s="3" t="s">
        <v>20</v>
      </c>
      <c r="B14" s="4"/>
      <c r="C14" s="4"/>
    </row>
    <row r="15" customFormat="false" ht="15" hidden="false" customHeight="false" outlineLevel="0" collapsed="false">
      <c r="A15" s="5" t="s">
        <v>21</v>
      </c>
      <c r="B15" s="8" t="n">
        <v>0.033</v>
      </c>
      <c r="C15" s="2" t="s">
        <v>22</v>
      </c>
    </row>
    <row r="16" customFormat="false" ht="15" hidden="false" customHeight="false" outlineLevel="0" collapsed="false">
      <c r="A16" s="5" t="s">
        <v>23</v>
      </c>
      <c r="B16" s="8" t="n">
        <v>0.04</v>
      </c>
      <c r="C16" s="2" t="s">
        <v>24</v>
      </c>
    </row>
    <row r="17" customFormat="false" ht="15" hidden="false" customHeight="false" outlineLevel="0" collapsed="false">
      <c r="A17" s="5" t="s">
        <v>25</v>
      </c>
      <c r="B17" s="9" t="n">
        <f aca="false">B15</f>
        <v>0.033</v>
      </c>
      <c r="C17" s="2" t="s">
        <v>26</v>
      </c>
    </row>
    <row r="18" customFormat="false" ht="15" hidden="false" customHeight="false" outlineLevel="0" collapsed="false">
      <c r="A18" s="5" t="s">
        <v>27</v>
      </c>
      <c r="B18" s="8" t="n">
        <v>0.01</v>
      </c>
      <c r="C18" s="2" t="s">
        <v>28</v>
      </c>
    </row>
    <row r="19" customFormat="false" ht="15" hidden="false" customHeight="false" outlineLevel="0" collapsed="false">
      <c r="A19" s="5" t="s">
        <v>29</v>
      </c>
      <c r="B19" s="10" t="n">
        <v>15</v>
      </c>
      <c r="C19" s="2" t="s">
        <v>30</v>
      </c>
    </row>
    <row r="20" customFormat="false" ht="15" hidden="false" customHeight="false" outlineLevel="0" collapsed="false">
      <c r="A20" s="5" t="s">
        <v>31</v>
      </c>
      <c r="B20" s="8" t="n">
        <v>0.03</v>
      </c>
      <c r="C20" s="2" t="s">
        <v>32</v>
      </c>
    </row>
    <row r="21" customFormat="false" ht="15" hidden="false" customHeight="false" outlineLevel="0" collapsed="false">
      <c r="A21" s="5" t="s">
        <v>33</v>
      </c>
      <c r="B21" s="10" t="n">
        <v>7</v>
      </c>
      <c r="C21" s="2"/>
    </row>
    <row r="22" customFormat="false" ht="15" hidden="false" customHeight="false" outlineLevel="0" collapsed="false">
      <c r="A22" s="5" t="s">
        <v>34</v>
      </c>
      <c r="B22" s="10" t="n">
        <v>12</v>
      </c>
      <c r="C22" s="2" t="s">
        <v>35</v>
      </c>
    </row>
    <row r="24" customFormat="false" ht="15" hidden="false" customHeight="false" outlineLevel="0" collapsed="false">
      <c r="A24" s="3" t="s">
        <v>36</v>
      </c>
      <c r="B24" s="4"/>
      <c r="C24" s="4"/>
    </row>
    <row r="25" customFormat="false" ht="15" hidden="false" customHeight="false" outlineLevel="0" collapsed="false">
      <c r="A25" s="5" t="s">
        <v>37</v>
      </c>
      <c r="B25" s="10" t="n">
        <v>6</v>
      </c>
      <c r="C25" s="2" t="s">
        <v>38</v>
      </c>
    </row>
    <row r="26" customFormat="false" ht="15" hidden="false" customHeight="false" outlineLevel="0" collapsed="false">
      <c r="A26" s="5" t="s">
        <v>39</v>
      </c>
      <c r="B26" s="7" t="n">
        <v>950</v>
      </c>
      <c r="C26" s="2" t="s">
        <v>40</v>
      </c>
    </row>
    <row r="27" customFormat="false" ht="15" hidden="false" customHeight="false" outlineLevel="0" collapsed="false">
      <c r="A27" s="5" t="s">
        <v>41</v>
      </c>
      <c r="B27" s="6" t="n">
        <v>290</v>
      </c>
      <c r="C27" s="2"/>
    </row>
    <row r="28" customFormat="false" ht="15" hidden="false" customHeight="false" outlineLevel="0" collapsed="false">
      <c r="A28" s="5" t="s">
        <v>42</v>
      </c>
      <c r="B28" s="7" t="n">
        <v>12</v>
      </c>
      <c r="C28" s="2" t="s">
        <v>43</v>
      </c>
    </row>
    <row r="29" customFormat="false" ht="15" hidden="false" customHeight="false" outlineLevel="0" collapsed="false">
      <c r="A29" s="5" t="s">
        <v>44</v>
      </c>
      <c r="B29" s="8" t="n">
        <v>0.1</v>
      </c>
      <c r="C29" s="2" t="s">
        <v>45</v>
      </c>
    </row>
    <row r="30" customFormat="false" ht="15" hidden="false" customHeight="false" outlineLevel="0" collapsed="false">
      <c r="A30" s="5" t="s">
        <v>46</v>
      </c>
      <c r="B30" s="7" t="n">
        <v>50000</v>
      </c>
      <c r="C30" s="2" t="s">
        <v>47</v>
      </c>
    </row>
    <row r="31" customFormat="false" ht="15" hidden="false" customHeight="false" outlineLevel="0" collapsed="false">
      <c r="A31" s="5" t="s">
        <v>48</v>
      </c>
      <c r="B31" s="8" t="n">
        <v>0.305</v>
      </c>
      <c r="C31" s="2" t="s">
        <v>49</v>
      </c>
    </row>
    <row r="32" customFormat="false" ht="15" hidden="false" customHeight="false" outlineLevel="0" collapsed="false">
      <c r="A32" s="5" t="s">
        <v>50</v>
      </c>
      <c r="B32" s="7" t="n">
        <v>6000</v>
      </c>
      <c r="C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30"/>
  </cols>
  <sheetData>
    <row r="1" customFormat="false" ht="19.7" hidden="false" customHeight="false" outlineLevel="0" collapsed="false">
      <c r="A1" s="1" t="s">
        <v>51</v>
      </c>
    </row>
    <row r="3" customFormat="false" ht="15" hidden="false" customHeight="false" outlineLevel="0" collapsed="false">
      <c r="A3" s="11" t="s">
        <v>52</v>
      </c>
      <c r="B3" s="12" t="s">
        <v>53</v>
      </c>
      <c r="C3" s="12" t="s">
        <v>54</v>
      </c>
    </row>
    <row r="4" customFormat="false" ht="15" hidden="false" customHeight="false" outlineLevel="0" collapsed="false">
      <c r="A4" s="5" t="s">
        <v>55</v>
      </c>
      <c r="B4" s="13" t="n">
        <f aca="false">Annahmen!B4*Annahmen!B5</f>
        <v>220800</v>
      </c>
      <c r="C4" s="2" t="s">
        <v>56</v>
      </c>
    </row>
    <row r="5" customFormat="false" ht="15" hidden="false" customHeight="false" outlineLevel="0" collapsed="false">
      <c r="A5" s="5" t="s">
        <v>6</v>
      </c>
      <c r="B5" s="13" t="n">
        <f aca="false">B4*Annahmen!B6</f>
        <v>11040</v>
      </c>
      <c r="C5" s="2"/>
    </row>
    <row r="6" customFormat="false" ht="15" hidden="false" customHeight="false" outlineLevel="0" collapsed="false">
      <c r="A6" s="5" t="s">
        <v>8</v>
      </c>
      <c r="B6" s="13" t="n">
        <f aca="false">B4*Annahmen!B7</f>
        <v>4416</v>
      </c>
      <c r="C6" s="2"/>
    </row>
    <row r="7" customFormat="false" ht="15" hidden="false" customHeight="false" outlineLevel="0" collapsed="false">
      <c r="A7" s="5" t="s">
        <v>57</v>
      </c>
      <c r="B7" s="13" t="n">
        <f aca="false">SUM(B4:B6)</f>
        <v>236256</v>
      </c>
      <c r="C7" s="2"/>
    </row>
    <row r="8" customFormat="false" ht="15" hidden="false" customHeight="false" outlineLevel="0" collapsed="false">
      <c r="A8" s="5" t="s">
        <v>58</v>
      </c>
      <c r="B8" s="13" t="n">
        <f aca="false">Annahmen!B8*Annahmen!B9</f>
        <v>2592000</v>
      </c>
      <c r="C8" s="2" t="s">
        <v>59</v>
      </c>
    </row>
    <row r="9" customFormat="false" ht="15" hidden="false" customHeight="false" outlineLevel="0" collapsed="false">
      <c r="A9" s="5" t="s">
        <v>14</v>
      </c>
      <c r="B9" s="13" t="n">
        <f aca="false">B8*Annahmen!B10</f>
        <v>388800</v>
      </c>
      <c r="C9" s="2"/>
    </row>
    <row r="10" customFormat="false" ht="15" hidden="false" customHeight="false" outlineLevel="0" collapsed="false">
      <c r="A10" s="5" t="s">
        <v>60</v>
      </c>
      <c r="B10" s="13" t="n">
        <f aca="false">B8+B9</f>
        <v>2980800</v>
      </c>
      <c r="C10" s="2"/>
    </row>
    <row r="11" customFormat="false" ht="15" hidden="false" customHeight="false" outlineLevel="0" collapsed="false">
      <c r="A11" s="5" t="s">
        <v>61</v>
      </c>
      <c r="B11" s="13" t="n">
        <f aca="false">Annahmen!B11</f>
        <v>310000</v>
      </c>
      <c r="C11" s="2"/>
    </row>
    <row r="12" customFormat="false" ht="15" hidden="false" customHeight="false" outlineLevel="0" collapsed="false">
      <c r="A12" s="14" t="s">
        <v>62</v>
      </c>
      <c r="B12" s="15" t="n">
        <f aca="false">B7+B10+B11</f>
        <v>3527056</v>
      </c>
      <c r="C12" s="2"/>
    </row>
    <row r="13" customFormat="false" ht="15" hidden="false" customHeight="false" outlineLevel="0" collapsed="false">
      <c r="A13" s="5" t="s">
        <v>63</v>
      </c>
      <c r="B13" s="13" t="n">
        <f aca="false">-B12*Annahmen!B12</f>
        <v>-0</v>
      </c>
      <c r="C13" s="2"/>
    </row>
    <row r="14" customFormat="false" ht="15" hidden="false" customHeight="false" outlineLevel="0" collapsed="false">
      <c r="A14" s="14" t="s">
        <v>64</v>
      </c>
      <c r="B14" s="15" t="n">
        <f aca="false">B12+B13</f>
        <v>3527056</v>
      </c>
      <c r="C14" s="2"/>
    </row>
    <row r="15" customFormat="false" ht="15" hidden="false" customHeight="false" outlineLevel="0" collapsed="false">
      <c r="A15" s="5" t="s">
        <v>65</v>
      </c>
      <c r="B15" s="13" t="n">
        <f aca="false">B14/Annahmen!B8</f>
        <v>3674.01666666667</v>
      </c>
      <c r="C15" s="2"/>
    </row>
    <row r="17" customFormat="false" ht="15" hidden="false" customHeight="false" outlineLevel="0" collapsed="false">
      <c r="A17" s="5" t="s">
        <v>66</v>
      </c>
      <c r="B17" s="13" t="n">
        <f aca="false">B7*(1-Annahmen!B12)</f>
        <v>236256</v>
      </c>
      <c r="C17" s="2"/>
    </row>
    <row r="18" customFormat="false" ht="15" hidden="false" customHeight="false" outlineLevel="0" collapsed="false">
      <c r="A18" s="5" t="s">
        <v>67</v>
      </c>
      <c r="B18" s="13" t="n">
        <f aca="false">(B10+B11)*(1-Annahmen!B12)</f>
        <v>3290800</v>
      </c>
      <c r="C1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20"/>
    <col collapsed="false" customWidth="true" hidden="false" outlineLevel="0" max="7" min="7" style="0" width="4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19.7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4" customFormat="false" ht="15" hidden="false" customHeight="false" outlineLevel="0" collapsed="false">
      <c r="A4" s="11" t="s">
        <v>70</v>
      </c>
      <c r="B4" s="12" t="s">
        <v>71</v>
      </c>
      <c r="C4" s="12" t="s">
        <v>72</v>
      </c>
      <c r="D4" s="12" t="s">
        <v>73</v>
      </c>
      <c r="E4" s="12" t="s">
        <v>74</v>
      </c>
      <c r="F4" s="12" t="s">
        <v>75</v>
      </c>
      <c r="H4" s="14" t="s">
        <v>76</v>
      </c>
    </row>
    <row r="5" customFormat="false" ht="15" hidden="false" customHeight="false" outlineLevel="0" collapsed="false">
      <c r="A5" s="0" t="n">
        <v>0</v>
      </c>
      <c r="B5" s="16" t="n">
        <f aca="false">Kosten!B17</f>
        <v>236256</v>
      </c>
      <c r="C5" s="16" t="n">
        <v>0</v>
      </c>
      <c r="D5" s="16" t="n">
        <v>0</v>
      </c>
      <c r="E5" s="16" t="n">
        <f aca="false">Kosten!B18</f>
        <v>3290800</v>
      </c>
      <c r="F5" s="16" t="n">
        <f aca="false">B5</f>
        <v>236256</v>
      </c>
      <c r="H5" s="5" t="s">
        <v>77</v>
      </c>
      <c r="I5" s="13" t="n">
        <f aca="false">SUM(C6:C20)</f>
        <v>74409.0903588918</v>
      </c>
    </row>
    <row r="6" customFormat="false" ht="15" hidden="false" customHeight="false" outlineLevel="0" collapsed="false">
      <c r="A6" s="0" t="n">
        <v>1</v>
      </c>
      <c r="B6" s="16" t="n">
        <f aca="false">Kosten!$B$18/Annahmen!$B$19</f>
        <v>219386.666666667</v>
      </c>
      <c r="C6" s="16" t="n">
        <f aca="false">F5*Annahmen!$B$17/12</f>
        <v>649.704</v>
      </c>
      <c r="D6" s="16" t="n">
        <f aca="false">IF(A6&gt;=Annahmen!$B$21,E6*Annahmen!$B$20/12,0)</f>
        <v>0</v>
      </c>
      <c r="E6" s="16" t="n">
        <f aca="false">Kosten!B18</f>
        <v>3290800</v>
      </c>
      <c r="F6" s="16" t="n">
        <f aca="false">F5+C6+D6+B6</f>
        <v>456292.370666667</v>
      </c>
      <c r="H6" s="5" t="s">
        <v>78</v>
      </c>
      <c r="I6" s="13" t="n">
        <f aca="false">SUM(D6:D20)</f>
        <v>24681</v>
      </c>
    </row>
    <row r="7" customFormat="false" ht="15" hidden="false" customHeight="false" outlineLevel="0" collapsed="false">
      <c r="A7" s="0" t="n">
        <v>2</v>
      </c>
      <c r="B7" s="16" t="n">
        <f aca="false">Kosten!$B$18/Annahmen!$B$19</f>
        <v>219386.666666667</v>
      </c>
      <c r="C7" s="16" t="n">
        <f aca="false">F6*Annahmen!$B$17/12</f>
        <v>1254.80401933333</v>
      </c>
      <c r="D7" s="16" t="n">
        <f aca="false">IF(A7&gt;=Annahmen!$B$21,E7*Annahmen!$B$20/12,0)</f>
        <v>0</v>
      </c>
      <c r="E7" s="16" t="n">
        <f aca="false">E6-B6</f>
        <v>3071413.33333333</v>
      </c>
      <c r="F7" s="16" t="n">
        <f aca="false">F6+C7+D7+B7</f>
        <v>676933.841352667</v>
      </c>
      <c r="H7" s="5" t="s">
        <v>79</v>
      </c>
      <c r="I7" s="13" t="n">
        <f aca="false">SUM(C24:C35)</f>
        <v>121489.415009139</v>
      </c>
    </row>
    <row r="8" customFormat="false" ht="15" hidden="false" customHeight="false" outlineLevel="0" collapsed="false">
      <c r="A8" s="0" t="n">
        <v>3</v>
      </c>
      <c r="B8" s="16" t="n">
        <f aca="false">Kosten!$B$18/Annahmen!$B$19</f>
        <v>219386.666666667</v>
      </c>
      <c r="C8" s="16" t="n">
        <f aca="false">F7*Annahmen!$B$17/12</f>
        <v>1861.56806371983</v>
      </c>
      <c r="D8" s="16" t="n">
        <f aca="false">IF(A8&gt;=Annahmen!$B$21,E8*Annahmen!$B$20/12,0)</f>
        <v>0</v>
      </c>
      <c r="E8" s="16" t="n">
        <f aca="false">E7-B7</f>
        <v>2852026.66666667</v>
      </c>
      <c r="F8" s="16" t="n">
        <f aca="false">F7+C8+D8+B8</f>
        <v>898182.076083053</v>
      </c>
      <c r="H8" s="14" t="s">
        <v>80</v>
      </c>
      <c r="I8" s="15" t="n">
        <f aca="false">F35</f>
        <v>3747635.50536803</v>
      </c>
    </row>
    <row r="9" customFormat="false" ht="15" hidden="false" customHeight="false" outlineLevel="0" collapsed="false">
      <c r="A9" s="0" t="n">
        <v>4</v>
      </c>
      <c r="B9" s="16" t="n">
        <f aca="false">Kosten!$B$18/Annahmen!$B$19</f>
        <v>219386.666666667</v>
      </c>
      <c r="C9" s="16" t="n">
        <f aca="false">F8*Annahmen!$B$17/12</f>
        <v>2470.0007092284</v>
      </c>
      <c r="D9" s="16" t="n">
        <f aca="false">IF(A9&gt;=Annahmen!$B$21,E9*Annahmen!$B$20/12,0)</f>
        <v>0</v>
      </c>
      <c r="E9" s="16" t="n">
        <f aca="false">E8-B8</f>
        <v>2632640</v>
      </c>
      <c r="F9" s="16" t="n">
        <f aca="false">F8+C9+D9+B9</f>
        <v>1120038.74345895</v>
      </c>
      <c r="H9" s="14" t="s">
        <v>81</v>
      </c>
      <c r="I9" s="15" t="n">
        <f aca="false">F35*(Annahmen!B17+Annahmen!B18)/12</f>
        <v>13429.0272275688</v>
      </c>
    </row>
    <row r="10" customFormat="false" ht="15" hidden="false" customHeight="false" outlineLevel="0" collapsed="false">
      <c r="A10" s="0" t="n">
        <v>5</v>
      </c>
      <c r="B10" s="16" t="n">
        <f aca="false">Kosten!$B$18/Annahmen!$B$19</f>
        <v>219386.666666667</v>
      </c>
      <c r="C10" s="16" t="n">
        <f aca="false">F9*Annahmen!$B$17/12</f>
        <v>3080.10654451211</v>
      </c>
      <c r="D10" s="16" t="n">
        <f aca="false">IF(A10&gt;=Annahmen!$B$21,E10*Annahmen!$B$20/12,0)</f>
        <v>0</v>
      </c>
      <c r="E10" s="16" t="n">
        <f aca="false">E9-B9</f>
        <v>2413253.33333333</v>
      </c>
      <c r="F10" s="16" t="n">
        <f aca="false">F9+C10+D10+B10</f>
        <v>1342505.51667013</v>
      </c>
      <c r="H10" s="5" t="s">
        <v>82</v>
      </c>
      <c r="I10" s="13" t="n">
        <f aca="false">F35*Annahmen!B17/12</f>
        <v>10305.9976397621</v>
      </c>
    </row>
    <row r="11" customFormat="false" ht="15" hidden="false" customHeight="false" outlineLevel="0" collapsed="false">
      <c r="A11" s="0" t="n">
        <v>6</v>
      </c>
      <c r="B11" s="16" t="n">
        <f aca="false">Kosten!$B$18/Annahmen!$B$19</f>
        <v>219386.666666667</v>
      </c>
      <c r="C11" s="16" t="n">
        <f aca="false">F10*Annahmen!$B$17/12</f>
        <v>3691.89017084285</v>
      </c>
      <c r="D11" s="16" t="n">
        <f aca="false">IF(A11&gt;=Annahmen!$B$21,E11*Annahmen!$B$20/12,0)</f>
        <v>0</v>
      </c>
      <c r="E11" s="16" t="n">
        <f aca="false">E10-B10</f>
        <v>2193866.66666667</v>
      </c>
      <c r="F11" s="16" t="n">
        <f aca="false">F10+C11+D11+B11</f>
        <v>1565584.07350764</v>
      </c>
      <c r="H11" s="5" t="s">
        <v>83</v>
      </c>
      <c r="I11" s="13" t="n">
        <f aca="false">F35*Annahmen!B18/12</f>
        <v>3123.02958780669</v>
      </c>
    </row>
    <row r="12" customFormat="false" ht="15" hidden="false" customHeight="false" outlineLevel="0" collapsed="false">
      <c r="A12" s="0" t="n">
        <v>7</v>
      </c>
      <c r="B12" s="16" t="n">
        <f aca="false">Kosten!$B$18/Annahmen!$B$19</f>
        <v>219386.666666667</v>
      </c>
      <c r="C12" s="16" t="n">
        <f aca="false">F11*Annahmen!$B$17/12</f>
        <v>4305.356202146</v>
      </c>
      <c r="D12" s="16" t="n">
        <f aca="false">IF(A12&gt;=Annahmen!$B$21,E12*Annahmen!$B$20/12,0)</f>
        <v>4936.2</v>
      </c>
      <c r="E12" s="16" t="n">
        <f aca="false">E11-B11</f>
        <v>1974480</v>
      </c>
      <c r="F12" s="16" t="n">
        <f aca="false">F11+C12+D12+B12</f>
        <v>1794212.29637645</v>
      </c>
    </row>
    <row r="13" customFormat="false" ht="15" hidden="false" customHeight="false" outlineLevel="0" collapsed="false">
      <c r="A13" s="0" t="n">
        <v>8</v>
      </c>
      <c r="B13" s="16" t="n">
        <f aca="false">Kosten!$B$18/Annahmen!$B$19</f>
        <v>219386.666666667</v>
      </c>
      <c r="C13" s="16" t="n">
        <f aca="false">F12*Annahmen!$B$17/12</f>
        <v>4934.08381503524</v>
      </c>
      <c r="D13" s="16" t="n">
        <f aca="false">IF(A13&gt;=Annahmen!$B$21,E13*Annahmen!$B$20/12,0)</f>
        <v>4387.73333333333</v>
      </c>
      <c r="E13" s="16" t="n">
        <f aca="false">E12-B12</f>
        <v>1755093.33333333</v>
      </c>
      <c r="F13" s="16" t="n">
        <f aca="false">F12+C13+D13+B13</f>
        <v>2022920.78019148</v>
      </c>
    </row>
    <row r="14" customFormat="false" ht="15" hidden="false" customHeight="false" outlineLevel="0" collapsed="false">
      <c r="A14" s="0" t="n">
        <v>9</v>
      </c>
      <c r="B14" s="16" t="n">
        <f aca="false">Kosten!$B$18/Annahmen!$B$19</f>
        <v>219386.666666667</v>
      </c>
      <c r="C14" s="16" t="n">
        <f aca="false">F13*Annahmen!$B$17/12</f>
        <v>5563.03214552658</v>
      </c>
      <c r="D14" s="16" t="n">
        <f aca="false">IF(A14&gt;=Annahmen!$B$21,E14*Annahmen!$B$20/12,0)</f>
        <v>3839.26666666667</v>
      </c>
      <c r="E14" s="16" t="n">
        <f aca="false">E13-B13</f>
        <v>1535706.66666667</v>
      </c>
      <c r="F14" s="16" t="n">
        <f aca="false">F13+C14+D14+B14</f>
        <v>2251709.74567034</v>
      </c>
    </row>
    <row r="15" customFormat="false" ht="15" hidden="false" customHeight="false" outlineLevel="0" collapsed="false">
      <c r="A15" s="0" t="n">
        <v>10</v>
      </c>
      <c r="B15" s="16" t="n">
        <f aca="false">Kosten!$B$18/Annahmen!$B$19</f>
        <v>219386.666666667</v>
      </c>
      <c r="C15" s="16" t="n">
        <f aca="false">F14*Annahmen!$B$17/12</f>
        <v>6192.20180059345</v>
      </c>
      <c r="D15" s="16" t="n">
        <f aca="false">IF(A15&gt;=Annahmen!$B$21,E15*Annahmen!$B$20/12,0)</f>
        <v>3290.8</v>
      </c>
      <c r="E15" s="16" t="n">
        <f aca="false">E14-B14</f>
        <v>1316320</v>
      </c>
      <c r="F15" s="16" t="n">
        <f aca="false">F14+C15+D15+B15</f>
        <v>2480579.4141376</v>
      </c>
    </row>
    <row r="16" customFormat="false" ht="15" hidden="false" customHeight="false" outlineLevel="0" collapsed="false">
      <c r="A16" s="0" t="n">
        <v>11</v>
      </c>
      <c r="B16" s="16" t="n">
        <f aca="false">Kosten!$B$18/Annahmen!$B$19</f>
        <v>219386.666666667</v>
      </c>
      <c r="C16" s="16" t="n">
        <f aca="false">F15*Annahmen!$B$17/12</f>
        <v>6821.59338887841</v>
      </c>
      <c r="D16" s="16" t="n">
        <f aca="false">IF(A16&gt;=Annahmen!$B$21,E16*Annahmen!$B$20/12,0)</f>
        <v>2742.33333333333</v>
      </c>
      <c r="E16" s="16" t="n">
        <f aca="false">E15-B15</f>
        <v>1096933.33333333</v>
      </c>
      <c r="F16" s="16" t="n">
        <f aca="false">F15+C16+D16+B16</f>
        <v>2709530.00752648</v>
      </c>
    </row>
    <row r="17" customFormat="false" ht="15" hidden="false" customHeight="false" outlineLevel="0" collapsed="false">
      <c r="A17" s="0" t="n">
        <v>12</v>
      </c>
      <c r="B17" s="16" t="n">
        <f aca="false">Kosten!$B$18/Annahmen!$B$19</f>
        <v>219386.666666667</v>
      </c>
      <c r="C17" s="16" t="n">
        <f aca="false">F16*Annahmen!$B$17/12</f>
        <v>7451.20752069783</v>
      </c>
      <c r="D17" s="16" t="n">
        <f aca="false">IF(A17&gt;=Annahmen!$B$21,E17*Annahmen!$B$20/12,0)</f>
        <v>2193.86666666667</v>
      </c>
      <c r="E17" s="16" t="n">
        <f aca="false">E16-B16</f>
        <v>877546.666666667</v>
      </c>
      <c r="F17" s="16" t="n">
        <f aca="false">F16+C17+D17+B17</f>
        <v>2938561.74838051</v>
      </c>
    </row>
    <row r="18" customFormat="false" ht="15" hidden="false" customHeight="false" outlineLevel="0" collapsed="false">
      <c r="A18" s="0" t="n">
        <v>13</v>
      </c>
      <c r="B18" s="16" t="n">
        <f aca="false">Kosten!$B$18/Annahmen!$B$19</f>
        <v>219386.666666667</v>
      </c>
      <c r="C18" s="16" t="n">
        <f aca="false">F17*Annahmen!$B$17/12</f>
        <v>8081.04480804641</v>
      </c>
      <c r="D18" s="16" t="n">
        <f aca="false">IF(A18&gt;=Annahmen!$B$21,E18*Annahmen!$B$20/12,0)</f>
        <v>1645.4</v>
      </c>
      <c r="E18" s="16" t="n">
        <f aca="false">E17-B17</f>
        <v>658160.000000001</v>
      </c>
      <c r="F18" s="16" t="n">
        <f aca="false">F17+C18+D18+B18</f>
        <v>3167674.85985523</v>
      </c>
    </row>
    <row r="19" customFormat="false" ht="15" hidden="false" customHeight="false" outlineLevel="0" collapsed="false">
      <c r="A19" s="0" t="n">
        <v>14</v>
      </c>
      <c r="B19" s="16" t="n">
        <f aca="false">Kosten!$B$18/Annahmen!$B$19</f>
        <v>219386.666666667</v>
      </c>
      <c r="C19" s="16" t="n">
        <f aca="false">F18*Annahmen!$B$17/12</f>
        <v>8711.10586460187</v>
      </c>
      <c r="D19" s="16" t="n">
        <f aca="false">IF(A19&gt;=Annahmen!$B$21,E19*Annahmen!$B$20/12,0)</f>
        <v>1096.93333333333</v>
      </c>
      <c r="E19" s="16" t="n">
        <f aca="false">E18-B18</f>
        <v>438773.333333334</v>
      </c>
      <c r="F19" s="16" t="n">
        <f aca="false">F18+C19+D19+B19</f>
        <v>3396869.56571983</v>
      </c>
    </row>
    <row r="20" customFormat="false" ht="15" hidden="false" customHeight="false" outlineLevel="0" collapsed="false">
      <c r="A20" s="0" t="n">
        <v>15</v>
      </c>
      <c r="B20" s="16" t="n">
        <f aca="false">Kosten!$B$18/Annahmen!$B$19</f>
        <v>219386.666666667</v>
      </c>
      <c r="C20" s="16" t="n">
        <f aca="false">F19*Annahmen!$B$17/12</f>
        <v>9341.39130572953</v>
      </c>
      <c r="D20" s="16" t="n">
        <f aca="false">IF(A20&gt;=Annahmen!$B$21,E20*Annahmen!$B$20/12,0)</f>
        <v>548.466666666668</v>
      </c>
      <c r="E20" s="16" t="n">
        <f aca="false">E19-B19</f>
        <v>219386.666666667</v>
      </c>
      <c r="F20" s="16" t="n">
        <f aca="false">F19+C20+D20+B20</f>
        <v>3626146.09035889</v>
      </c>
    </row>
    <row r="21" customFormat="false" ht="15" hidden="false" customHeight="false" outlineLevel="0" collapsed="false">
      <c r="B21" s="16"/>
      <c r="C21" s="16"/>
      <c r="D21" s="16"/>
      <c r="E21" s="16"/>
      <c r="F21" s="16"/>
    </row>
    <row r="22" customFormat="false" ht="15" hidden="false" customHeight="false" outlineLevel="0" collapsed="false">
      <c r="A22" s="14" t="s">
        <v>84</v>
      </c>
      <c r="B22" s="16"/>
      <c r="C22" s="16"/>
      <c r="D22" s="16"/>
      <c r="E22" s="16"/>
      <c r="F22" s="16"/>
    </row>
    <row r="23" customFormat="false" ht="15" hidden="false" customHeight="false" outlineLevel="0" collapsed="false">
      <c r="A23" s="11" t="s">
        <v>70</v>
      </c>
      <c r="B23" s="17"/>
      <c r="C23" s="17" t="s">
        <v>72</v>
      </c>
      <c r="D23" s="17"/>
      <c r="E23" s="17"/>
      <c r="F23" s="17" t="s">
        <v>75</v>
      </c>
    </row>
    <row r="24" customFormat="false" ht="15" hidden="false" customHeight="false" outlineLevel="0" collapsed="false">
      <c r="A24" s="0" t="n">
        <v>1</v>
      </c>
      <c r="B24" s="16"/>
      <c r="C24" s="16" t="n">
        <f aca="false">F20*Annahmen!$B$17/12</f>
        <v>9971.90174848695</v>
      </c>
      <c r="D24" s="16"/>
      <c r="E24" s="16"/>
      <c r="F24" s="16" t="n">
        <f aca="false">F20+C24</f>
        <v>3636117.99210738</v>
      </c>
    </row>
    <row r="25" customFormat="false" ht="15" hidden="false" customHeight="false" outlineLevel="0" collapsed="false">
      <c r="A25" s="0" t="n">
        <v>2</v>
      </c>
      <c r="B25" s="16"/>
      <c r="C25" s="16" t="n">
        <f aca="false">F24*Annahmen!$B$17/12</f>
        <v>9999.32447829529</v>
      </c>
      <c r="D25" s="16"/>
      <c r="E25" s="16"/>
      <c r="F25" s="16" t="n">
        <f aca="false">F24+C25</f>
        <v>3646117.31658567</v>
      </c>
    </row>
    <row r="26" customFormat="false" ht="15" hidden="false" customHeight="false" outlineLevel="0" collapsed="false">
      <c r="A26" s="0" t="n">
        <v>3</v>
      </c>
      <c r="B26" s="16"/>
      <c r="C26" s="16" t="n">
        <f aca="false">F25*Annahmen!$B$17/12</f>
        <v>10026.8226206106</v>
      </c>
      <c r="D26" s="16"/>
      <c r="E26" s="16"/>
      <c r="F26" s="16" t="n">
        <f aca="false">F25+C26</f>
        <v>3656144.13920628</v>
      </c>
    </row>
    <row r="27" customFormat="false" ht="15" hidden="false" customHeight="false" outlineLevel="0" collapsed="false">
      <c r="A27" s="0" t="n">
        <v>4</v>
      </c>
      <c r="B27" s="16"/>
      <c r="C27" s="16" t="n">
        <f aca="false">F26*Annahmen!$B$17/12</f>
        <v>10054.3963828173</v>
      </c>
      <c r="D27" s="16"/>
      <c r="E27" s="16"/>
      <c r="F27" s="16" t="n">
        <f aca="false">F26+C27</f>
        <v>3666198.5355891</v>
      </c>
    </row>
    <row r="28" customFormat="false" ht="15" hidden="false" customHeight="false" outlineLevel="0" collapsed="false">
      <c r="A28" s="0" t="n">
        <v>5</v>
      </c>
      <c r="B28" s="16"/>
      <c r="C28" s="16" t="n">
        <f aca="false">F27*Annahmen!$B$17/12</f>
        <v>10082.04597287</v>
      </c>
      <c r="D28" s="16"/>
      <c r="E28" s="16"/>
      <c r="F28" s="16" t="n">
        <f aca="false">F27+C28</f>
        <v>3676280.58156197</v>
      </c>
    </row>
    <row r="29" customFormat="false" ht="15" hidden="false" customHeight="false" outlineLevel="0" collapsed="false">
      <c r="A29" s="0" t="n">
        <v>6</v>
      </c>
      <c r="B29" s="16"/>
      <c r="C29" s="16" t="n">
        <f aca="false">F28*Annahmen!$B$17/12</f>
        <v>10109.7715992954</v>
      </c>
      <c r="D29" s="16"/>
      <c r="E29" s="16"/>
      <c r="F29" s="16" t="n">
        <f aca="false">F28+C29</f>
        <v>3686390.35316127</v>
      </c>
    </row>
    <row r="30" customFormat="false" ht="15" hidden="false" customHeight="false" outlineLevel="0" collapsed="false">
      <c r="A30" s="0" t="n">
        <v>7</v>
      </c>
      <c r="B30" s="16"/>
      <c r="C30" s="16" t="n">
        <f aca="false">F29*Annahmen!$B$17/12</f>
        <v>10137.5734711935</v>
      </c>
      <c r="D30" s="16"/>
      <c r="E30" s="16"/>
      <c r="F30" s="16" t="n">
        <f aca="false">F29+C30</f>
        <v>3696527.92663246</v>
      </c>
    </row>
    <row r="31" customFormat="false" ht="15" hidden="false" customHeight="false" outlineLevel="0" collapsed="false">
      <c r="A31" s="0" t="n">
        <v>8</v>
      </c>
      <c r="B31" s="16"/>
      <c r="C31" s="16" t="n">
        <f aca="false">F30*Annahmen!$B$17/12</f>
        <v>10165.4517982393</v>
      </c>
      <c r="D31" s="16"/>
      <c r="E31" s="16"/>
      <c r="F31" s="16" t="n">
        <f aca="false">F30+C31</f>
        <v>3706693.3784307</v>
      </c>
    </row>
    <row r="32" customFormat="false" ht="15" hidden="false" customHeight="false" outlineLevel="0" collapsed="false">
      <c r="A32" s="0" t="n">
        <v>9</v>
      </c>
      <c r="B32" s="16"/>
      <c r="C32" s="16" t="n">
        <f aca="false">F31*Annahmen!$B$17/12</f>
        <v>10193.4067906844</v>
      </c>
      <c r="D32" s="16"/>
      <c r="E32" s="16"/>
      <c r="F32" s="16" t="n">
        <f aca="false">F31+C32</f>
        <v>3716886.78522138</v>
      </c>
    </row>
    <row r="33" customFormat="false" ht="15" hidden="false" customHeight="false" outlineLevel="0" collapsed="false">
      <c r="A33" s="0" t="n">
        <v>10</v>
      </c>
      <c r="B33" s="16"/>
      <c r="C33" s="16" t="n">
        <f aca="false">F32*Annahmen!$B$17/12</f>
        <v>10221.4386593588</v>
      </c>
      <c r="D33" s="16"/>
      <c r="E33" s="16"/>
      <c r="F33" s="16" t="n">
        <f aca="false">F32+C33</f>
        <v>3727108.22388074</v>
      </c>
    </row>
    <row r="34" customFormat="false" ht="15" hidden="false" customHeight="false" outlineLevel="0" collapsed="false">
      <c r="A34" s="0" t="n">
        <v>11</v>
      </c>
      <c r="B34" s="16"/>
      <c r="C34" s="16" t="n">
        <f aca="false">F33*Annahmen!$B$17/12</f>
        <v>10249.547615672</v>
      </c>
      <c r="D34" s="16"/>
      <c r="E34" s="16"/>
      <c r="F34" s="16" t="n">
        <f aca="false">F33+C34</f>
        <v>3737357.77149641</v>
      </c>
    </row>
    <row r="35" customFormat="false" ht="15" hidden="false" customHeight="false" outlineLevel="0" collapsed="false">
      <c r="A35" s="0" t="n">
        <v>12</v>
      </c>
      <c r="B35" s="16"/>
      <c r="C35" s="16" t="n">
        <f aca="false">F34*Annahmen!$B$17/12</f>
        <v>10277.7338716151</v>
      </c>
      <c r="D35" s="16"/>
      <c r="E35" s="16"/>
      <c r="F35" s="16" t="n">
        <f aca="false">F34+C35</f>
        <v>3747635.50536803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11" t="s">
        <v>52</v>
      </c>
      <c r="B4" s="12" t="s">
        <v>87</v>
      </c>
    </row>
    <row r="5" customFormat="false" ht="15" hidden="false" customHeight="false" outlineLevel="0" collapsed="false">
      <c r="A5" s="5" t="s">
        <v>88</v>
      </c>
      <c r="B5" s="13" t="n">
        <f aca="false">Annahmen!B25*Annahmen!B26</f>
        <v>5700</v>
      </c>
    </row>
    <row r="6" customFormat="false" ht="15" hidden="false" customHeight="false" outlineLevel="0" collapsed="false">
      <c r="A6" s="5" t="s">
        <v>89</v>
      </c>
      <c r="B6" s="13" t="n">
        <f aca="false">Annahmen!B27*Annahmen!B28</f>
        <v>3480</v>
      </c>
    </row>
    <row r="7" customFormat="false" ht="15" hidden="false" customHeight="false" outlineLevel="0" collapsed="false">
      <c r="A7" s="5" t="s">
        <v>90</v>
      </c>
      <c r="B7" s="13" t="n">
        <f aca="false">B5+B6</f>
        <v>9180</v>
      </c>
    </row>
    <row r="8" customFormat="false" ht="15" hidden="false" customHeight="false" outlineLevel="0" collapsed="false">
      <c r="A8" s="5" t="s">
        <v>91</v>
      </c>
      <c r="B8" s="13" t="n">
        <f aca="false">Annahmen!B30*Annahmen!B31-B6</f>
        <v>11770</v>
      </c>
    </row>
    <row r="9" customFormat="false" ht="15" hidden="false" customHeight="false" outlineLevel="0" collapsed="false">
      <c r="A9" s="5" t="s">
        <v>92</v>
      </c>
      <c r="B9" s="13" t="n">
        <f aca="false">-Kredit!I9</f>
        <v>-13429.0272275688</v>
      </c>
    </row>
    <row r="10" customFormat="false" ht="15" hidden="false" customHeight="false" outlineLevel="0" collapsed="false">
      <c r="A10" s="5" t="s">
        <v>93</v>
      </c>
      <c r="B10" s="13" t="n">
        <f aca="false">-Annahmen!B32</f>
        <v>-6000</v>
      </c>
    </row>
    <row r="11" customFormat="false" ht="15" hidden="false" customHeight="false" outlineLevel="0" collapsed="false">
      <c r="A11" s="5" t="s">
        <v>44</v>
      </c>
      <c r="B11" s="13" t="n">
        <f aca="false">-B7*Annahmen!B29</f>
        <v>-918</v>
      </c>
    </row>
    <row r="12" customFormat="false" ht="15" hidden="false" customHeight="false" outlineLevel="0" collapsed="false">
      <c r="A12" s="14" t="s">
        <v>94</v>
      </c>
      <c r="B12" s="18" t="n">
        <f aca="false">B5+B6+B8+B9+B10+B11</f>
        <v>602.972772431227</v>
      </c>
    </row>
    <row r="13" customFormat="false" ht="15" hidden="false" customHeight="false" outlineLevel="0" collapsed="false">
      <c r="A13" s="5" t="s">
        <v>95</v>
      </c>
      <c r="B13" s="19" t="n">
        <f aca="false">B12*12</f>
        <v>7235.67326917472</v>
      </c>
    </row>
    <row r="15" customFormat="false" ht="15" hidden="false" customHeight="false" outlineLevel="0" collapsed="false">
      <c r="A15" s="14" t="s">
        <v>96</v>
      </c>
      <c r="B15" s="15" t="n">
        <f aca="false">(Annahmen!B32+Kredit!I9+B7*Annahmen!B29-B7+B6)/Annahmen!B31</f>
        <v>48023.0400903894</v>
      </c>
    </row>
    <row r="17" customFormat="false" ht="15" hidden="false" customHeight="false" outlineLevel="0" collapsed="false">
      <c r="A17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22"/>
  </cols>
  <sheetData>
    <row r="1" customFormat="false" ht="19.7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15" hidden="false" customHeight="false" outlineLevel="0" collapsed="false">
      <c r="A4" s="11" t="s">
        <v>100</v>
      </c>
      <c r="B4" s="12" t="s">
        <v>62</v>
      </c>
      <c r="C4" s="12" t="s">
        <v>101</v>
      </c>
      <c r="D4" s="12" t="s">
        <v>102</v>
      </c>
      <c r="E4" s="12" t="s">
        <v>103</v>
      </c>
      <c r="F4" s="12" t="s">
        <v>104</v>
      </c>
      <c r="G4" s="12" t="s">
        <v>105</v>
      </c>
      <c r="H4" s="12" t="s">
        <v>106</v>
      </c>
    </row>
    <row r="5" customFormat="false" ht="15" hidden="false" customHeight="false" outlineLevel="0" collapsed="false">
      <c r="A5" s="20" t="n">
        <v>0</v>
      </c>
      <c r="B5" s="16" t="n">
        <v>3527056</v>
      </c>
      <c r="C5" s="16" t="n">
        <v>13429.03</v>
      </c>
      <c r="D5" s="21" t="n">
        <v>602.97</v>
      </c>
      <c r="E5" s="16" t="n">
        <v>15794.02</v>
      </c>
      <c r="F5" s="21" t="n">
        <v>-1762.02</v>
      </c>
      <c r="G5" s="16" t="n">
        <v>48023.04</v>
      </c>
      <c r="H5" s="16" t="n">
        <v>55777.13</v>
      </c>
    </row>
    <row r="6" customFormat="false" ht="15" hidden="false" customHeight="false" outlineLevel="0" collapsed="false">
      <c r="A6" s="20" t="n">
        <v>0.05</v>
      </c>
      <c r="B6" s="16" t="n">
        <v>3350703.2</v>
      </c>
      <c r="C6" s="16" t="n">
        <v>12757.58</v>
      </c>
      <c r="D6" s="21" t="n">
        <v>1274.42</v>
      </c>
      <c r="E6" s="16" t="n">
        <v>15004.32</v>
      </c>
      <c r="F6" s="21" t="n">
        <v>-972.32</v>
      </c>
      <c r="G6" s="16" t="n">
        <v>45821.56</v>
      </c>
      <c r="H6" s="16" t="n">
        <v>53187.94</v>
      </c>
    </row>
    <row r="7" customFormat="false" ht="15" hidden="false" customHeight="false" outlineLevel="0" collapsed="false">
      <c r="A7" s="20" t="n">
        <v>0.1</v>
      </c>
      <c r="B7" s="16" t="n">
        <v>3174350.4</v>
      </c>
      <c r="C7" s="16" t="n">
        <v>12086.12</v>
      </c>
      <c r="D7" s="21" t="n">
        <v>1945.88</v>
      </c>
      <c r="E7" s="16" t="n">
        <v>14214.62</v>
      </c>
      <c r="F7" s="21" t="n">
        <v>-182.62</v>
      </c>
      <c r="G7" s="16" t="n">
        <v>43620.08</v>
      </c>
      <c r="H7" s="16" t="n">
        <v>50598.76</v>
      </c>
    </row>
    <row r="8" customFormat="false" ht="15" hidden="false" customHeight="false" outlineLevel="0" collapsed="false">
      <c r="A8" s="20" t="n">
        <v>0.15</v>
      </c>
      <c r="B8" s="16" t="n">
        <v>2997997.6</v>
      </c>
      <c r="C8" s="16" t="n">
        <v>11414.67</v>
      </c>
      <c r="D8" s="21" t="n">
        <v>2617.33</v>
      </c>
      <c r="E8" s="16" t="n">
        <v>13424.92</v>
      </c>
      <c r="F8" s="21" t="n">
        <v>607.08</v>
      </c>
      <c r="G8" s="16" t="n">
        <v>41418.6</v>
      </c>
      <c r="H8" s="16" t="n">
        <v>48009.57</v>
      </c>
    </row>
    <row r="9" customFormat="false" ht="15" hidden="false" customHeight="false" outlineLevel="0" collapsed="false">
      <c r="A9" s="20" t="n">
        <v>0.2</v>
      </c>
      <c r="B9" s="16" t="n">
        <v>2821644.8</v>
      </c>
      <c r="C9" s="16" t="n">
        <v>10743.22</v>
      </c>
      <c r="D9" s="21" t="n">
        <v>3288.78</v>
      </c>
      <c r="E9" s="16" t="n">
        <v>12635.22</v>
      </c>
      <c r="F9" s="21" t="n">
        <v>1396.78</v>
      </c>
      <c r="G9" s="16" t="n">
        <v>39217.12</v>
      </c>
      <c r="H9" s="16" t="n">
        <v>45420.39</v>
      </c>
    </row>
    <row r="10" customFormat="false" ht="15" hidden="false" customHeight="false" outlineLevel="0" collapsed="false">
      <c r="A10" s="20" t="n">
        <v>0.25</v>
      </c>
      <c r="B10" s="16" t="n">
        <v>2645292</v>
      </c>
      <c r="C10" s="16" t="n">
        <v>10071.77</v>
      </c>
      <c r="D10" s="21" t="n">
        <v>3960.23</v>
      </c>
      <c r="E10" s="16" t="n">
        <v>11845.52</v>
      </c>
      <c r="F10" s="21" t="n">
        <v>2186.48</v>
      </c>
      <c r="G10" s="16" t="n">
        <v>37015.64</v>
      </c>
      <c r="H10" s="16" t="n">
        <v>42831.21</v>
      </c>
    </row>
    <row r="12" customFormat="false" ht="15" hidden="false" customHeight="false" outlineLevel="0" collapsed="false">
      <c r="A12" s="14" t="s">
        <v>107</v>
      </c>
    </row>
    <row r="13" customFormat="false" ht="15" hidden="false" customHeight="false" outlineLevel="0" collapsed="false">
      <c r="A13" s="11" t="s">
        <v>100</v>
      </c>
      <c r="B13" s="12" t="s">
        <v>108</v>
      </c>
      <c r="C13" s="12" t="s">
        <v>109</v>
      </c>
      <c r="D13" s="12" t="s">
        <v>110</v>
      </c>
      <c r="E13" s="12" t="s">
        <v>111</v>
      </c>
      <c r="F13" s="12" t="s">
        <v>112</v>
      </c>
    </row>
    <row r="14" customFormat="false" ht="15" hidden="false" customHeight="false" outlineLevel="0" collapsed="false">
      <c r="A14" s="20" t="n">
        <v>0</v>
      </c>
      <c r="B14" s="21" t="n">
        <v>-2447.03</v>
      </c>
      <c r="C14" s="21" t="n">
        <v>-922.03</v>
      </c>
      <c r="D14" s="21" t="n">
        <v>602.97</v>
      </c>
      <c r="E14" s="21" t="n">
        <v>2127.97</v>
      </c>
      <c r="F14" s="21" t="n">
        <v>3652.97</v>
      </c>
    </row>
    <row r="15" customFormat="false" ht="15" hidden="false" customHeight="false" outlineLevel="0" collapsed="false">
      <c r="A15" s="20" t="n">
        <v>0.1</v>
      </c>
      <c r="B15" s="21" t="n">
        <v>-1104.12</v>
      </c>
      <c r="C15" s="21" t="n">
        <v>420.88</v>
      </c>
      <c r="D15" s="21" t="n">
        <v>1945.88</v>
      </c>
      <c r="E15" s="21" t="n">
        <v>3470.88</v>
      </c>
      <c r="F15" s="21" t="n">
        <v>4995.88</v>
      </c>
    </row>
    <row r="16" customFormat="false" ht="15" hidden="false" customHeight="false" outlineLevel="0" collapsed="false">
      <c r="A16" s="20" t="n">
        <v>0.15</v>
      </c>
      <c r="B16" s="21" t="n">
        <v>-432.67</v>
      </c>
      <c r="C16" s="21" t="n">
        <v>1092.33</v>
      </c>
      <c r="D16" s="21" t="n">
        <v>2617.33</v>
      </c>
      <c r="E16" s="21" t="n">
        <v>4142.33</v>
      </c>
      <c r="F16" s="21" t="n">
        <v>5667.33</v>
      </c>
    </row>
    <row r="17" customFormat="false" ht="15" hidden="false" customHeight="false" outlineLevel="0" collapsed="false">
      <c r="A17" s="20" t="n">
        <v>0.2</v>
      </c>
      <c r="B17" s="21" t="n">
        <v>238.78</v>
      </c>
      <c r="C17" s="21" t="n">
        <v>1763.78</v>
      </c>
      <c r="D17" s="21" t="n">
        <v>3288.78</v>
      </c>
      <c r="E17" s="21" t="n">
        <v>4813.78</v>
      </c>
      <c r="F17" s="21" t="n">
        <v>6338.78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4" customFormat="false" ht="15" hidden="false" customHeight="false" outlineLevel="0" collapsed="false">
      <c r="A4" s="11"/>
      <c r="B4" s="12" t="s">
        <v>115</v>
      </c>
      <c r="C4" s="12" t="s">
        <v>116</v>
      </c>
    </row>
    <row r="5" customFormat="false" ht="15" hidden="false" customHeight="false" outlineLevel="0" collapsed="false">
      <c r="A5" s="0" t="s">
        <v>117</v>
      </c>
      <c r="B5" s="22" t="n">
        <v>6</v>
      </c>
      <c r="C5" s="22" t="n">
        <v>9</v>
      </c>
    </row>
    <row r="6" customFormat="false" ht="15" hidden="false" customHeight="false" outlineLevel="0" collapsed="false">
      <c r="A6" s="0" t="s">
        <v>118</v>
      </c>
      <c r="B6" s="23" t="n">
        <v>960</v>
      </c>
      <c r="C6" s="23" t="n">
        <v>1300</v>
      </c>
    </row>
    <row r="7" customFormat="false" ht="15" hidden="false" customHeight="false" outlineLevel="0" collapsed="false">
      <c r="A7" s="0" t="s">
        <v>62</v>
      </c>
      <c r="B7" s="16" t="n">
        <v>3527056</v>
      </c>
      <c r="C7" s="16" t="n">
        <v>4582756</v>
      </c>
    </row>
    <row r="8" customFormat="false" ht="15" hidden="false" customHeight="false" outlineLevel="0" collapsed="false">
      <c r="A8" s="0" t="s">
        <v>119</v>
      </c>
      <c r="B8" s="16" t="n">
        <v>13429.03</v>
      </c>
      <c r="C8" s="16" t="n">
        <v>17444.62</v>
      </c>
    </row>
    <row r="9" customFormat="false" ht="15" hidden="false" customHeight="false" outlineLevel="0" collapsed="false">
      <c r="A9" s="0" t="s">
        <v>120</v>
      </c>
      <c r="B9" s="21" t="n">
        <v>602.97</v>
      </c>
      <c r="C9" s="21" t="n">
        <v>-847.62</v>
      </c>
    </row>
    <row r="10" customFormat="false" ht="15" hidden="false" customHeight="false" outlineLevel="0" collapsed="false">
      <c r="A10" s="0" t="s">
        <v>121</v>
      </c>
      <c r="B10" s="21" t="n">
        <v>2617.33</v>
      </c>
      <c r="C10" s="21" t="n">
        <v>1769.08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7" hidden="false" customHeight="false" outlineLevel="0" collapsed="false">
      <c r="A1" s="1" t="s">
        <v>122</v>
      </c>
    </row>
    <row r="3" customFormat="false" ht="15" hidden="false" customHeight="false" outlineLevel="0" collapsed="false">
      <c r="A3" s="5" t="s">
        <v>123</v>
      </c>
    </row>
    <row r="4" customFormat="false" ht="15" hidden="false" customHeight="false" outlineLevel="0" collapsed="false">
      <c r="A4" s="5" t="s">
        <v>124</v>
      </c>
    </row>
    <row r="5" customFormat="false" ht="15" hidden="false" customHeight="false" outlineLevel="0" collapsed="false">
      <c r="A5" s="5" t="s">
        <v>125</v>
      </c>
    </row>
    <row r="6" customFormat="false" ht="15" hidden="false" customHeight="false" outlineLevel="0" collapsed="false">
      <c r="A6" s="5" t="s">
        <v>126</v>
      </c>
    </row>
    <row r="7" customFormat="false" ht="15" hidden="false" customHeight="false" outlineLevel="0" collapsed="false">
      <c r="A7" s="5" t="s">
        <v>127</v>
      </c>
    </row>
    <row r="8" customFormat="false" ht="15" hidden="false" customHeight="false" outlineLevel="0" collapsed="false">
      <c r="A8" s="5" t="s">
        <v>128</v>
      </c>
    </row>
    <row r="9" customFormat="false" ht="15" hidden="false" customHeight="false" outlineLevel="0" collapsed="false">
      <c r="A9" s="5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2026-10-14T11:23:57Z</dcterms:created>
  <dc:creator>openpyxl</dc:creator>
  <dc:description/>
  <dc:language>en-US</dc:language>
  <cp:lastModifiedBy/>
  <dcterms:modified xsi:type="dcterms:W3CDTF">2026-10-14T11:23:57Z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