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n" sheetId="1" state="visible" r:id="rId1"/>
    <sheet xmlns:r="http://schemas.openxmlformats.org/officeDocument/2006/relationships" name="Kosten" sheetId="2" state="visible" r:id="rId2"/>
    <sheet xmlns:r="http://schemas.openxmlformats.org/officeDocument/2006/relationships" name="Kredit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Szenarien" sheetId="5" state="visible" r:id="rId5"/>
    <sheet xmlns:r="http://schemas.openxmlformats.org/officeDocument/2006/relationships" name="Verkauf je Partei" sheetId="6" state="visible" r:id="rId6"/>
    <sheet xmlns:r="http://schemas.openxmlformats.org/officeDocument/2006/relationships" name="Variante 4 Ebenen" sheetId="7" state="visible" r:id="rId7"/>
    <sheet xmlns:r="http://schemas.openxmlformats.org/officeDocument/2006/relationships" name="Hinwe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+#,##0 &quot;€&quot;;[Red]-#,##0 &quot;€&quot;"/>
  </numFmts>
  <fonts count="7">
    <font>
      <name val="Calibri"/>
      <family val="2"/>
      <color theme="1"/>
      <sz val="11"/>
      <scheme val="minor"/>
    </font>
    <font>
      <name val="Cambria"/>
      <b val="1"/>
      <color rgb="008C3B32"/>
      <sz val="16"/>
    </font>
    <font>
      <name val="Calibri"/>
      <i val="1"/>
      <color rgb="005B6770"/>
      <sz val="10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0EE"/>
      </patternFill>
    </fill>
    <fill>
      <patternFill patternType="solid">
        <fgColor rgb="002F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" fontId="5" fillId="0" borderId="0" pivotButton="0" quotePrefix="0" xfId="0"/>
    <xf numFmtId="2" fontId="4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6" fillId="3" borderId="0" applyAlignment="1" pivotButton="0" quotePrefix="0" xfId="0">
      <alignment horizontal="right"/>
    </xf>
    <xf numFmtId="166" fontId="3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8" customWidth="1" min="3" max="3"/>
  </cols>
  <sheetData>
    <row r="1">
      <c r="A1" s="1" t="inlineStr">
        <is>
          <t>Annahmen</t>
        </is>
      </c>
    </row>
    <row r="2">
      <c r="A2" s="2" t="inlineStr">
        <is>
          <t>Blaue Zellen sind Eingaben. Alle anderen Blätter rechnen daraus.</t>
        </is>
      </c>
    </row>
    <row r="3">
      <c r="A3" s="3" t="inlineStr">
        <is>
          <t>Grundstück und Bau</t>
        </is>
      </c>
      <c r="B3" s="4" t="n"/>
      <c r="C3" s="4" t="n"/>
    </row>
    <row r="4">
      <c r="A4" s="5" t="inlineStr">
        <is>
          <t>Grundstück (m²)</t>
        </is>
      </c>
      <c r="B4" s="6" t="n">
        <v>960</v>
      </c>
      <c r="C4" s="2" t="inlineStr">
        <is>
          <t>Baufeld 3, ca. 960 m²</t>
        </is>
      </c>
    </row>
    <row r="5">
      <c r="A5" s="5" t="inlineStr">
        <is>
          <t>Preis je m² (€)</t>
        </is>
      </c>
      <c r="B5" s="7" t="n">
        <v>230</v>
      </c>
      <c r="C5" s="2" t="inlineStr"/>
    </row>
    <row r="6">
      <c r="A6" s="5" t="inlineStr">
        <is>
          <t>Grunderwerbsteuer</t>
        </is>
      </c>
      <c r="B6" s="8" t="n">
        <v>0.05</v>
      </c>
      <c r="C6" s="2" t="inlineStr">
        <is>
          <t>Steuer beim Grundstückskauf</t>
        </is>
      </c>
    </row>
    <row r="7">
      <c r="A7" s="5" t="inlineStr">
        <is>
          <t>Notar und Grundbuch</t>
        </is>
      </c>
      <c r="B7" s="8" t="n">
        <v>0.02</v>
      </c>
      <c r="C7" s="2" t="inlineStr">
        <is>
          <t>Annahme</t>
        </is>
      </c>
    </row>
    <row r="8">
      <c r="A8" s="5" t="inlineStr">
        <is>
          <t>Bruttogrundfläche BGF (m²)</t>
        </is>
      </c>
      <c r="B8" s="6" t="n">
        <v>1540</v>
      </c>
      <c r="C8" s="2" t="inlineStr">
        <is>
          <t>EG 540 + 1. OG 540 + Staffelgeschoss 460 (Holzbau)</t>
        </is>
      </c>
    </row>
    <row r="9">
      <c r="A9" s="5" t="inlineStr">
        <is>
          <t>Baukosten je m² BGF (€)</t>
        </is>
      </c>
      <c r="B9" s="7" t="n">
        <v>2200</v>
      </c>
      <c r="C9" s="2" t="inlineStr">
        <is>
          <t>Annahme des Bauherrn (Bekanntenpreis), Angebot nötig</t>
        </is>
      </c>
    </row>
    <row r="10">
      <c r="A10" s="5" t="inlineStr">
        <is>
          <t>Baunebenkosten</t>
        </is>
      </c>
      <c r="B10" s="8" t="n">
        <v>0.15</v>
      </c>
      <c r="C10" s="2" t="inlineStr">
        <is>
          <t>Architekt, Statik, Gebühren</t>
        </is>
      </c>
    </row>
    <row r="11">
      <c r="A11" s="5" t="inlineStr">
        <is>
          <t>Gastro-Ausbau (€)</t>
        </is>
      </c>
      <c r="B11" s="7" t="n">
        <v>150000</v>
      </c>
      <c r="C11" s="2" t="inlineStr">
        <is>
          <t>Annahme des Bauherrn, einfacher Ausbau (erste Schätzung 310.000 €)</t>
        </is>
      </c>
    </row>
    <row r="12">
      <c r="A12" s="5" t="inlineStr">
        <is>
          <t>Förderung (Zuschuss in % der Kosten)</t>
        </is>
      </c>
      <c r="B12" s="8" t="n">
        <v>0</v>
      </c>
      <c r="C12" s="2" t="inlineStr">
        <is>
          <t>Annahme, mit der Stadt klären (0 bis 25 %)</t>
        </is>
      </c>
    </row>
    <row r="14">
      <c r="A14" s="3" t="inlineStr">
        <is>
          <t>Finanzierung</t>
        </is>
      </c>
      <c r="B14" s="4" t="n"/>
      <c r="C14" s="4" t="n"/>
    </row>
    <row r="15">
      <c r="A15" s="5" t="inlineStr">
        <is>
          <t>Zins Plan</t>
        </is>
      </c>
      <c r="B15" s="8" t="n">
        <v>0.033</v>
      </c>
      <c r="C15" s="2" t="inlineStr">
        <is>
          <t>Mischzins aus Förderkrediten (Annahme)</t>
        </is>
      </c>
    </row>
    <row r="16">
      <c r="A16" s="5" t="inlineStr">
        <is>
          <t>Zins Ausgang</t>
        </is>
      </c>
      <c r="B16" s="8" t="n">
        <v>0.04</v>
      </c>
      <c r="C16" s="2" t="inlineStr">
        <is>
          <t>10 Jahre fest, Stand 17.09.2026</t>
        </is>
      </c>
    </row>
    <row r="17">
      <c r="A17" s="5" t="inlineStr">
        <is>
          <t>Zins für diese Rechnung</t>
        </is>
      </c>
      <c r="B17" s="9">
        <f>B15</f>
        <v/>
      </c>
      <c r="C17" s="2" t="inlineStr">
        <is>
          <t>Auf =B16 stellen für den Ausgangszins</t>
        </is>
      </c>
    </row>
    <row r="18">
      <c r="A18" s="5" t="inlineStr">
        <is>
          <t>Tilgung</t>
        </is>
      </c>
      <c r="B18" s="8" t="n">
        <v>0.01</v>
      </c>
      <c r="C18" s="2" t="inlineStr">
        <is>
          <t>Rückzahlung der Schuld, 0 % = nur Zinsen</t>
        </is>
      </c>
    </row>
    <row r="19">
      <c r="A19" s="5" t="inlineStr">
        <is>
          <t>Bauzeit (Monate)</t>
        </is>
      </c>
      <c r="B19" s="10" t="n">
        <v>15</v>
      </c>
      <c r="C19" s="2" t="inlineStr">
        <is>
          <t>Plan im Blatt Kredit ist auf 15 Monate ausgelegt</t>
        </is>
      </c>
    </row>
    <row r="20">
      <c r="A20" s="5" t="inlineStr">
        <is>
          <t>Bereitstellungszins p. a.</t>
        </is>
      </c>
      <c r="B20" s="8" t="n">
        <v>0.03</v>
      </c>
      <c r="C20" s="2" t="inlineStr">
        <is>
          <t>Gebühr auf zugesagtes, noch nicht abgerufenes Geld</t>
        </is>
      </c>
    </row>
    <row r="21">
      <c r="A21" s="5" t="inlineStr">
        <is>
          <t>Bereitstellungszins ab Monat</t>
        </is>
      </c>
      <c r="B21" s="10" t="n">
        <v>7</v>
      </c>
      <c r="C21" s="2" t="inlineStr"/>
    </row>
    <row r="22">
      <c r="A22" s="5" t="inlineStr">
        <is>
          <t>Raten-Aufschub (Monate)</t>
        </is>
      </c>
      <c r="B22" s="10" t="n">
        <v>12</v>
      </c>
      <c r="C22" s="2" t="inlineStr">
        <is>
          <t>Plan im Blatt Kredit ist auf 12 Monate ausgelegt</t>
        </is>
      </c>
    </row>
    <row r="24">
      <c r="A24" s="3" t="inlineStr">
        <is>
          <t>Einnahmen und Gastro</t>
        </is>
      </c>
      <c r="B24" s="4" t="n"/>
      <c r="C24" s="4" t="n"/>
    </row>
    <row r="25">
      <c r="A25" s="5" t="inlineStr">
        <is>
          <t>Wohnfläche (m²)</t>
        </is>
      </c>
      <c r="B25" s="6" t="n">
        <v>725</v>
      </c>
      <c r="C25" s="2" t="inlineStr">
        <is>
          <t>8 Wohnungen: 5 × 83 m² im 1. OG, 3 × 103 m² im Staffelgeschoss</t>
        </is>
      </c>
    </row>
    <row r="26">
      <c r="A26" s="5" t="inlineStr">
        <is>
          <t>Kaltmiete je m² Wohnfläche (€)</t>
        </is>
      </c>
      <c r="B26" s="11">
        <f>950/85</f>
        <v/>
      </c>
      <c r="C26" s="2" t="inlineStr">
        <is>
          <t>950 € für 85 m² (Annahme des Bauherrn), Markt ca. 11 €/m²</t>
        </is>
      </c>
    </row>
    <row r="27">
      <c r="A27" s="5" t="inlineStr">
        <is>
          <t>Gastrofläche (m²)</t>
        </is>
      </c>
      <c r="B27" s="6" t="n">
        <v>460</v>
      </c>
      <c r="C27" s="2" t="inlineStr"/>
    </row>
    <row r="28">
      <c r="A28" s="5" t="inlineStr">
        <is>
          <t>Pacht je m² (€)</t>
        </is>
      </c>
      <c r="B28" s="7" t="n">
        <v>12</v>
      </c>
      <c r="C28" s="2" t="inlineStr">
        <is>
          <t>Gastro zahlt an das Haus</t>
        </is>
      </c>
    </row>
    <row r="29">
      <c r="A29" s="5" t="inlineStr">
        <is>
          <t>Rücklagen</t>
        </is>
      </c>
      <c r="B29" s="8" t="n">
        <v>0.1</v>
      </c>
      <c r="C29" s="2" t="inlineStr">
        <is>
          <t>Reparaturen, Leerstand, in % von Miete und Pacht</t>
        </is>
      </c>
    </row>
    <row r="30">
      <c r="A30" s="5" t="inlineStr">
        <is>
          <t>Gastro-Umsatz pro Monat (€)</t>
        </is>
      </c>
      <c r="B30" s="7" t="n">
        <v>50000</v>
      </c>
      <c r="C30" s="2" t="inlineStr">
        <is>
          <t>netto</t>
        </is>
      </c>
    </row>
    <row r="31">
      <c r="A31" s="5" t="inlineStr">
        <is>
          <t>Gastro-Marge vor Pacht</t>
        </is>
      </c>
      <c r="B31" s="8" t="n">
        <v>0.305</v>
      </c>
      <c r="C31" s="2" t="inlineStr">
        <is>
          <t>Branchen-Richtwert</t>
        </is>
      </c>
    </row>
    <row r="32">
      <c r="A32" s="5" t="inlineStr">
        <is>
          <t>Dein Lohn pro Monat (€)</t>
        </is>
      </c>
      <c r="B32" s="7" t="n">
        <v>0</v>
      </c>
      <c r="C32" s="2" t="inlineStr">
        <is>
          <t>wird vorerst nicht gerechnet</t>
        </is>
      </c>
    </row>
    <row r="34">
      <c r="A34" s="3" t="inlineStr">
        <is>
          <t>Holzbau und Terrasse</t>
        </is>
      </c>
      <c r="B34" s="4" t="n"/>
      <c r="C34" s="4" t="n"/>
    </row>
    <row r="35">
      <c r="A35" s="5" t="inlineStr">
        <is>
          <t>Staffelgeschoss in Holzbau (m² BGF)</t>
        </is>
      </c>
      <c r="B35" s="6" t="n">
        <v>460</v>
      </c>
      <c r="C35" s="2" t="inlineStr">
        <is>
          <t>Zimmerei, schmale Terrasse (0,8 m) rundum</t>
        </is>
      </c>
    </row>
    <row r="36">
      <c r="A36" s="5" t="inlineStr">
        <is>
          <t>Holzbau günstiger als Massivbau (€ je m²)</t>
        </is>
      </c>
      <c r="B36" s="7" t="n">
        <v>400</v>
      </c>
      <c r="C36" s="2" t="inlineStr">
        <is>
          <t>Annahme, Angebot der Zimmerei nötig</t>
        </is>
      </c>
    </row>
    <row r="37">
      <c r="A37" s="5" t="inlineStr">
        <is>
          <t>Dachterrasse rundum (m²)</t>
        </is>
      </c>
      <c r="B37" s="6" t="n">
        <v>72</v>
      </c>
      <c r="C37" s="2" t="inlineStr">
        <is>
          <t>zählt nicht zur BGF</t>
        </is>
      </c>
    </row>
    <row r="38">
      <c r="A38" s="5" t="inlineStr">
        <is>
          <t>Terrasse Preis (€ je m²)</t>
        </is>
      </c>
      <c r="B38" s="7" t="n">
        <v>450</v>
      </c>
      <c r="C38" s="2" t="inlineStr">
        <is>
          <t>Abdichtung, Holzrost, Geländer, Annahme</t>
        </is>
      </c>
    </row>
    <row r="39">
      <c r="A39" s="5" t="inlineStr">
        <is>
          <t>Preisnachlass Bauunternehmer/Zimmerei (%)</t>
        </is>
      </c>
      <c r="B39" s="8" t="n">
        <v>0</v>
      </c>
      <c r="C39" s="2" t="inlineStr">
        <is>
          <t>Bekanntenpreis, noch offen (z. B. 5 % oder 10 %)</t>
        </is>
      </c>
    </row>
    <row r="41">
      <c r="A41" s="3" t="inlineStr">
        <is>
          <t>Büro im EG</t>
        </is>
      </c>
      <c r="B41" s="4" t="n"/>
      <c r="C41" s="4" t="n"/>
    </row>
    <row r="42">
      <c r="A42" s="5" t="inlineStr">
        <is>
          <t>Büro-Fläche (m²)</t>
        </is>
      </c>
      <c r="B42" s="6" t="n">
        <v>0</v>
      </c>
      <c r="C42" s="2" t="inlineStr">
        <is>
          <t>in Variante B kein Büro, Gastro nutzt das ganze EG</t>
        </is>
      </c>
    </row>
    <row r="43">
      <c r="A43" s="5" t="inlineStr">
        <is>
          <t>Büro-Miete je m² (€)</t>
        </is>
      </c>
      <c r="B43" s="7" t="n">
        <v>10</v>
      </c>
      <c r="C43" s="2" t="inlineStr">
        <is>
          <t>Annahme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30" customWidth="1" min="3" max="3"/>
  </cols>
  <sheetData>
    <row r="1">
      <c r="A1" s="1" t="inlineStr">
        <is>
          <t>Kosten bis zum fertigen Haus</t>
        </is>
      </c>
    </row>
    <row r="3">
      <c r="A3" s="12" t="inlineStr">
        <is>
          <t>Posten</t>
        </is>
      </c>
      <c r="B3" s="13" t="inlineStr">
        <is>
          <t>Betrag</t>
        </is>
      </c>
      <c r="C3" s="13" t="inlineStr">
        <is>
          <t>Rechnung</t>
        </is>
      </c>
    </row>
    <row r="4">
      <c r="A4" s="5" t="inlineStr">
        <is>
          <t>Grundstück</t>
        </is>
      </c>
      <c r="B4" s="14">
        <f>Annahmen!B4*Annahmen!B5</f>
        <v/>
      </c>
      <c r="C4" s="2" t="inlineStr">
        <is>
          <t>m² × Preis</t>
        </is>
      </c>
    </row>
    <row r="5">
      <c r="A5" s="5" t="inlineStr">
        <is>
          <t>Grunderwerbsteuer</t>
        </is>
      </c>
      <c r="B5" s="14">
        <f>B4*Annahmen!B6</f>
        <v/>
      </c>
      <c r="C5" s="2" t="inlineStr"/>
    </row>
    <row r="6">
      <c r="A6" s="5" t="inlineStr">
        <is>
          <t>Notar und Grundbuch</t>
        </is>
      </c>
      <c r="B6" s="14">
        <f>B4*Annahmen!B7</f>
        <v/>
      </c>
      <c r="C6" s="2" t="inlineStr"/>
    </row>
    <row r="7">
      <c r="A7" s="5" t="inlineStr">
        <is>
          <t>Grundstück gesamt</t>
        </is>
      </c>
      <c r="B7" s="14">
        <f>SUM(B4:B6)</f>
        <v/>
      </c>
      <c r="C7" s="2" t="inlineStr"/>
    </row>
    <row r="8">
      <c r="A8" s="5" t="inlineStr">
        <is>
          <t>Bau</t>
        </is>
      </c>
      <c r="B8" s="14">
        <f>(Annahmen!B8*Annahmen!B9-Annahmen!B35*Annahmen!B36+Annahmen!B37*Annahmen!B38)*(1-Annahmen!B39)</f>
        <v/>
      </c>
      <c r="C8" s="2" t="inlineStr">
        <is>
          <t>BGF × Baukosten, minus Holz-Abschlag, plus Terrasse, minus Nachlass</t>
        </is>
      </c>
    </row>
    <row r="9">
      <c r="A9" s="5" t="inlineStr">
        <is>
          <t>Baunebenkosten</t>
        </is>
      </c>
      <c r="B9" s="14">
        <f>B8*Annahmen!B10</f>
        <v/>
      </c>
      <c r="C9" s="2" t="inlineStr"/>
    </row>
    <row r="10">
      <c r="A10" s="5" t="inlineStr">
        <is>
          <t>Bau gesamt</t>
        </is>
      </c>
      <c r="B10" s="14">
        <f>B8+B9</f>
        <v/>
      </c>
      <c r="C10" s="2" t="inlineStr"/>
    </row>
    <row r="11">
      <c r="A11" s="5" t="inlineStr">
        <is>
          <t>Gastro-Ausbau</t>
        </is>
      </c>
      <c r="B11" s="14">
        <f>Annahmen!B11</f>
        <v/>
      </c>
      <c r="C11" s="2" t="inlineStr"/>
    </row>
    <row r="12">
      <c r="A12" s="15" t="inlineStr">
        <is>
          <t>Gesamtkosten</t>
        </is>
      </c>
      <c r="B12" s="16">
        <f>B7+B10+B11</f>
        <v/>
      </c>
      <c r="C12" s="2" t="inlineStr"/>
    </row>
    <row r="13">
      <c r="A13" s="5" t="inlineStr">
        <is>
          <t>Förderung (Zuschuss)</t>
        </is>
      </c>
      <c r="B13" s="14">
        <f>-B12*Annahmen!B12</f>
        <v/>
      </c>
      <c r="C13" s="2" t="inlineStr"/>
    </row>
    <row r="14">
      <c r="A14" s="15" t="inlineStr">
        <is>
          <t>Kosten nach Förderung</t>
        </is>
      </c>
      <c r="B14" s="16">
        <f>B12+B13</f>
        <v/>
      </c>
      <c r="C14" s="2" t="inlineStr"/>
    </row>
    <row r="15">
      <c r="A15" s="5" t="inlineStr">
        <is>
          <t>Kosten je m² BGF</t>
        </is>
      </c>
      <c r="B15" s="14">
        <f>B14/Annahmen!B8</f>
        <v/>
      </c>
      <c r="C15" s="2" t="inlineStr"/>
    </row>
    <row r="17">
      <c r="A17" s="5" t="inlineStr">
        <is>
          <t>Grundstück nach Förderung (für den Kredit)</t>
        </is>
      </c>
      <c r="B17" s="14">
        <f>B7*(1-Annahmen!B12)</f>
        <v/>
      </c>
      <c r="C17" s="2" t="inlineStr"/>
    </row>
    <row r="18">
      <c r="A18" s="5" t="inlineStr">
        <is>
          <t>Bau und Gastro nach Förderung (für den Kredit)</t>
        </is>
      </c>
      <c r="B18" s="14">
        <f>(B10+B11)*(1-Annahmen!B12)</f>
        <v/>
      </c>
      <c r="C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" customWidth="1" min="7" max="7"/>
    <col width="30" customWidth="1" min="8" max="8"/>
    <col width="18" customWidth="1" min="9" max="9"/>
  </cols>
  <sheetData>
    <row r="1">
      <c r="A1" s="1" t="inlineStr">
        <is>
          <t>Kredit: Bauzeit, Aufschub und Rate</t>
        </is>
      </c>
    </row>
    <row r="2">
      <c r="A2" s="2" t="inlineStr">
        <is>
          <t>Zinsen und Bereitstellungszinsen werden dem Kredit zugeschlagen (kein Eigenkapital).</t>
        </is>
      </c>
    </row>
    <row r="4">
      <c r="A4" s="12" t="inlineStr">
        <is>
          <t>Monat</t>
        </is>
      </c>
      <c r="B4" s="13" t="inlineStr">
        <is>
          <t>Auszahlung</t>
        </is>
      </c>
      <c r="C4" s="13" t="inlineStr">
        <is>
          <t>Zinsen</t>
        </is>
      </c>
      <c r="D4" s="13" t="inlineStr">
        <is>
          <t>Bereitstellung</t>
        </is>
      </c>
      <c r="E4" s="13" t="inlineStr">
        <is>
          <t>Noch nicht abgerufen</t>
        </is>
      </c>
      <c r="F4" s="13" t="inlineStr">
        <is>
          <t>Kredit am Monatsende</t>
        </is>
      </c>
      <c r="H4" s="15" t="inlineStr">
        <is>
          <t>Ergebnis</t>
        </is>
      </c>
    </row>
    <row r="5">
      <c r="A5" t="n">
        <v>0</v>
      </c>
      <c r="B5" s="17">
        <f>Kosten!B17</f>
        <v/>
      </c>
      <c r="C5" s="17" t="n">
        <v>0</v>
      </c>
      <c r="D5" s="17" t="n">
        <v>0</v>
      </c>
      <c r="E5" s="17">
        <f>Kosten!B18</f>
        <v/>
      </c>
      <c r="F5" s="17">
        <f>B5</f>
        <v/>
      </c>
      <c r="H5" s="5" t="inlineStr">
        <is>
          <t>Zinsen in der Bauzeit</t>
        </is>
      </c>
      <c r="I5" s="14">
        <f>SUM(C6:C20)</f>
        <v/>
      </c>
    </row>
    <row r="6">
      <c r="A6" t="n">
        <v>1</v>
      </c>
      <c r="B6" s="17">
        <f>Kosten!$B$18/Annahmen!$B$19</f>
        <v/>
      </c>
      <c r="C6" s="17">
        <f>F5*Annahmen!$B$17/12</f>
        <v/>
      </c>
      <c r="D6" s="17">
        <f>IF(A6&gt;=Annahmen!$B$21,E6*Annahmen!$B$20/12,0)</f>
        <v/>
      </c>
      <c r="E6" s="17">
        <f>Kosten!B18</f>
        <v/>
      </c>
      <c r="F6" s="17">
        <f>F5+C6+D6+B6</f>
        <v/>
      </c>
      <c r="H6" s="5" t="inlineStr">
        <is>
          <t>Bereitstellungszinsen</t>
        </is>
      </c>
      <c r="I6" s="14">
        <f>SUM(D6:D20)</f>
        <v/>
      </c>
    </row>
    <row r="7">
      <c r="A7" t="n">
        <v>2</v>
      </c>
      <c r="B7" s="17">
        <f>Kosten!$B$18/Annahmen!$B$19</f>
        <v/>
      </c>
      <c r="C7" s="17">
        <f>F6*Annahmen!$B$17/12</f>
        <v/>
      </c>
      <c r="D7" s="17">
        <f>IF(A7&gt;=Annahmen!$B$21,E7*Annahmen!$B$20/12,0)</f>
        <v/>
      </c>
      <c r="E7" s="17">
        <f>E6-B6</f>
        <v/>
      </c>
      <c r="F7" s="17">
        <f>F6+C7+D7+B7</f>
        <v/>
      </c>
      <c r="H7" s="5" t="inlineStr">
        <is>
          <t>Zinsen im Aufschub-Jahr</t>
        </is>
      </c>
      <c r="I7" s="14">
        <f>SUM(C24:C35)</f>
        <v/>
      </c>
    </row>
    <row r="8">
      <c r="A8" t="n">
        <v>3</v>
      </c>
      <c r="B8" s="17">
        <f>Kosten!$B$18/Annahmen!$B$19</f>
        <v/>
      </c>
      <c r="C8" s="17">
        <f>F7*Annahmen!$B$17/12</f>
        <v/>
      </c>
      <c r="D8" s="17">
        <f>IF(A8&gt;=Annahmen!$B$21,E8*Annahmen!$B$20/12,0)</f>
        <v/>
      </c>
      <c r="E8" s="17">
        <f>E7-B7</f>
        <v/>
      </c>
      <c r="F8" s="17">
        <f>F7+C8+D8+B8</f>
        <v/>
      </c>
      <c r="H8" s="15" t="inlineStr">
        <is>
          <t>Kredit bei Start der Rate</t>
        </is>
      </c>
      <c r="I8" s="16">
        <f>F35</f>
        <v/>
      </c>
    </row>
    <row r="9">
      <c r="A9" t="n">
        <v>4</v>
      </c>
      <c r="B9" s="17">
        <f>Kosten!$B$18/Annahmen!$B$19</f>
        <v/>
      </c>
      <c r="C9" s="17">
        <f>F8*Annahmen!$B$17/12</f>
        <v/>
      </c>
      <c r="D9" s="17">
        <f>IF(A9&gt;=Annahmen!$B$21,E9*Annahmen!$B$20/12,0)</f>
        <v/>
      </c>
      <c r="E9" s="17">
        <f>E8-B8</f>
        <v/>
      </c>
      <c r="F9" s="17">
        <f>F8+C9+D9+B9</f>
        <v/>
      </c>
      <c r="H9" s="15" t="inlineStr">
        <is>
          <t>Rate pro Monat</t>
        </is>
      </c>
      <c r="I9" s="16">
        <f>F35*(Annahmen!B17+Annahmen!B18)/12</f>
        <v/>
      </c>
    </row>
    <row r="10">
      <c r="A10" t="n">
        <v>5</v>
      </c>
      <c r="B10" s="17">
        <f>Kosten!$B$18/Annahmen!$B$19</f>
        <v/>
      </c>
      <c r="C10" s="17">
        <f>F9*Annahmen!$B$17/12</f>
        <v/>
      </c>
      <c r="D10" s="17">
        <f>IF(A10&gt;=Annahmen!$B$21,E10*Annahmen!$B$20/12,0)</f>
        <v/>
      </c>
      <c r="E10" s="17">
        <f>E9-B9</f>
        <v/>
      </c>
      <c r="F10" s="17">
        <f>F9+C10+D10+B10</f>
        <v/>
      </c>
      <c r="H10" s="5" t="inlineStr">
        <is>
          <t xml:space="preserve">   davon Zinsen</t>
        </is>
      </c>
      <c r="I10" s="14">
        <f>F35*Annahmen!B17/12</f>
        <v/>
      </c>
    </row>
    <row r="11">
      <c r="A11" t="n">
        <v>6</v>
      </c>
      <c r="B11" s="17">
        <f>Kosten!$B$18/Annahmen!$B$19</f>
        <v/>
      </c>
      <c r="C11" s="17">
        <f>F10*Annahmen!$B$17/12</f>
        <v/>
      </c>
      <c r="D11" s="17">
        <f>IF(A11&gt;=Annahmen!$B$21,E11*Annahmen!$B$20/12,0)</f>
        <v/>
      </c>
      <c r="E11" s="17">
        <f>E10-B10</f>
        <v/>
      </c>
      <c r="F11" s="17">
        <f>F10+C11+D11+B11</f>
        <v/>
      </c>
      <c r="H11" s="5" t="inlineStr">
        <is>
          <t xml:space="preserve">   davon Tilgung</t>
        </is>
      </c>
      <c r="I11" s="14">
        <f>F35*Annahmen!B18/12</f>
        <v/>
      </c>
    </row>
    <row r="12">
      <c r="A12" t="n">
        <v>7</v>
      </c>
      <c r="B12" s="17">
        <f>Kosten!$B$18/Annahmen!$B$19</f>
        <v/>
      </c>
      <c r="C12" s="17">
        <f>F11*Annahmen!$B$17/12</f>
        <v/>
      </c>
      <c r="D12" s="17">
        <f>IF(A12&gt;=Annahmen!$B$21,E12*Annahmen!$B$20/12,0)</f>
        <v/>
      </c>
      <c r="E12" s="17">
        <f>E11-B11</f>
        <v/>
      </c>
      <c r="F12" s="17">
        <f>F11+C12+D12+B12</f>
        <v/>
      </c>
    </row>
    <row r="13">
      <c r="A13" t="n">
        <v>8</v>
      </c>
      <c r="B13" s="17">
        <f>Kosten!$B$18/Annahmen!$B$19</f>
        <v/>
      </c>
      <c r="C13" s="17">
        <f>F12*Annahmen!$B$17/12</f>
        <v/>
      </c>
      <c r="D13" s="17">
        <f>IF(A13&gt;=Annahmen!$B$21,E13*Annahmen!$B$20/12,0)</f>
        <v/>
      </c>
      <c r="E13" s="17">
        <f>E12-B12</f>
        <v/>
      </c>
      <c r="F13" s="17">
        <f>F12+C13+D13+B13</f>
        <v/>
      </c>
    </row>
    <row r="14">
      <c r="A14" t="n">
        <v>9</v>
      </c>
      <c r="B14" s="17">
        <f>Kosten!$B$18/Annahmen!$B$19</f>
        <v/>
      </c>
      <c r="C14" s="17">
        <f>F13*Annahmen!$B$17/12</f>
        <v/>
      </c>
      <c r="D14" s="17">
        <f>IF(A14&gt;=Annahmen!$B$21,E14*Annahmen!$B$20/12,0)</f>
        <v/>
      </c>
      <c r="E14" s="17">
        <f>E13-B13</f>
        <v/>
      </c>
      <c r="F14" s="17">
        <f>F13+C14+D14+B14</f>
        <v/>
      </c>
    </row>
    <row r="15">
      <c r="A15" t="n">
        <v>10</v>
      </c>
      <c r="B15" s="17">
        <f>Kosten!$B$18/Annahmen!$B$19</f>
        <v/>
      </c>
      <c r="C15" s="17">
        <f>F14*Annahmen!$B$17/12</f>
        <v/>
      </c>
      <c r="D15" s="17">
        <f>IF(A15&gt;=Annahmen!$B$21,E15*Annahmen!$B$20/12,0)</f>
        <v/>
      </c>
      <c r="E15" s="17">
        <f>E14-B14</f>
        <v/>
      </c>
      <c r="F15" s="17">
        <f>F14+C15+D15+B15</f>
        <v/>
      </c>
    </row>
    <row r="16">
      <c r="A16" t="n">
        <v>11</v>
      </c>
      <c r="B16" s="17">
        <f>Kosten!$B$18/Annahmen!$B$19</f>
        <v/>
      </c>
      <c r="C16" s="17">
        <f>F15*Annahmen!$B$17/12</f>
        <v/>
      </c>
      <c r="D16" s="17">
        <f>IF(A16&gt;=Annahmen!$B$21,E16*Annahmen!$B$20/12,0)</f>
        <v/>
      </c>
      <c r="E16" s="17">
        <f>E15-B15</f>
        <v/>
      </c>
      <c r="F16" s="17">
        <f>F15+C16+D16+B16</f>
        <v/>
      </c>
    </row>
    <row r="17">
      <c r="A17" t="n">
        <v>12</v>
      </c>
      <c r="B17" s="17">
        <f>Kosten!$B$18/Annahmen!$B$19</f>
        <v/>
      </c>
      <c r="C17" s="17">
        <f>F16*Annahmen!$B$17/12</f>
        <v/>
      </c>
      <c r="D17" s="17">
        <f>IF(A17&gt;=Annahmen!$B$21,E17*Annahmen!$B$20/12,0)</f>
        <v/>
      </c>
      <c r="E17" s="17">
        <f>E16-B16</f>
        <v/>
      </c>
      <c r="F17" s="17">
        <f>F16+C17+D17+B17</f>
        <v/>
      </c>
    </row>
    <row r="18">
      <c r="A18" t="n">
        <v>13</v>
      </c>
      <c r="B18" s="17">
        <f>Kosten!$B$18/Annahmen!$B$19</f>
        <v/>
      </c>
      <c r="C18" s="17">
        <f>F17*Annahmen!$B$17/12</f>
        <v/>
      </c>
      <c r="D18" s="17">
        <f>IF(A18&gt;=Annahmen!$B$21,E18*Annahmen!$B$20/12,0)</f>
        <v/>
      </c>
      <c r="E18" s="17">
        <f>E17-B17</f>
        <v/>
      </c>
      <c r="F18" s="17">
        <f>F17+C18+D18+B18</f>
        <v/>
      </c>
    </row>
    <row r="19">
      <c r="A19" t="n">
        <v>14</v>
      </c>
      <c r="B19" s="17">
        <f>Kosten!$B$18/Annahmen!$B$19</f>
        <v/>
      </c>
      <c r="C19" s="17">
        <f>F18*Annahmen!$B$17/12</f>
        <v/>
      </c>
      <c r="D19" s="17">
        <f>IF(A19&gt;=Annahmen!$B$21,E19*Annahmen!$B$20/12,0)</f>
        <v/>
      </c>
      <c r="E19" s="17">
        <f>E18-B18</f>
        <v/>
      </c>
      <c r="F19" s="17">
        <f>F18+C19+D19+B19</f>
        <v/>
      </c>
    </row>
    <row r="20">
      <c r="A20" t="n">
        <v>15</v>
      </c>
      <c r="B20" s="17">
        <f>Kosten!$B$18/Annahmen!$B$19</f>
        <v/>
      </c>
      <c r="C20" s="17">
        <f>F19*Annahmen!$B$17/12</f>
        <v/>
      </c>
      <c r="D20" s="17">
        <f>IF(A20&gt;=Annahmen!$B$21,E20*Annahmen!$B$20/12,0)</f>
        <v/>
      </c>
      <c r="E20" s="17">
        <f>E19-B19</f>
        <v/>
      </c>
      <c r="F20" s="17">
        <f>F19+C20+D20+B20</f>
        <v/>
      </c>
    </row>
    <row r="21">
      <c r="B21" s="17" t="n"/>
      <c r="C21" s="17" t="n"/>
      <c r="D21" s="17" t="n"/>
      <c r="E21" s="17" t="n"/>
      <c r="F21" s="17" t="n"/>
    </row>
    <row r="22">
      <c r="A22" s="15" t="inlineStr">
        <is>
          <t>Raten-Aufschub: nur Zinsen laufen auf</t>
        </is>
      </c>
      <c r="B22" s="17" t="n"/>
      <c r="C22" s="17" t="n"/>
      <c r="D22" s="17" t="n"/>
      <c r="E22" s="17" t="n"/>
      <c r="F22" s="17" t="n"/>
    </row>
    <row r="23">
      <c r="A23" s="12" t="inlineStr">
        <is>
          <t>Monat</t>
        </is>
      </c>
      <c r="B23" s="18" t="inlineStr"/>
      <c r="C23" s="18" t="inlineStr">
        <is>
          <t>Zinsen</t>
        </is>
      </c>
      <c r="D23" s="18" t="inlineStr"/>
      <c r="E23" s="18" t="inlineStr"/>
      <c r="F23" s="18" t="inlineStr">
        <is>
          <t>Kredit am Monatsende</t>
        </is>
      </c>
    </row>
    <row r="24">
      <c r="A24" t="n">
        <v>1</v>
      </c>
      <c r="B24" s="17" t="n"/>
      <c r="C24" s="17">
        <f>F20*Annahmen!$B$17/12</f>
        <v/>
      </c>
      <c r="D24" s="17" t="n"/>
      <c r="E24" s="17" t="n"/>
      <c r="F24" s="17">
        <f>F20+C24</f>
        <v/>
      </c>
    </row>
    <row r="25">
      <c r="A25" t="n">
        <v>2</v>
      </c>
      <c r="B25" s="17" t="n"/>
      <c r="C25" s="17">
        <f>F24*Annahmen!$B$17/12</f>
        <v/>
      </c>
      <c r="D25" s="17" t="n"/>
      <c r="E25" s="17" t="n"/>
      <c r="F25" s="17">
        <f>F24+C25</f>
        <v/>
      </c>
    </row>
    <row r="26">
      <c r="A26" t="n">
        <v>3</v>
      </c>
      <c r="B26" s="17" t="n"/>
      <c r="C26" s="17">
        <f>F25*Annahmen!$B$17/12</f>
        <v/>
      </c>
      <c r="D26" s="17" t="n"/>
      <c r="E26" s="17" t="n"/>
      <c r="F26" s="17">
        <f>F25+C26</f>
        <v/>
      </c>
    </row>
    <row r="27">
      <c r="A27" t="n">
        <v>4</v>
      </c>
      <c r="B27" s="17" t="n"/>
      <c r="C27" s="17">
        <f>F26*Annahmen!$B$17/12</f>
        <v/>
      </c>
      <c r="D27" s="17" t="n"/>
      <c r="E27" s="17" t="n"/>
      <c r="F27" s="17">
        <f>F26+C27</f>
        <v/>
      </c>
    </row>
    <row r="28">
      <c r="A28" t="n">
        <v>5</v>
      </c>
      <c r="B28" s="17" t="n"/>
      <c r="C28" s="17">
        <f>F27*Annahmen!$B$17/12</f>
        <v/>
      </c>
      <c r="D28" s="17" t="n"/>
      <c r="E28" s="17" t="n"/>
      <c r="F28" s="17">
        <f>F27+C28</f>
        <v/>
      </c>
    </row>
    <row r="29">
      <c r="A29" t="n">
        <v>6</v>
      </c>
      <c r="B29" s="17" t="n"/>
      <c r="C29" s="17">
        <f>F28*Annahmen!$B$17/12</f>
        <v/>
      </c>
      <c r="D29" s="17" t="n"/>
      <c r="E29" s="17" t="n"/>
      <c r="F29" s="17">
        <f>F28+C29</f>
        <v/>
      </c>
    </row>
    <row r="30">
      <c r="A30" t="n">
        <v>7</v>
      </c>
      <c r="B30" s="17" t="n"/>
      <c r="C30" s="17">
        <f>F29*Annahmen!$B$17/12</f>
        <v/>
      </c>
      <c r="D30" s="17" t="n"/>
      <c r="E30" s="17" t="n"/>
      <c r="F30" s="17">
        <f>F29+C30</f>
        <v/>
      </c>
    </row>
    <row r="31">
      <c r="A31" t="n">
        <v>8</v>
      </c>
      <c r="B31" s="17" t="n"/>
      <c r="C31" s="17">
        <f>F30*Annahmen!$B$17/12</f>
        <v/>
      </c>
      <c r="D31" s="17" t="n"/>
      <c r="E31" s="17" t="n"/>
      <c r="F31" s="17">
        <f>F30+C31</f>
        <v/>
      </c>
    </row>
    <row r="32">
      <c r="A32" t="n">
        <v>9</v>
      </c>
      <c r="B32" s="17" t="n"/>
      <c r="C32" s="17">
        <f>F31*Annahmen!$B$17/12</f>
        <v/>
      </c>
      <c r="D32" s="17" t="n"/>
      <c r="E32" s="17" t="n"/>
      <c r="F32" s="17">
        <f>F31+C32</f>
        <v/>
      </c>
    </row>
    <row r="33">
      <c r="A33" t="n">
        <v>10</v>
      </c>
      <c r="B33" s="17" t="n"/>
      <c r="C33" s="17">
        <f>F32*Annahmen!$B$17/12</f>
        <v/>
      </c>
      <c r="D33" s="17" t="n"/>
      <c r="E33" s="17" t="n"/>
      <c r="F33" s="17">
        <f>F32+C33</f>
        <v/>
      </c>
    </row>
    <row r="34">
      <c r="A34" t="n">
        <v>11</v>
      </c>
      <c r="B34" s="17" t="n"/>
      <c r="C34" s="17">
        <f>F33*Annahmen!$B$17/12</f>
        <v/>
      </c>
      <c r="D34" s="17" t="n"/>
      <c r="E34" s="17" t="n"/>
      <c r="F34" s="17">
        <f>F33+C34</f>
        <v/>
      </c>
    </row>
    <row r="35">
      <c r="A35" t="n">
        <v>12</v>
      </c>
      <c r="B35" s="17" t="n"/>
      <c r="C35" s="17">
        <f>F34*Annahmen!$B$17/12</f>
        <v/>
      </c>
      <c r="D35" s="17" t="n"/>
      <c r="E35" s="17" t="n"/>
      <c r="F35" s="17">
        <f>F34+C35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Was pro Monat übrig bleibt</t>
        </is>
      </c>
    </row>
    <row r="2">
      <c r="A2" s="2" t="inlineStr">
        <is>
          <t>Mit den Annahmen aus dem Blatt Annahmen (Zins, Förderung, Umsatz).</t>
        </is>
      </c>
    </row>
    <row r="4">
      <c r="A4" s="12" t="inlineStr">
        <is>
          <t>Posten</t>
        </is>
      </c>
      <c r="B4" s="13" t="inlineStr">
        <is>
          <t>pro Monat</t>
        </is>
      </c>
    </row>
    <row r="5">
      <c r="A5" s="5" t="inlineStr">
        <is>
          <t>Wohnungen und Büro (Kaltmiete)</t>
        </is>
      </c>
      <c r="B5" s="14">
        <f>Annahmen!B25*Annahmen!B26+Annahmen!B42*Annahmen!B43</f>
        <v/>
      </c>
    </row>
    <row r="6">
      <c r="A6" s="5" t="inlineStr">
        <is>
          <t>Gastro-Pacht</t>
        </is>
      </c>
      <c r="B6" s="14">
        <f>Annahmen!B27*Annahmen!B28</f>
        <v/>
      </c>
    </row>
    <row r="7">
      <c r="A7" s="5" t="inlineStr">
        <is>
          <t>Miete und Pacht gesamt</t>
        </is>
      </c>
      <c r="B7" s="14">
        <f>B5+B6</f>
        <v/>
      </c>
    </row>
    <row r="8">
      <c r="A8" s="5" t="inlineStr">
        <is>
          <t>Gastro-Gewinn nach Pacht</t>
        </is>
      </c>
      <c r="B8" s="14">
        <f>Annahmen!B30*Annahmen!B31-B6</f>
        <v/>
      </c>
    </row>
    <row r="9">
      <c r="A9" s="5" t="inlineStr">
        <is>
          <t>Rate (Zinsen und Tilgung)</t>
        </is>
      </c>
      <c r="B9" s="14">
        <f>-Kredit!I9</f>
        <v/>
      </c>
    </row>
    <row r="10">
      <c r="A10" s="5" t="inlineStr">
        <is>
          <t>Dein Lohn</t>
        </is>
      </c>
      <c r="B10" s="14">
        <f>-Annahmen!B32</f>
        <v/>
      </c>
    </row>
    <row r="11">
      <c r="A11" s="5" t="inlineStr">
        <is>
          <t>Rücklagen</t>
        </is>
      </c>
      <c r="B11" s="14">
        <f>-B7*Annahmen!B29</f>
        <v/>
      </c>
    </row>
    <row r="12">
      <c r="A12" s="15" t="inlineStr">
        <is>
          <t>Ergebnis pro Monat</t>
        </is>
      </c>
      <c r="B12" s="19">
        <f>B5+B6+B8+B9+B10+B11</f>
        <v/>
      </c>
    </row>
    <row r="13">
      <c r="A13" s="5" t="inlineStr">
        <is>
          <t>Ergebnis pro Jahr</t>
        </is>
      </c>
      <c r="B13" s="20">
        <f>B12*12</f>
        <v/>
      </c>
    </row>
    <row r="15">
      <c r="A15" s="15" t="inlineStr">
        <is>
          <t>Break-even Gastro-Umsatz (Ergebnis = 0, abzüglich Lohn aus Annahmen)</t>
        </is>
      </c>
      <c r="B15" s="16">
        <f>(Annahmen!B32+Kredit!I9+B7*Annahmen!B29-B7+B6)/Annahmen!B31</f>
        <v/>
      </c>
    </row>
    <row r="17">
      <c r="A17" s="2" t="inlineStr">
        <is>
          <t>Die Tilgung in der Rate ist Vermögensaufbau (die Schuld sinkt), kein Verlust.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Szenarien (Werte aus dem Rechenmodell, Stand Oktober 2026)</t>
        </is>
      </c>
    </row>
    <row r="2">
      <c r="A2" s="2" t="inlineStr">
        <is>
          <t>Gastro-Umsatz 50.000 €, Mieten 6 × 950 €. Ändern sich die Annahmen, bitte neu erzeugen.</t>
        </is>
      </c>
    </row>
    <row r="4">
      <c r="A4" s="12" t="inlineStr">
        <is>
          <t>Förderung</t>
        </is>
      </c>
      <c r="B4" s="13" t="inlineStr">
        <is>
          <t>Gesamtkosten</t>
        </is>
      </c>
      <c r="C4" s="13" t="inlineStr">
        <is>
          <t>Rate Plan 3,3 %</t>
        </is>
      </c>
      <c r="D4" s="13" t="inlineStr">
        <is>
          <t>Ergebnis Plan</t>
        </is>
      </c>
      <c r="E4" s="13" t="inlineStr">
        <is>
          <t>Rate Ausgang 4,0 %</t>
        </is>
      </c>
      <c r="F4" s="13" t="inlineStr">
        <is>
          <t>Ergebnis Ausgang</t>
        </is>
      </c>
      <c r="G4" s="13" t="inlineStr">
        <is>
          <t>Break-even Umsatz Plan</t>
        </is>
      </c>
      <c r="H4" s="13" t="inlineStr">
        <is>
          <t>Break-even Umsatz Ausgang</t>
        </is>
      </c>
    </row>
    <row r="5">
      <c r="A5" s="21" t="n">
        <v>0</v>
      </c>
      <c r="B5" s="17" t="n">
        <v>4108116</v>
      </c>
      <c r="C5" s="17" t="n">
        <v>15639.22</v>
      </c>
      <c r="D5" s="22" t="n">
        <v>6351.43</v>
      </c>
      <c r="E5" s="17" t="n">
        <v>18392.63</v>
      </c>
      <c r="F5" s="22" t="n">
        <v>3598.01</v>
      </c>
      <c r="G5" s="17" t="n">
        <v>29175.64</v>
      </c>
      <c r="H5" s="17" t="n">
        <v>38203.23</v>
      </c>
    </row>
    <row r="6">
      <c r="A6" s="21" t="n">
        <v>0.05</v>
      </c>
      <c r="B6" s="17" t="n">
        <v>3902710.2</v>
      </c>
      <c r="C6" s="17" t="n">
        <v>14857.26</v>
      </c>
      <c r="D6" s="22" t="n">
        <v>7133.39</v>
      </c>
      <c r="E6" s="17" t="n">
        <v>17473</v>
      </c>
      <c r="F6" s="22" t="n">
        <v>4517.65</v>
      </c>
      <c r="G6" s="17" t="n">
        <v>26611.83</v>
      </c>
      <c r="H6" s="17" t="n">
        <v>35188.05</v>
      </c>
    </row>
    <row r="7">
      <c r="A7" s="21" t="n">
        <v>0.1</v>
      </c>
      <c r="B7" s="17" t="n">
        <v>3697304.4</v>
      </c>
      <c r="C7" s="17" t="n">
        <v>14075.3</v>
      </c>
      <c r="D7" s="22" t="n">
        <v>7915.35</v>
      </c>
      <c r="E7" s="17" t="n">
        <v>16553.37</v>
      </c>
      <c r="F7" s="22" t="n">
        <v>5437.28</v>
      </c>
      <c r="G7" s="17" t="n">
        <v>24048.03</v>
      </c>
      <c r="H7" s="17" t="n">
        <v>32172.86</v>
      </c>
    </row>
    <row r="8">
      <c r="A8" s="21" t="n">
        <v>0.15</v>
      </c>
      <c r="B8" s="17" t="n">
        <v>3491898.6</v>
      </c>
      <c r="C8" s="17" t="n">
        <v>13293.33</v>
      </c>
      <c r="D8" s="22" t="n">
        <v>8697.309999999999</v>
      </c>
      <c r="E8" s="17" t="n">
        <v>15633.74</v>
      </c>
      <c r="F8" s="22" t="n">
        <v>6356.91</v>
      </c>
      <c r="G8" s="17" t="n">
        <v>21484.22</v>
      </c>
      <c r="H8" s="17" t="n">
        <v>29157.68</v>
      </c>
    </row>
    <row r="9">
      <c r="A9" s="21" t="n">
        <v>0.2</v>
      </c>
      <c r="B9" s="17" t="n">
        <v>3286492.8</v>
      </c>
      <c r="C9" s="17" t="n">
        <v>12511.37</v>
      </c>
      <c r="D9" s="22" t="n">
        <v>9479.27</v>
      </c>
      <c r="E9" s="17" t="n">
        <v>14714.11</v>
      </c>
      <c r="F9" s="22" t="n">
        <v>7276.54</v>
      </c>
      <c r="G9" s="17" t="n">
        <v>18920.42</v>
      </c>
      <c r="H9" s="17" t="n">
        <v>26142.49</v>
      </c>
    </row>
    <row r="10">
      <c r="A10" s="21" t="n">
        <v>0.25</v>
      </c>
      <c r="B10" s="17" t="n">
        <v>3081087</v>
      </c>
      <c r="C10" s="17" t="n">
        <v>11729.41</v>
      </c>
      <c r="D10" s="22" t="n">
        <v>10261.23</v>
      </c>
      <c r="E10" s="17" t="n">
        <v>13794.48</v>
      </c>
      <c r="F10" s="22" t="n">
        <v>8196.17</v>
      </c>
      <c r="G10" s="17" t="n">
        <v>16356.61</v>
      </c>
      <c r="H10" s="17" t="n">
        <v>23127.31</v>
      </c>
    </row>
    <row r="12">
      <c r="A12" s="15" t="inlineStr">
        <is>
          <t>Ergebnis pro Monat (ohne Lohn des Bauherrn), Plan 3,3 %, je Gastro-Umsatz</t>
        </is>
      </c>
    </row>
    <row r="13">
      <c r="A13" s="12" t="inlineStr">
        <is>
          <t>Förderung</t>
        </is>
      </c>
      <c r="B13" s="13" t="inlineStr">
        <is>
          <t>40.000 €</t>
        </is>
      </c>
      <c r="C13" s="13" t="inlineStr">
        <is>
          <t>45.000 €</t>
        </is>
      </c>
      <c r="D13" s="13" t="inlineStr">
        <is>
          <t>50.000 €</t>
        </is>
      </c>
      <c r="E13" s="13" t="inlineStr">
        <is>
          <t>55.000 €</t>
        </is>
      </c>
      <c r="F13" s="13" t="inlineStr">
        <is>
          <t>60.000 €</t>
        </is>
      </c>
    </row>
    <row r="14">
      <c r="A14" s="21" t="n">
        <v>0</v>
      </c>
      <c r="B14" s="22" t="n">
        <v>3301.43</v>
      </c>
      <c r="C14" s="22" t="n">
        <v>4826.43</v>
      </c>
      <c r="D14" s="22" t="n">
        <v>6351.43</v>
      </c>
      <c r="E14" s="22" t="n">
        <v>7876.43</v>
      </c>
      <c r="F14" s="22" t="n">
        <v>9401.43</v>
      </c>
    </row>
    <row r="15">
      <c r="A15" s="21" t="n">
        <v>0.1</v>
      </c>
      <c r="B15" s="22" t="n">
        <v>4865.35</v>
      </c>
      <c r="C15" s="22" t="n">
        <v>6390.35</v>
      </c>
      <c r="D15" s="22" t="n">
        <v>7915.35</v>
      </c>
      <c r="E15" s="22" t="n">
        <v>9440.35</v>
      </c>
      <c r="F15" s="22" t="n">
        <v>10965.35</v>
      </c>
    </row>
    <row r="16">
      <c r="A16" s="21" t="n">
        <v>0.15</v>
      </c>
      <c r="B16" s="22" t="n">
        <v>5647.31</v>
      </c>
      <c r="C16" s="22" t="n">
        <v>7172.31</v>
      </c>
      <c r="D16" s="22" t="n">
        <v>8697.309999999999</v>
      </c>
      <c r="E16" s="22" t="n">
        <v>10222.31</v>
      </c>
      <c r="F16" s="22" t="n">
        <v>11747.31</v>
      </c>
    </row>
    <row r="17">
      <c r="A17" s="21" t="n">
        <v>0.2</v>
      </c>
      <c r="B17" s="22" t="n">
        <v>6429.27</v>
      </c>
      <c r="C17" s="22" t="n">
        <v>7954.27</v>
      </c>
      <c r="D17" s="22" t="n">
        <v>9479.27</v>
      </c>
      <c r="E17" s="22" t="n">
        <v>11004.27</v>
      </c>
      <c r="F17" s="22" t="n">
        <v>12529.27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Verkauf an die Familie: Rechnung je Partei</t>
        </is>
      </c>
    </row>
    <row r="2">
      <c r="A2" s="2" t="inlineStr">
        <is>
          <t>Jede Partei mit eigenem Kredit ohne Eigenkapital. Preis = Selbstkosten, 3,3 % Zins, 1 % Tilgung, 10 % Rücklagen. Feste Werte aus model.js.</t>
        </is>
      </c>
    </row>
    <row r="4">
      <c r="A4" s="12" t="inlineStr"/>
      <c r="B4" s="13" t="inlineStr">
        <is>
          <t>A: 1. OG 85 m²</t>
        </is>
      </c>
      <c r="C4" s="13" t="inlineStr">
        <is>
          <t>A: Staffel 63 m²</t>
        </is>
      </c>
      <c r="D4" s="13" t="inlineStr">
        <is>
          <t>A: Gastro (Du)</t>
        </is>
      </c>
      <c r="E4" s="13" t="inlineStr">
        <is>
          <t>B: 1. OG 83 m²</t>
        </is>
      </c>
      <c r="F4" s="13" t="inlineStr">
        <is>
          <t>B: Staffel 103 m²</t>
        </is>
      </c>
      <c r="G4" s="13" t="inlineStr">
        <is>
          <t>B: Gastro (Du)</t>
        </is>
      </c>
      <c r="H4" s="13" t="inlineStr">
        <is>
          <t>C: Regelgeschoss 83 m²</t>
        </is>
      </c>
      <c r="I4" s="13" t="inlineStr">
        <is>
          <t>C: Staffel 103 m²</t>
        </is>
      </c>
      <c r="J4" s="13" t="inlineStr">
        <is>
          <t>C: Gastro + Büro (Du)</t>
        </is>
      </c>
    </row>
    <row r="5">
      <c r="A5" s="5" t="inlineStr">
        <is>
          <t>Preis (Selbstkosten)</t>
        </is>
      </c>
      <c r="B5" s="17" t="n">
        <v>314624.67</v>
      </c>
      <c r="C5" s="17" t="n">
        <v>226174.33</v>
      </c>
      <c r="D5" s="17" t="n">
        <v>1093874</v>
      </c>
      <c r="E5" s="17" t="n">
        <v>289808.6</v>
      </c>
      <c r="F5" s="17" t="n">
        <v>353343.32</v>
      </c>
      <c r="G5" s="17" t="n">
        <v>1599043.01</v>
      </c>
      <c r="H5" s="17" t="n">
        <v>142753.57</v>
      </c>
      <c r="I5" s="17" t="n">
        <v>347236.31</v>
      </c>
      <c r="J5" s="17" t="n">
        <v>1577535.69</v>
      </c>
    </row>
    <row r="6">
      <c r="A6" s="5" t="inlineStr">
        <is>
          <t>Rate pro Monat</t>
        </is>
      </c>
      <c r="B6" s="17" t="n">
        <v>1197.75</v>
      </c>
      <c r="C6" s="17" t="n">
        <v>861.02</v>
      </c>
      <c r="D6" s="17" t="n">
        <v>4164.28</v>
      </c>
      <c r="E6" s="17" t="n">
        <v>1103.27</v>
      </c>
      <c r="F6" s="17" t="n">
        <v>1345.15</v>
      </c>
      <c r="G6" s="17" t="n">
        <v>6087.41</v>
      </c>
      <c r="H6" s="17" t="n">
        <v>543.45</v>
      </c>
      <c r="I6" s="17" t="n">
        <v>1321.9</v>
      </c>
      <c r="J6" s="17" t="n">
        <v>6005.53</v>
      </c>
    </row>
    <row r="7">
      <c r="A7" s="5" t="inlineStr">
        <is>
          <t>Einnahme nach Rücklagen / Gastro-Gewinn (+ Büro)</t>
        </is>
      </c>
      <c r="B7" s="17" t="n">
        <v>855</v>
      </c>
      <c r="C7" s="17" t="n">
        <v>633.71</v>
      </c>
      <c r="D7" s="17" t="n">
        <v>15250</v>
      </c>
      <c r="E7" s="17" t="n">
        <v>834.88</v>
      </c>
      <c r="F7" s="17" t="n">
        <v>1039.41</v>
      </c>
      <c r="G7" s="17" t="n">
        <v>15250</v>
      </c>
      <c r="H7" s="17" t="n">
        <v>417.44</v>
      </c>
      <c r="I7" s="17" t="n">
        <v>1039.41</v>
      </c>
      <c r="J7" s="17" t="n">
        <v>15250</v>
      </c>
    </row>
    <row r="8">
      <c r="A8" s="5" t="inlineStr">
        <is>
          <t>Ergebnis pro Monat</t>
        </is>
      </c>
      <c r="B8" s="22" t="n">
        <v>-342.75</v>
      </c>
      <c r="C8" s="22" t="n">
        <v>-227.32</v>
      </c>
      <c r="D8" s="22" t="n">
        <v>11085.72</v>
      </c>
      <c r="E8" s="22" t="n">
        <v>-268.39</v>
      </c>
      <c r="F8" s="22" t="n">
        <v>-305.73</v>
      </c>
      <c r="G8" s="22" t="n">
        <v>9162.59</v>
      </c>
      <c r="H8" s="22" t="n">
        <v>-126.01</v>
      </c>
      <c r="I8" s="22" t="n">
        <v>-282.48</v>
      </c>
      <c r="J8" s="22" t="n">
        <v>9244.469999999999</v>
      </c>
    </row>
    <row r="9">
      <c r="A9" s="5" t="inlineStr">
        <is>
          <t>Preis für Ergebnis 0 €</t>
        </is>
      </c>
      <c r="B9" s="17" t="n">
        <v>211401.81</v>
      </c>
      <c r="C9" s="17" t="n">
        <v>156686.04</v>
      </c>
      <c r="E9" s="17" t="n">
        <v>206427.65</v>
      </c>
      <c r="F9" s="17" t="n">
        <v>256998.27</v>
      </c>
      <c r="H9" s="17" t="n">
        <v>103213.82</v>
      </c>
      <c r="I9" s="17" t="n">
        <v>256998.27</v>
      </c>
    </row>
    <row r="10">
      <c r="A10" s="5" t="inlineStr">
        <is>
          <t>Lücke zum Selbstkostenpreis</t>
        </is>
      </c>
      <c r="B10" s="17" t="n">
        <v>103222.86</v>
      </c>
      <c r="C10" s="17" t="n">
        <v>69488.28999999999</v>
      </c>
      <c r="E10" s="17" t="n">
        <v>83380.96000000001</v>
      </c>
      <c r="F10" s="17" t="n">
        <v>96345.05</v>
      </c>
      <c r="H10" s="17" t="n">
        <v>39539.75</v>
      </c>
      <c r="I10" s="17" t="n">
        <v>90238.03</v>
      </c>
    </row>
    <row r="13">
      <c r="A13" s="15" t="inlineStr">
        <is>
          <t>Haus als Ganzes mit einem Kredit</t>
        </is>
      </c>
    </row>
    <row r="14">
      <c r="A14" s="12" t="inlineStr"/>
      <c r="B14" s="13" t="inlineStr">
        <is>
          <t>A: 340 m²</t>
        </is>
      </c>
      <c r="C14" s="13" t="inlineStr">
        <is>
          <t>B (Haupt): 540 m²</t>
        </is>
      </c>
      <c r="D14" s="13" t="inlineStr">
        <is>
          <t>C: 540 m², 3 Vollgeschosse + Holz-Penthouse</t>
        </is>
      </c>
    </row>
    <row r="15">
      <c r="A15" s="5" t="inlineStr">
        <is>
          <t>Gesamtkosten</t>
        </is>
      </c>
      <c r="B15" s="17" t="n">
        <v>2716271</v>
      </c>
      <c r="C15" s="17" t="n">
        <v>4108116</v>
      </c>
      <c r="D15" s="17" t="n">
        <v>5474316</v>
      </c>
    </row>
    <row r="16">
      <c r="A16" s="5" t="inlineStr">
        <is>
          <t>Rate pro Monat</t>
        </is>
      </c>
      <c r="B16" s="17" t="n">
        <v>10345.03</v>
      </c>
      <c r="C16" s="17" t="n">
        <v>15639.22</v>
      </c>
      <c r="D16" s="17" t="n">
        <v>20835.86</v>
      </c>
    </row>
    <row r="17">
      <c r="A17" s="5" t="inlineStr">
        <is>
          <t>Ergebnis pro Monat bei 50.000 € Umsatz</t>
        </is>
      </c>
      <c r="B17" s="22" t="n">
        <v>9686.969999999999</v>
      </c>
      <c r="C17" s="22" t="n">
        <v>6351.43</v>
      </c>
      <c r="D17" s="22" t="n">
        <v>5329.2</v>
      </c>
    </row>
    <row r="18">
      <c r="A18" s="5" t="inlineStr">
        <is>
          <t>Break-even Gastro-Umsatz</t>
        </is>
      </c>
      <c r="B18" s="17" t="n">
        <v>18239.43</v>
      </c>
      <c r="C18" s="17" t="n">
        <v>29175.64</v>
      </c>
      <c r="D18" s="17" t="n">
        <v>32527.22</v>
      </c>
    </row>
    <row r="20">
      <c r="A20" s="2" t="inlineStr">
        <is>
          <t>B (Hauptvariante): EG 540 m² (Gastro 460), 1. OG 540 m², Staffel 460 m² mit 72 m² Terrasse. C: zusätzlich 2. OG 540 m², Höhe ca. 13 m. Nur mit Ausnahme der Stadt (Baufenster, II Vollgeschosse, 12 m).</t>
        </is>
      </c>
    </row>
    <row r="22">
      <c r="A22" s="15" t="inlineStr">
        <is>
          <t>Ziel: 250 € Plus je Wohnung (Käufer ohne Eigenkapital, ohne Tilgung, Variante B)</t>
        </is>
      </c>
    </row>
    <row r="23">
      <c r="A23" s="12" t="inlineStr"/>
      <c r="B23" s="13" t="inlineStr">
        <is>
          <t>1. OG 83 m²</t>
        </is>
      </c>
      <c r="C23" s="13" t="inlineStr">
        <is>
          <t>Staffel 103 m²</t>
        </is>
      </c>
      <c r="D23" s="13" t="inlineStr">
        <is>
          <t>Du</t>
        </is>
      </c>
      <c r="E23" s="13" t="inlineStr">
        <is>
          <t>Zins 4,0 %: 1. OG</t>
        </is>
      </c>
      <c r="F23" s="13" t="inlineStr">
        <is>
          <t>Zins 4,0 %: Staffel</t>
        </is>
      </c>
      <c r="G23" s="13" t="inlineStr">
        <is>
          <t>Zins 4,0 %: Du</t>
        </is>
      </c>
    </row>
    <row r="24">
      <c r="A24" s="5" t="inlineStr">
        <is>
          <t>Verkaufspreis</t>
        </is>
      </c>
      <c r="B24" s="17" t="n">
        <v>200194</v>
      </c>
      <c r="C24" s="17" t="n">
        <v>270200</v>
      </c>
      <c r="E24" s="17" t="n">
        <v>163297</v>
      </c>
      <c r="F24" s="17" t="n">
        <v>220400</v>
      </c>
    </row>
    <row r="25">
      <c r="A25" s="5" t="inlineStr">
        <is>
          <t>Selbstkosten</t>
        </is>
      </c>
      <c r="B25" s="17" t="n">
        <v>289808.6</v>
      </c>
      <c r="C25" s="17" t="n">
        <v>353343.32</v>
      </c>
      <c r="E25" s="17" t="n">
        <v>289808.6</v>
      </c>
      <c r="F25" s="17" t="n">
        <v>353343.32</v>
      </c>
    </row>
    <row r="26">
      <c r="A26" s="5" t="inlineStr">
        <is>
          <t>Nachlass (von dir getragen)</t>
        </is>
      </c>
      <c r="B26" s="17" t="n">
        <v>89614.60000000001</v>
      </c>
      <c r="C26" s="17" t="n">
        <v>83143.32000000001</v>
      </c>
      <c r="D26" s="17" t="n">
        <v>697502.99</v>
      </c>
      <c r="E26" s="17" t="n">
        <v>126511.6</v>
      </c>
      <c r="F26" s="17" t="n">
        <v>132943.32</v>
      </c>
      <c r="G26" s="17" t="n">
        <v>1031387.99</v>
      </c>
    </row>
    <row r="27">
      <c r="A27" s="5" t="inlineStr">
        <is>
          <t>Rate pro Monat</t>
        </is>
      </c>
      <c r="B27" s="17" t="n">
        <v>584.88</v>
      </c>
      <c r="C27" s="17" t="n">
        <v>789.41</v>
      </c>
      <c r="D27" s="17" t="n">
        <v>8125.22</v>
      </c>
      <c r="E27" s="17" t="n">
        <v>584.88</v>
      </c>
      <c r="F27" s="17" t="n">
        <v>789.41</v>
      </c>
      <c r="G27" s="17" t="n">
        <v>10853.29</v>
      </c>
    </row>
    <row r="28">
      <c r="A28" s="5" t="inlineStr">
        <is>
          <t>Ergebnis pro Monat</t>
        </is>
      </c>
      <c r="B28" s="22" t="n">
        <v>250</v>
      </c>
      <c r="C28" s="22" t="n">
        <v>250</v>
      </c>
      <c r="D28" s="22" t="n">
        <v>7124.78</v>
      </c>
      <c r="E28" s="22" t="n">
        <v>250</v>
      </c>
      <c r="F28" s="22" t="n">
        <v>250</v>
      </c>
      <c r="G28" s="22" t="n">
        <v>4396.71</v>
      </c>
    </row>
    <row r="31">
      <c r="A31" s="15" t="inlineStr">
        <is>
          <t>Verkaufsplan (Vorschlag), ohne Förderung, 2.200 €/m², tilgungsfrei, 3,3 % Zins, Notar 2 %, Grunderwerbsteuer 5 % (Vater frei)</t>
        </is>
      </c>
    </row>
    <row r="32">
      <c r="A32" s="12" t="inlineStr">
        <is>
          <t>Partei</t>
        </is>
      </c>
      <c r="B32" s="13" t="inlineStr">
        <is>
          <t>Wohnung</t>
        </is>
      </c>
      <c r="C32" s="13" t="inlineStr">
        <is>
          <t>Verkaufspreis</t>
        </is>
      </c>
      <c r="D32" s="13" t="inlineStr">
        <is>
          <t>Selbstkosten</t>
        </is>
      </c>
      <c r="E32" s="13" t="inlineStr">
        <is>
          <t>Differenz (von dir getragen)</t>
        </is>
      </c>
      <c r="F32" s="13" t="inlineStr">
        <is>
          <t>Notar, Steuer</t>
        </is>
      </c>
      <c r="G32" s="13" t="inlineStr">
        <is>
          <t>Rate (nur Zinsen)</t>
        </is>
      </c>
      <c r="H32" s="13" t="inlineStr">
        <is>
          <t>Ergebnis pro Monat</t>
        </is>
      </c>
      <c r="I32" s="13" t="inlineStr">
        <is>
          <t>Ergebnis zum Selbstkostenpreis</t>
        </is>
      </c>
    </row>
    <row r="33">
      <c r="A33" s="5" t="inlineStr">
        <is>
          <t>Vater</t>
        </is>
      </c>
      <c r="B33" s="5" t="inlineStr">
        <is>
          <t>1. OG, 83 m²</t>
        </is>
      </c>
      <c r="C33" s="17" t="n">
        <v>246603.85</v>
      </c>
      <c r="D33" s="17" t="n">
        <v>289808.6</v>
      </c>
      <c r="E33" s="17" t="n">
        <v>43204.76</v>
      </c>
      <c r="F33" s="17" t="n">
        <v>4932.08</v>
      </c>
      <c r="G33" s="17" t="n">
        <v>734.88</v>
      </c>
      <c r="H33" s="22" t="n">
        <v>100</v>
      </c>
      <c r="I33" s="22" t="n">
        <v>-28.75</v>
      </c>
    </row>
    <row r="34">
      <c r="A34" s="5" t="inlineStr">
        <is>
          <t>Bruder</t>
        </is>
      </c>
      <c r="B34" s="5" t="inlineStr">
        <is>
          <t>1. OG, 83 m²</t>
        </is>
      </c>
      <c r="C34" s="17" t="n">
        <v>235080.3</v>
      </c>
      <c r="D34" s="17" t="n">
        <v>289808.6</v>
      </c>
      <c r="E34" s="17" t="n">
        <v>54728.3</v>
      </c>
      <c r="F34" s="17" t="n">
        <v>16455.62</v>
      </c>
      <c r="G34" s="17" t="n">
        <v>734.88</v>
      </c>
      <c r="H34" s="22" t="n">
        <v>100</v>
      </c>
      <c r="I34" s="22" t="n">
        <v>-71.09</v>
      </c>
    </row>
    <row r="35">
      <c r="A35" s="5" t="inlineStr">
        <is>
          <t>Du (Wohnung 1, eigene)</t>
        </is>
      </c>
      <c r="B35" s="5" t="inlineStr">
        <is>
          <t>1. OG, 83 m²</t>
        </is>
      </c>
      <c r="C35" s="17" t="n">
        <v>289808.6</v>
      </c>
      <c r="D35" s="17" t="n">
        <v>289808.6</v>
      </c>
      <c r="E35" s="17" t="n">
        <v>0</v>
      </c>
      <c r="F35" s="17" t="n">
        <v>0</v>
      </c>
      <c r="G35" s="17" t="n">
        <v>846.7</v>
      </c>
      <c r="H35" s="22" t="n">
        <v>-11.82</v>
      </c>
      <c r="I35" s="22" t="n">
        <v>-11.82</v>
      </c>
    </row>
    <row r="36">
      <c r="A36" s="5" t="inlineStr">
        <is>
          <t>Du (Wohnung 2, vermietet)</t>
        </is>
      </c>
      <c r="B36" s="5" t="inlineStr">
        <is>
          <t>1. OG, 83 m²</t>
        </is>
      </c>
      <c r="C36" s="17" t="n">
        <v>289808.6</v>
      </c>
      <c r="D36" s="17" t="n">
        <v>289808.6</v>
      </c>
      <c r="E36" s="17" t="n">
        <v>0</v>
      </c>
      <c r="F36" s="17" t="n">
        <v>0</v>
      </c>
      <c r="G36" s="17" t="n">
        <v>846.7</v>
      </c>
      <c r="H36" s="22" t="n">
        <v>-11.82</v>
      </c>
      <c r="I36" s="22" t="n">
        <v>-11.82</v>
      </c>
    </row>
    <row r="37">
      <c r="A37" s="5" t="inlineStr">
        <is>
          <t>Du (Wohnung 3, vermietet)</t>
        </is>
      </c>
      <c r="B37" s="5" t="inlineStr">
        <is>
          <t>1. OG, 83 m²</t>
        </is>
      </c>
      <c r="C37" s="17" t="n">
        <v>289808.6</v>
      </c>
      <c r="D37" s="17" t="n">
        <v>289808.6</v>
      </c>
      <c r="E37" s="17" t="n">
        <v>0</v>
      </c>
      <c r="F37" s="17" t="n">
        <v>0</v>
      </c>
      <c r="G37" s="17" t="n">
        <v>846.7</v>
      </c>
      <c r="H37" s="22" t="n">
        <v>-11.82</v>
      </c>
      <c r="I37" s="22" t="n">
        <v>-11.82</v>
      </c>
    </row>
    <row r="38">
      <c r="A38" s="5" t="inlineStr">
        <is>
          <t>Onkel 1</t>
        </is>
      </c>
      <c r="B38" s="5" t="inlineStr">
        <is>
          <t>Staffel, 103 m²</t>
        </is>
      </c>
      <c r="C38" s="17" t="n">
        <v>300506.88</v>
      </c>
      <c r="D38" s="17" t="n">
        <v>353343.32</v>
      </c>
      <c r="E38" s="17" t="n">
        <v>52836.45</v>
      </c>
      <c r="F38" s="17" t="n">
        <v>21035.48</v>
      </c>
      <c r="G38" s="17" t="n">
        <v>939.41</v>
      </c>
      <c r="H38" s="22" t="n">
        <v>100</v>
      </c>
      <c r="I38" s="22" t="n">
        <v>-65.17</v>
      </c>
    </row>
    <row r="39">
      <c r="A39" s="5" t="inlineStr">
        <is>
          <t>Onkel 2</t>
        </is>
      </c>
      <c r="B39" s="5" t="inlineStr">
        <is>
          <t>Staffel, 103 m²</t>
        </is>
      </c>
      <c r="C39" s="17" t="n">
        <v>300506.88</v>
      </c>
      <c r="D39" s="17" t="n">
        <v>353343.32</v>
      </c>
      <c r="E39" s="17" t="n">
        <v>52836.45</v>
      </c>
      <c r="F39" s="17" t="n">
        <v>21035.48</v>
      </c>
      <c r="G39" s="17" t="n">
        <v>939.41</v>
      </c>
      <c r="H39" s="22" t="n">
        <v>100</v>
      </c>
      <c r="I39" s="22" t="n">
        <v>-65.17</v>
      </c>
    </row>
    <row r="40">
      <c r="A40" s="5" t="inlineStr">
        <is>
          <t>Onkel 3</t>
        </is>
      </c>
      <c r="B40" s="5" t="inlineStr">
        <is>
          <t>Staffel, 103 m²</t>
        </is>
      </c>
      <c r="C40" s="17" t="n">
        <v>300506.88</v>
      </c>
      <c r="D40" s="17" t="n">
        <v>353343.32</v>
      </c>
      <c r="E40" s="17" t="n">
        <v>52836.45</v>
      </c>
      <c r="F40" s="17" t="n">
        <v>21035.48</v>
      </c>
      <c r="G40" s="17" t="n">
        <v>939.41</v>
      </c>
      <c r="H40" s="22" t="n">
        <v>100</v>
      </c>
      <c r="I40" s="22" t="n">
        <v>-65.17</v>
      </c>
    </row>
    <row r="42">
      <c r="A42" s="5" t="inlineStr">
        <is>
          <t>Differenz gesamt (von dir getragen)</t>
        </is>
      </c>
      <c r="C42" s="17" t="n">
        <v>256442.4</v>
      </c>
    </row>
    <row r="43">
      <c r="A43" s="5" t="inlineStr">
        <is>
          <t>Zinsen auf die Differenz pro Monat</t>
        </is>
      </c>
      <c r="C43" s="17" t="n">
        <v>749.22</v>
      </c>
    </row>
    <row r="44">
      <c r="A44" s="15" t="inlineStr">
        <is>
          <t>Dein Ergebnis pro Monat (Gastro − Rate EG − Zinsen Differenz + deine drei Wohnungen)</t>
        </is>
      </c>
      <c r="C44" s="22" t="n">
        <v>8377.92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1" t="inlineStr">
        <is>
          <t>Variante: Mittelgeschoss doppelt (4 Ebenen, Basis Variante A)</t>
        </is>
      </c>
    </row>
    <row r="2">
      <c r="A2" s="2" t="inlineStr">
        <is>
          <t>Nur als Gedankenspiel: Höhe ca. 13 m, der B-Plan erlaubt 12 m.</t>
        </is>
      </c>
    </row>
    <row r="4">
      <c r="A4" s="12" t="inlineStr"/>
      <c r="B4" s="13" t="inlineStr">
        <is>
          <t>3 Ebenen</t>
        </is>
      </c>
      <c r="C4" s="13" t="inlineStr">
        <is>
          <t>4 Ebenen</t>
        </is>
      </c>
    </row>
    <row r="5">
      <c r="A5" t="inlineStr">
        <is>
          <t>Wohnungen</t>
        </is>
      </c>
      <c r="B5" s="23" t="n">
        <v>6</v>
      </c>
      <c r="C5" s="23" t="n">
        <v>9</v>
      </c>
    </row>
    <row r="6">
      <c r="A6" t="inlineStr">
        <is>
          <t>BGF (m²)</t>
        </is>
      </c>
      <c r="B6" s="24" t="n">
        <v>960</v>
      </c>
      <c r="C6" s="24" t="n">
        <v>1300</v>
      </c>
    </row>
    <row r="7">
      <c r="A7" t="inlineStr">
        <is>
          <t>Gesamtkosten</t>
        </is>
      </c>
      <c r="B7" s="17" t="n">
        <v>2716271</v>
      </c>
      <c r="C7" s="17" t="n">
        <v>3576471</v>
      </c>
    </row>
    <row r="8">
      <c r="A8" t="inlineStr">
        <is>
          <t>Rate (Plan)</t>
        </is>
      </c>
      <c r="B8" s="17" t="n">
        <v>10345.03</v>
      </c>
      <c r="C8" s="17" t="n">
        <v>13616.99</v>
      </c>
    </row>
    <row r="9">
      <c r="A9" t="inlineStr">
        <is>
          <t>Ergebnis pro Monat ohne Förderung</t>
        </is>
      </c>
      <c r="B9" s="22" t="n">
        <v>9686.969999999999</v>
      </c>
      <c r="C9" s="22" t="n">
        <v>8980.01</v>
      </c>
    </row>
    <row r="10">
      <c r="A10" t="inlineStr">
        <is>
          <t>Ergebnis pro Monat mit 15 % Förderung</t>
        </is>
      </c>
      <c r="B10" s="22" t="n">
        <v>11238.73</v>
      </c>
      <c r="C10" s="22" t="n">
        <v>11022.56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Hinweise und offene Punkte</t>
        </is>
      </c>
    </row>
    <row r="3">
      <c r="A3" s="5" t="inlineStr">
        <is>
          <t>• Alle Zahlen sind Planungsannahmen, keine Zusagen von Bank oder Stadt.</t>
        </is>
      </c>
    </row>
    <row r="4">
      <c r="A4" s="5" t="inlineStr">
        <is>
          <t>• Nebenkosten (Grundsteuer, Gebäudeversicherung, Betriebskosten) werden auf die Mieter umgelegt. Hausverwaltung und Instandhaltung sind nicht umlagefähig und stecken in der Rücklage von 10 %.</t>
        </is>
      </c>
    </row>
    <row r="5">
      <c r="A5" s="5" t="inlineStr">
        <is>
          <t>• Miete 11,18 €/m² (950 € für 85 m²) liegt am oberen Rand der Portalwerte für Neubau in Werlte (ca. 10,70–11,02 €/m²).</t>
        </is>
      </c>
    </row>
    <row r="6">
      <c r="A6" s="5" t="inlineStr">
        <is>
          <t>• Förderung ist als Zuschuss in Prozent der Gesamtkosten angesetzt, Höhe und Zweck sind offen.</t>
        </is>
      </c>
    </row>
    <row r="7">
      <c r="A7" s="5" t="inlineStr">
        <is>
          <t>• Gastro-Marge (30,5 % vor Pacht) und Kostenstruktur sind Branchen-Richtwerte, nicht aus Werlte.</t>
        </is>
      </c>
    </row>
    <row r="8">
      <c r="A8" s="5" t="inlineStr">
        <is>
          <t>• Grundfläche 540 m² (Baufenster im Plan geschätzt kleiner), Staffelgeschoss (ca. 460 m², Holzbau, schmale Terrasse rundum) und Gesamthöhe ca. 9,90 m müssen mit der Stadt abgestimmt werden.</t>
        </is>
      </c>
    </row>
    <row r="9">
      <c r="A9" s="5" t="inlineStr">
        <is>
          <t>• Zinsbindung 10 Jahre, der Folgezins ist offen.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2026-10-16T08:57:27Z</dcterms:created>
  <dcterms:modified xmlns:dcterms="http://purl.org/dc/terms/" xmlns:xsi="http://www.w3.org/2001/XMLSchema-instance" xsi:type="dcterms:W3CDTF">2026-10-16T08:57:27Z</dcterms:modified>
</cp:coreProperties>
</file>