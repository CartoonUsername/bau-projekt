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Annahmen" sheetId="2" state="visible" r:id="rId4"/>
    <sheet name="Flächen und Mieten" sheetId="3" state="visible" r:id="rId5"/>
    <sheet name="Gewerbe und Anker" sheetId="4" state="visible" r:id="rId6"/>
    <sheet name="Kosten und Finanzierung" sheetId="5" state="visible" r:id="rId7"/>
    <sheet name="Bauphase" sheetId="6" state="visible" r:id="rId8"/>
    <sheet name="Tilgung Jahre" sheetId="7" state="visible" r:id="rId9"/>
    <sheet name="Tilgungsplan" sheetId="8" state="visible" r:id="rId10"/>
    <sheet name="Ertrag und Cashflow" sheetId="9" state="visible" r:id="rId11"/>
    <sheet name="Gastro Betrieb" sheetId="10" state="visible" r:id="rId12"/>
    <sheet name="Gastro Tagesteile" sheetId="11" state="visible" r:id="rId13"/>
    <sheet name="Ertragswert" sheetId="12" state="visible" r:id="rId14"/>
    <sheet name="Prognose" sheetId="13" state="visible" r:id="rId15"/>
    <sheet name="Sensitivität" sheetId="14" state="visible" r:id="rId16"/>
    <sheet name="Airbnb Prüfung" sheetId="15" state="visible" r:id="rId17"/>
    <sheet name="Bankunterlagen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<sst xmlns="http://schemas.openxmlformats.org/spreadsheetml/2006/main" count="756" uniqueCount="620">
  <si>
    <t xml:space="preserve">Neue Mitte Werlte, Baufeld 3: Bankunterlagen</t>
  </si>
  <si>
    <t xml:space="preserve">Große Gastro im EG (ca. 510 m²), 2 Büro-Ankermieter und 3 Wohnungen im 1. OG, 5 Wohnungen im Staffelgeschoss in Holzbau. Bauherr: Bessam Hasso. Stand Oktober 2026.</t>
  </si>
  <si>
    <t xml:space="preserve">Kennzahl</t>
  </si>
  <si>
    <t xml:space="preserve">Wert</t>
  </si>
  <si>
    <t xml:space="preserve">Erläuterung</t>
  </si>
  <si>
    <t xml:space="preserve">Projekt</t>
  </si>
  <si>
    <t xml:space="preserve">Grundstück (m²)</t>
  </si>
  <si>
    <t xml:space="preserve">Baufeld 3, Neue Mitte Werlte</t>
  </si>
  <si>
    <t xml:space="preserve">Grundfläche Gebäude (m²)</t>
  </si>
  <si>
    <t xml:space="preserve">32 × 18 m = GRZ-Maximum (0,6 × 960 m²)</t>
  </si>
  <si>
    <t xml:space="preserve">Bruttogrundfläche gesamt (m²)</t>
  </si>
  <si>
    <t xml:space="preserve">EG 576, 1. OG 576, Staffel 498</t>
  </si>
  <si>
    <t xml:space="preserve">Gastrofläche (m²)</t>
  </si>
  <si>
    <t xml:space="preserve">ca. 190 Plätze innen, ca. 60 Terrasse</t>
  </si>
  <si>
    <t xml:space="preserve">Büro-Ankermieter (m²)</t>
  </si>
  <si>
    <t xml:space="preserve">100 m² Versicherung o. ä. und 65 m² Makler o. ä., 10 Jahre fest</t>
  </si>
  <si>
    <t xml:space="preserve">Wohneinheiten</t>
  </si>
  <si>
    <t xml:space="preserve">3 im 1. OG (ca. 107 m²), 5 im Staffelgeschoss (ca. 67 m²)</t>
  </si>
  <si>
    <t xml:space="preserve">Wohnfläche gesamt (m²)</t>
  </si>
  <si>
    <t xml:space="preserve">Kosten und Finanzierung</t>
  </si>
  <si>
    <t xml:space="preserve">Gesamtkosten</t>
  </si>
  <si>
    <t xml:space="preserve">inkl. Finanzierungskosten der Bau- und Anlaufzeit</t>
  </si>
  <si>
    <t xml:space="preserve">Darlehen gesamt (100 % Fremdkapital)</t>
  </si>
  <si>
    <t xml:space="preserve">kein Eigenkapital</t>
  </si>
  <si>
    <t xml:space="preserve">davon KfW 297/298/299</t>
  </si>
  <si>
    <t xml:space="preserve">zinsverbilligt</t>
  </si>
  <si>
    <t xml:space="preserve">Anteil KfW</t>
  </si>
  <si>
    <t xml:space="preserve">Mischzins</t>
  </si>
  <si>
    <t xml:space="preserve">KfW 2,5 % / 3,0 %, Hausbank 4,0 % (Annahmen)</t>
  </si>
  <si>
    <t xml:space="preserve">Kapitaldienst pro Monat (Anfangstilgung 1 %)</t>
  </si>
  <si>
    <t xml:space="preserve">nach 12 Monaten tilgungsfreier Anlaufzeit</t>
  </si>
  <si>
    <t xml:space="preserve">Restschuld nach 10 Jahren Zinsbindung</t>
  </si>
  <si>
    <t xml:space="preserve">Ertrag und Wert</t>
  </si>
  <si>
    <t xml:space="preserve">Mieten Wohnen + Büro + Pacht pro Monat</t>
  </si>
  <si>
    <t xml:space="preserve">Rohertrag</t>
  </si>
  <si>
    <t xml:space="preserve">Nettoertrag Immobilie pro Monat (nach Rücklagen)</t>
  </si>
  <si>
    <t xml:space="preserve">Betriebsergebnis Gastro nach Pacht pro Monat</t>
  </si>
  <si>
    <t xml:space="preserve">bei dem Umsatz aus Blatt Gastro Tagesteile, ohne Lohn des Bauherrn</t>
  </si>
  <si>
    <t xml:space="preserve">Ergebnis pro Monat nach Kapitaldienst</t>
  </si>
  <si>
    <t xml:space="preserve">Kapitaldienstdeckung gesamt (DSCR)</t>
  </si>
  <si>
    <t xml:space="preserve">Bank verlangt meist mindestens 1,2</t>
  </si>
  <si>
    <t xml:space="preserve">Kapitaldienstdeckung nur Immobilie</t>
  </si>
  <si>
    <t xml:space="preserve">ohne Gastro-Gewinn</t>
  </si>
  <si>
    <t xml:space="preserve">Kapitaldienstdeckung nur Wohnen und Büro</t>
  </si>
  <si>
    <t xml:space="preserve">langfristige Mieten ohne Gastro</t>
  </si>
  <si>
    <t xml:space="preserve">Ertragswert</t>
  </si>
  <si>
    <t xml:space="preserve">Ertragswertverfahren nach Nutzung</t>
  </si>
  <si>
    <t xml:space="preserve">Beleihungswert nach Abschlag</t>
  </si>
  <si>
    <t xml:space="preserve">Beleihungsauslauf</t>
  </si>
  <si>
    <t xml:space="preserve">Darlehen / Beleihungswert</t>
  </si>
  <si>
    <t xml:space="preserve">Airbnb für 1 Apartment (60 m²)</t>
  </si>
  <si>
    <t xml:space="preserve">Alle Beträge sind Planungsannahmen. KfW-Zinsen und Rahmen sind Stand Ratgeber Oktober 2026 und müssen bei Hausbank und KfW bestätigt werden.</t>
  </si>
  <si>
    <t xml:space="preserve">Annahmen</t>
  </si>
  <si>
    <t xml:space="preserve">Blaue Zellen sind Eingaben, alle anderen Blätter rechnen daraus. Quelle 'Bauherr' = Vorgabe von Bessam Hasso, 'Annahme' = Planungsannahme ohne Beleg.</t>
  </si>
  <si>
    <t xml:space="preserve">Annahme</t>
  </si>
  <si>
    <t xml:space="preserve">Quelle / Hinweis</t>
  </si>
  <si>
    <t xml:space="preserve">Grundstück</t>
  </si>
  <si>
    <t xml:space="preserve">Grundstücksfläche (m²)</t>
  </si>
  <si>
    <t xml:space="preserve">Konzeptheft Neue Mitte Werlte, Baufeld 3</t>
  </si>
  <si>
    <t xml:space="preserve">Kaufpreis je m² (€)</t>
  </si>
  <si>
    <t xml:space="preserve">Bauherr / Stadt Werlte</t>
  </si>
  <si>
    <t xml:space="preserve">Grunderwerbsteuer</t>
  </si>
  <si>
    <t xml:space="preserve">Niedersachsen 5,0 %</t>
  </si>
  <si>
    <t xml:space="preserve">Notar und Grundbuch</t>
  </si>
  <si>
    <t xml:space="preserve">Bauwerk</t>
  </si>
  <si>
    <t xml:space="preserve">BGF Erdgeschoss (m²)</t>
  </si>
  <si>
    <t xml:space="preserve">Grundfläche 32 × 18 m = GRZ-Maximum 0,6 × 960 m² = 576 m²</t>
  </si>
  <si>
    <t xml:space="preserve">BGF 1. Obergeschoss (m²)</t>
  </si>
  <si>
    <t xml:space="preserve">zweites Vollgeschoss: 2 Büros und 3 Wohnungen</t>
  </si>
  <si>
    <t xml:space="preserve">BGF Staffelgeschoss in Holzbau (m²)</t>
  </si>
  <si>
    <t xml:space="preserve">0,8 m rundum zurückgesetzt: 30,4 × 16,4 m, 5 Wohnungen</t>
  </si>
  <si>
    <t xml:space="preserve">Baukosten je m² BGF (€)</t>
  </si>
  <si>
    <t xml:space="preserve">Bauherr (Bekanntenpreis), durch Angebote zu belegen</t>
  </si>
  <si>
    <t xml:space="preserve">Holzbau günstiger als Massivbau (€/m²)</t>
  </si>
  <si>
    <t xml:space="preserve">Annahme, Angebot der Zimmerei nötig</t>
  </si>
  <si>
    <t xml:space="preserve">Umlaufende Dachterrasse (m²)</t>
  </si>
  <si>
    <t xml:space="preserve">schmal, ca. 0,8 m, zählt nicht zur BGF</t>
  </si>
  <si>
    <t xml:space="preserve">Dachterrasse Preis (€/m²)</t>
  </si>
  <si>
    <t xml:space="preserve">Baunebenkosten</t>
  </si>
  <si>
    <t xml:space="preserve">Architekt, Statik, Gebühren; Annahme</t>
  </si>
  <si>
    <t xml:space="preserve">Mehrkosten Effizienzhaus 40 und QNG</t>
  </si>
  <si>
    <t xml:space="preserve">Annahme, auf Bau inkl. Baunebenkosten; Architekt muss bestätigen</t>
  </si>
  <si>
    <t xml:space="preserve">Gastro-Ausbau (€)</t>
  </si>
  <si>
    <t xml:space="preserve">Bauherr: 150.000 € für 150 Plätze, hier 1.000 € je Platz bei 190 Plätzen; Angebote nötig</t>
  </si>
  <si>
    <t xml:space="preserve">Flächen und Nutzung</t>
  </si>
  <si>
    <t xml:space="preserve">Gastrofläche im EG (m²)</t>
  </si>
  <si>
    <t xml:space="preserve">EG abzüglich Treppenhaus, Aufzug, Eingänge (66 m²); Bedarf siehe Blatt Gewerbe und Anker</t>
  </si>
  <si>
    <t xml:space="preserve">Nettogrundfläche Anteil der Gastrofläche</t>
  </si>
  <si>
    <t xml:space="preserve">Annahme, für KfW 299</t>
  </si>
  <si>
    <t xml:space="preserve">Wohnfläche 1. OG (m²)</t>
  </si>
  <si>
    <t xml:space="preserve">3 Wohnungen à ca. 107 m² (OG: 576 m² BGF minus Büros, Treppenhaus, Wände)</t>
  </si>
  <si>
    <t xml:space="preserve">Wohnungen im 1. OG</t>
  </si>
  <si>
    <t xml:space="preserve">Bauherr: 8 Wohnungen insgesamt</t>
  </si>
  <si>
    <t xml:space="preserve">Wohnfläche Staffelgeschoss (m²)</t>
  </si>
  <si>
    <t xml:space="preserve">5 Wohnungen à ca. 67 m² (67 % der BGF)</t>
  </si>
  <si>
    <t xml:space="preserve">Wohnungen im Staffelgeschoss</t>
  </si>
  <si>
    <t xml:space="preserve">davon vom Bauherrn selbst genutzt (Anzahl)</t>
  </si>
  <si>
    <t xml:space="preserve">0 = alle vermietet. Selbstnutzung: KfW 297 statt 298, Miete entfällt</t>
  </si>
  <si>
    <t xml:space="preserve">Ankermieter Büro (1. OG, mit Aufzug)</t>
  </si>
  <si>
    <t xml:space="preserve">Büro 1, Versicherungsgesellschaft o. ä. (m²)</t>
  </si>
  <si>
    <t xml:space="preserve">Bauherr: größeres Büro, langfristiger Ankermieter</t>
  </si>
  <si>
    <t xml:space="preserve">Büro 1: Kaltmiete (€/m²)</t>
  </si>
  <si>
    <t xml:space="preserve">Annahme: Neubau-Büro im Mittelzentrum ca. 8–11 €/m²; keine Marktdaten für Werlte gefunden</t>
  </si>
  <si>
    <t xml:space="preserve">Büro 2, kleiner Makler o. ä. (m²)</t>
  </si>
  <si>
    <t xml:space="preserve">Bauherr: kleineres Büro</t>
  </si>
  <si>
    <t xml:space="preserve">Büro 2: Kaltmiete (€/m²)</t>
  </si>
  <si>
    <t xml:space="preserve">Annahme, kleine Einheit etwas teurer je m²</t>
  </si>
  <si>
    <t xml:space="preserve">Mietvertragslaufzeit Ankermieter (Jahre)</t>
  </si>
  <si>
    <t xml:space="preserve">Annahme: 10 Jahre fest, Indexmiete</t>
  </si>
  <si>
    <t xml:space="preserve">Vermieter-Ausbau der Büros (€/m²)</t>
  </si>
  <si>
    <t xml:space="preserve">Annahme: Böden, Decken, Elektro-Grundausbau; Rest Mieter</t>
  </si>
  <si>
    <t xml:space="preserve">Gastro-Flächenbedarf (Richtwerte)</t>
  </si>
  <si>
    <t xml:space="preserve">Plätze im Gastraum inkl. Bar und Lounge</t>
  </si>
  <si>
    <t xml:space="preserve">Planung</t>
  </si>
  <si>
    <t xml:space="preserve">Plätze im Séparée</t>
  </si>
  <si>
    <t xml:space="preserve">Fläche je Platz im Gastraum (m²)</t>
  </si>
  <si>
    <t xml:space="preserve">Richtwert Gastraum 1,6–2,2 m² je Platz</t>
  </si>
  <si>
    <t xml:space="preserve">Fläche je Platz im Séparée (m²)</t>
  </si>
  <si>
    <t xml:space="preserve">Richtwert Festtafel</t>
  </si>
  <si>
    <t xml:space="preserve">Bar- und Theken-Zone (m²)</t>
  </si>
  <si>
    <t xml:space="preserve">große Theke, Backbar, Service, Stehtische (Bar im Fokus)</t>
  </si>
  <si>
    <t xml:space="preserve">Küche mit Spülküche (m²)</t>
  </si>
  <si>
    <t xml:space="preserve">kleine Bowl- und Snack-Küche, keine große Restaurantküche</t>
  </si>
  <si>
    <t xml:space="preserve">Lager, Kühlung, Anlieferung (m²)</t>
  </si>
  <si>
    <t xml:space="preserve">WC (Herren, Damen, barrierefrei) (m²)</t>
  </si>
  <si>
    <t xml:space="preserve">ca. 1 WC je 25 Plätze</t>
  </si>
  <si>
    <t xml:space="preserve">Eingang, Garderobe, Flure, Technik (m²)</t>
  </si>
  <si>
    <t xml:space="preserve">Rest bis zur Gastrofläche</t>
  </si>
  <si>
    <t xml:space="preserve">Einnahmen und Gastro</t>
  </si>
  <si>
    <t xml:space="preserve">Kaltmiete Wohnen (€/m² Wohnfläche)</t>
  </si>
  <si>
    <t xml:space="preserve">Bauherr: 950 € für 85 m²; Portale Neubau Werlte ca. 10,7–11,0 €/m²</t>
  </si>
  <si>
    <t xml:space="preserve">Pacht Gastro (€/m²)</t>
  </si>
  <si>
    <t xml:space="preserve">Annahme: ca. 8 % vom Umsatz (üblich 6–12 %), große Fläche günstiger je m²</t>
  </si>
  <si>
    <t xml:space="preserve">Rücklagen (Anteil an Miete und Pacht)</t>
  </si>
  <si>
    <t xml:space="preserve">Hausverwaltung, Instandhaltung, Leerstand; Nebenkosten werden umgelegt</t>
  </si>
  <si>
    <t xml:space="preserve">Gastro-Umsatz pro Monat (€)</t>
  </si>
  <si>
    <t xml:space="preserve">netto; Summe aus Frühstück, Mittag, Abend, Bar und Events (Blatt Gastro Tagesteile), Annahmen</t>
  </si>
  <si>
    <t xml:space="preserve">Gastro-Marge vor Pacht</t>
  </si>
  <si>
    <t xml:space="preserve">Branchen-Richtwert</t>
  </si>
  <si>
    <t xml:space="preserve">Lohn des Bauherrn pro Monat (€)</t>
  </si>
  <si>
    <t xml:space="preserve">Bauherr: wird vorerst nicht gerechnet</t>
  </si>
  <si>
    <t xml:space="preserve">Finanzierung (100 % Fremdkapital, kein Eigenkapital)</t>
  </si>
  <si>
    <t xml:space="preserve">KfW 297/298: Kreditrahmen je Wohneinheit (€)</t>
  </si>
  <si>
    <t xml:space="preserve">mit QNG-Zertifikat, ohne QNG 100.000 € (Stand Ratgeber Okt. 2026)</t>
  </si>
  <si>
    <t xml:space="preserve">KfW 299: Kreditrahmen je m² Nettogrundfläche (€)</t>
  </si>
  <si>
    <t xml:space="preserve">mit QNG-PLUS/PREMIUM, ohne QNG 1.500 € (Stand Ratgeber Okt. 2026)</t>
  </si>
  <si>
    <t xml:space="preserve">Zins KfW 297 und 298 (effektiv, 10 Jahre fest)</t>
  </si>
  <si>
    <t xml:space="preserve">Annahme: Ratgeber nennen 0,6 % bis 3,05 %. Bei Hausbank/KfW bestätigen</t>
  </si>
  <si>
    <t xml:space="preserve">Zins KfW 299 (effektiv, 10 Jahre fest)</t>
  </si>
  <si>
    <t xml:space="preserve">Annahme, Nichtwohngebäude teurer als Wohnen</t>
  </si>
  <si>
    <t xml:space="preserve">Zins Hausbank (Restdarlehen, 10 Jahre fest)</t>
  </si>
  <si>
    <t xml:space="preserve">Annahme, Stand Bauzinsen Sept./Okt. 2026</t>
  </si>
  <si>
    <t xml:space="preserve">Anfangstilgung p. a.</t>
  </si>
  <si>
    <t xml:space="preserve">Bauherr; Restschuld wird nach der Zinsbindung angeschlossen</t>
  </si>
  <si>
    <t xml:space="preserve">Bauzeit (Monate)</t>
  </si>
  <si>
    <t xml:space="preserve">feste Tabelle im Blatt Bauphase (15 Monate)</t>
  </si>
  <si>
    <t xml:space="preserve">Tilgungsfreie Anlaufzeit nach Bau (Monate)</t>
  </si>
  <si>
    <t xml:space="preserve">feste Tabelle im Blatt Bauphase (12 Monate), mit Bank zu verhandeln</t>
  </si>
  <si>
    <t xml:space="preserve">Bereitstellungszins p. a.</t>
  </si>
  <si>
    <t xml:space="preserve">ab Monat 7 auf noch nicht abgerufene Bausumme</t>
  </si>
  <si>
    <t xml:space="preserve">Bereitstellungszins ab Monat</t>
  </si>
  <si>
    <t xml:space="preserve">Wertermittlung (Ertragswertverfahren nach ImmoWertV)</t>
  </si>
  <si>
    <t xml:space="preserve">Liegenschaftszins Wohnen</t>
  </si>
  <si>
    <t xml:space="preserve">Annahme: Mehrfamilienhaus ländlicher Raum ca. 3,5–4,5 %</t>
  </si>
  <si>
    <t xml:space="preserve">Liegenschaftszins Büro</t>
  </si>
  <si>
    <t xml:space="preserve">Annahme: Büro/Geschäft ca. 5–7 %; Ankermieter-Vertrag 10 Jahre</t>
  </si>
  <si>
    <t xml:space="preserve">Liegenschaftszins Gastro</t>
  </si>
  <si>
    <t xml:space="preserve">Annahme: Gastro-Pacht höheres Risiko, ca. 6–7,5 %</t>
  </si>
  <si>
    <t xml:space="preserve">Restnutzungsdauer Wohnen (Jahre)</t>
  </si>
  <si>
    <t xml:space="preserve">Neubau, Annahme</t>
  </si>
  <si>
    <t xml:space="preserve">Restnutzungsdauer Büro und Gastro (Jahre)</t>
  </si>
  <si>
    <t xml:space="preserve">Annahme, Ausbau kürzer</t>
  </si>
  <si>
    <t xml:space="preserve">Verwaltungskosten Wohnen je Wohneinheit und Jahr (€)</t>
  </si>
  <si>
    <t xml:space="preserve">Annahme in Anlehnung an ImmoWertV-Ansätze</t>
  </si>
  <si>
    <t xml:space="preserve">Instandhaltung Wohnen (€/m² Wohnfläche und Jahr)</t>
  </si>
  <si>
    <t xml:space="preserve">Annahme Neubau</t>
  </si>
  <si>
    <t xml:space="preserve">Mietausfallwagnis Wohnen</t>
  </si>
  <si>
    <t xml:space="preserve">Verwaltungskosten Gewerbe (Anteil am Rohertrag)</t>
  </si>
  <si>
    <t xml:space="preserve">Instandhaltung Gewerbe (€/m² und Jahr)</t>
  </si>
  <si>
    <t xml:space="preserve">Mietausfallwagnis Gewerbe</t>
  </si>
  <si>
    <t xml:space="preserve">Annahme, Gastro als Mieter riskanter</t>
  </si>
  <si>
    <t xml:space="preserve">Mietausfallwagnis Büro (Ankermieter)</t>
  </si>
  <si>
    <t xml:space="preserve">Annahme: bonitätsstarker Mieter mit 10-Jahres-Vertrag</t>
  </si>
  <si>
    <t xml:space="preserve">Sicherheitsabschlag Beleihungswert</t>
  </si>
  <si>
    <t xml:space="preserve">Annahme der Bank, üblich 10–20 %</t>
  </si>
  <si>
    <t xml:space="preserve">Prognose</t>
  </si>
  <si>
    <t xml:space="preserve">Mietsteigerung pro Jahr</t>
  </si>
  <si>
    <t xml:space="preserve">Umsatzsteigerung Gastro pro Jahr</t>
  </si>
  <si>
    <t xml:space="preserve">Indexierung Büromieten pro Jahr</t>
  </si>
  <si>
    <t xml:space="preserve">Annahme: Indexmiete, zieht Inflation nach</t>
  </si>
  <si>
    <t xml:space="preserve">Gelb hinterlegt: wichtigste Stellschrauben für die Bankverhandlung.</t>
  </si>
  <si>
    <t xml:space="preserve">Flächenprogramm und Mietaufstellung</t>
  </si>
  <si>
    <t xml:space="preserve">Grundfläche 32 × 18 m (GRZ-Maximum): Gastro im EG, 2 Ankermieter-Büros und 3 Wohnungen im 1. OG, 5 Wohnungen im Staffelgeschoss.</t>
  </si>
  <si>
    <t xml:space="preserve">Geschoss</t>
  </si>
  <si>
    <t xml:space="preserve">BGF (m²)</t>
  </si>
  <si>
    <t xml:space="preserve">Nutzung</t>
  </si>
  <si>
    <t xml:space="preserve">Einheiten</t>
  </si>
  <si>
    <t xml:space="preserve">Fläche (m²)</t>
  </si>
  <si>
    <t xml:space="preserve">Erdgeschoss</t>
  </si>
  <si>
    <t xml:space="preserve">Gastro</t>
  </si>
  <si>
    <t xml:space="preserve">1. Obergeschoss</t>
  </si>
  <si>
    <t xml:space="preserve">Büro + Wohnen</t>
  </si>
  <si>
    <t xml:space="preserve">Staffelgeschoss (Holzbau)</t>
  </si>
  <si>
    <t xml:space="preserve">Wohnen</t>
  </si>
  <si>
    <t xml:space="preserve">Summe</t>
  </si>
  <si>
    <t xml:space="preserve">davon Wohneinheiten / Wohnfläche</t>
  </si>
  <si>
    <t xml:space="preserve">Einheit</t>
  </si>
  <si>
    <t xml:space="preserve">Kaltmiete / m²</t>
  </si>
  <si>
    <t xml:space="preserve">Kaltmiete / Monat</t>
  </si>
  <si>
    <t xml:space="preserve">Kaltmiete / Jahr</t>
  </si>
  <si>
    <t xml:space="preserve">WE 1</t>
  </si>
  <si>
    <t xml:space="preserve">1. OG</t>
  </si>
  <si>
    <t xml:space="preserve">WE 2</t>
  </si>
  <si>
    <t xml:space="preserve">WE 3</t>
  </si>
  <si>
    <t xml:space="preserve">WE 4</t>
  </si>
  <si>
    <t xml:space="preserve">Staffel</t>
  </si>
  <si>
    <t xml:space="preserve">WE 5</t>
  </si>
  <si>
    <t xml:space="preserve">WE 6</t>
  </si>
  <si>
    <t xml:space="preserve">WE 7</t>
  </si>
  <si>
    <t xml:space="preserve">WE 8</t>
  </si>
  <si>
    <t xml:space="preserve">Summe Wohnen (alle Wohnungen, marktüblich)</t>
  </si>
  <si>
    <t xml:space="preserve">davon vermietet (Einnahmen)</t>
  </si>
  <si>
    <t xml:space="preserve">Gastro-Pacht (Gastro zahlt an das Haus)</t>
  </si>
  <si>
    <t xml:space="preserve">Büro 1 (Ankermieter, Versicherung o. ä.)</t>
  </si>
  <si>
    <t xml:space="preserve">Büro 2 (Makler o. ä.)</t>
  </si>
  <si>
    <t xml:space="preserve">Büromieten gesamt</t>
  </si>
  <si>
    <t xml:space="preserve">Rohertrag gesamt (Wohnen vermietet + Büro + Pacht)</t>
  </si>
  <si>
    <t xml:space="preserve">Nebenkosten (Grundsteuer, Versicherung, Betriebskosten) werden auf die Mieter umgelegt und sind hier nicht gerechnet. Mieten sind Annahmen des Bauherrn bzw. Planungsannahmen.</t>
  </si>
  <si>
    <t xml:space="preserve">Gewerbeflächen: Gastro-Flächenbedarf und Ankermieter Büro</t>
  </si>
  <si>
    <t xml:space="preserve">Gastro im ganzen EG nach Bedarf (aus Plätzen), zwei Büros im 1. OG als langfristige Ankermieter (Aufzug, getrennter Eingang).</t>
  </si>
  <si>
    <t xml:space="preserve">Gastro-Flächenbedarf</t>
  </si>
  <si>
    <t xml:space="preserve">Menge</t>
  </si>
  <si>
    <t xml:space="preserve">m² je Einheit</t>
  </si>
  <si>
    <t xml:space="preserve">Hinweis</t>
  </si>
  <si>
    <t xml:space="preserve">Gastraum inkl. Lounge</t>
  </si>
  <si>
    <t xml:space="preserve">Plätze × Richtwert</t>
  </si>
  <si>
    <t xml:space="preserve">Séparée (Feiern)</t>
  </si>
  <si>
    <t xml:space="preserve">Festtafel</t>
  </si>
  <si>
    <t xml:space="preserve">Bar und Theken-Zone</t>
  </si>
  <si>
    <t xml:space="preserve">Küche (Bowls, Snacks) mit Spülküche</t>
  </si>
  <si>
    <t xml:space="preserve">Lager, Kühlung, Anlieferung</t>
  </si>
  <si>
    <t xml:space="preserve">WC (Herren, Damen, barrierefrei)</t>
  </si>
  <si>
    <t xml:space="preserve">Eingang, Garderobe, Flure, Technik</t>
  </si>
  <si>
    <t xml:space="preserve">Gastrofläche aus Bedarf</t>
  </si>
  <si>
    <t xml:space="preserve">Gastrofläche im Modell (Annahmen)</t>
  </si>
  <si>
    <t xml:space="preserve">Abweichung (Bedarf minus Modell)</t>
  </si>
  <si>
    <t xml:space="preserve">Plätze innen gesamt</t>
  </si>
  <si>
    <t xml:space="preserve">Bruttofläche je Platz (m²)</t>
  </si>
  <si>
    <t xml:space="preserve">Richtwert Gesamtfläche 2,5–3 m² je Platz</t>
  </si>
  <si>
    <t xml:space="preserve">Gastro-Umsatz je Platz und Jahr (€)</t>
  </si>
  <si>
    <t xml:space="preserve">Österreich Median ca. 12.000 €</t>
  </si>
  <si>
    <t xml:space="preserve">Pacht in % vom Gastro-Umsatz</t>
  </si>
  <si>
    <t xml:space="preserve">üblich 6–12 %</t>
  </si>
  <si>
    <t xml:space="preserve">Ankermieter Büro</t>
  </si>
  <si>
    <t xml:space="preserve">Miete €/m²</t>
  </si>
  <si>
    <t xml:space="preserve">Miete / Monat</t>
  </si>
  <si>
    <t xml:space="preserve">Miete / Jahr</t>
  </si>
  <si>
    <t xml:space="preserve">Laufzeit (Jahre)</t>
  </si>
  <si>
    <t xml:space="preserve">Miete über Laufzeit</t>
  </si>
  <si>
    <t xml:space="preserve">Anteil am Rohertrag</t>
  </si>
  <si>
    <t xml:space="preserve">Büro 1: Versicherungsgesellschaft o. ä.</t>
  </si>
  <si>
    <t xml:space="preserve">Büro 2: Makler o. ä.</t>
  </si>
  <si>
    <t xml:space="preserve">Summe Büro</t>
  </si>
  <si>
    <t xml:space="preserve">Deckung des Kapitaldienstes durch langfristige Mieten</t>
  </si>
  <si>
    <t xml:space="preserve">Kapitaldienst pro Jahr</t>
  </si>
  <si>
    <t xml:space="preserve">Büromieten nach Rücklagen pro Jahr</t>
  </si>
  <si>
    <t xml:space="preserve">davon gedeckter Anteil des Kapitaldienstes</t>
  </si>
  <si>
    <t xml:space="preserve">Wohnen und Büro nach Rücklagen pro Jahr</t>
  </si>
  <si>
    <t xml:space="preserve">davon gedeckter Anteil des Kapitaldienstes (ohne Gastro)</t>
  </si>
  <si>
    <t xml:space="preserve">Mietdauer-gewichtete Restlaufzeit der Büro-Verträge (Jahre)</t>
  </si>
  <si>
    <t xml:space="preserve">Stellplatzbedarf (grobe Annahme)</t>
  </si>
  <si>
    <t xml:space="preserve">Wohnungen: 1,5 je Wohnung</t>
  </si>
  <si>
    <t xml:space="preserve">Gastro: 1 je 10 m² Gastraum (Gastraum, Séparée, Bar)</t>
  </si>
  <si>
    <t xml:space="preserve">Büro: 1 je 30 m²</t>
  </si>
  <si>
    <t xml:space="preserve">Stellplatzbedarf gesamt</t>
  </si>
  <si>
    <t xml:space="preserve">Stellplatzsatzung der Stadt gilt verbindlich</t>
  </si>
  <si>
    <t xml:space="preserve">Hinweis: Büromieten und Laufzeiten sind Annahmen, für Werlte liegen keine Büromarktdaten vor. Anker-Mietverträge (Vorverträge) vor Baubeginn sichern.</t>
  </si>
  <si>
    <t xml:space="preserve">Kosten und Finanzierungsplan</t>
  </si>
  <si>
    <t xml:space="preserve">Mittelverwendung und Mittelherkunft. 100 % Fremdfinanzierung, kein Eigenkapital.</t>
  </si>
  <si>
    <t xml:space="preserve">Mittelverwendung (Kosten)</t>
  </si>
  <si>
    <t xml:space="preserve">Betrag</t>
  </si>
  <si>
    <t xml:space="preserve">Anteil</t>
  </si>
  <si>
    <t xml:space="preserve">Rechnung</t>
  </si>
  <si>
    <t xml:space="preserve">Grundstück (Kaufpreis)</t>
  </si>
  <si>
    <t xml:space="preserve">m² × Preis</t>
  </si>
  <si>
    <t xml:space="preserve">Grundstück gesamt</t>
  </si>
  <si>
    <t xml:space="preserve">Bau, Massivbau (BGF × Baukosten)</t>
  </si>
  <si>
    <t xml:space="preserve">Abschlag Holzbau Staffelgeschoss</t>
  </si>
  <si>
    <t xml:space="preserve">Dachterrasse rundum</t>
  </si>
  <si>
    <t xml:space="preserve">Bau gesamt</t>
  </si>
  <si>
    <t xml:space="preserve">15 % vom Bau</t>
  </si>
  <si>
    <t xml:space="preserve">Mehrkosten Effizienzhaus 40 und QNG-Nachweis</t>
  </si>
  <si>
    <t xml:space="preserve">3 % auf Bau inkl. Baunebenkosten</t>
  </si>
  <si>
    <t xml:space="preserve">Ausbau Gastro (Küche, Bar, Möbel, Technik) und Büros (Vermieter-Ausbau)</t>
  </si>
  <si>
    <t xml:space="preserve">Gastro 1.000 € je Platz, Büros 150 €/m²</t>
  </si>
  <si>
    <t xml:space="preserve">Investitionskosten ohne Finanzierung</t>
  </si>
  <si>
    <t xml:space="preserve">Finanzierungskosten (Bauzeit, Bereitstellung, Anlaufzeit)</t>
  </si>
  <si>
    <t xml:space="preserve">aus Blatt Bauphase</t>
  </si>
  <si>
    <t xml:space="preserve">Gesamtkosten des Vorhabens</t>
  </si>
  <si>
    <t xml:space="preserve">Kosten je m² BGF</t>
  </si>
  <si>
    <t xml:space="preserve">Kosten je Wohneinheit (Gesamtkosten / 8, inkl. Gewerbe)</t>
  </si>
  <si>
    <t xml:space="preserve">Mittelherkunft (Finanzierung)</t>
  </si>
  <si>
    <t xml:space="preserve">Betrag bei Rate-Start</t>
  </si>
  <si>
    <t xml:space="preserve">Zins / Programm</t>
  </si>
  <si>
    <t xml:space="preserve">KfW 297 Klimafreundlicher Neubau (selbst genutzte Wohnungen)</t>
  </si>
  <si>
    <t xml:space="preserve">KfW 298 Klimafreundlicher Neubau (vermietete Wohnungen)</t>
  </si>
  <si>
    <t xml:space="preserve">KfW 299 Klimafreundlicher Neubau (Nichtwohngebäude: Gastro und Büros)</t>
  </si>
  <si>
    <t xml:space="preserve">Hausbank-Darlehen (Restfinanzierung inkl. Zinsen der Bauzeit)</t>
  </si>
  <si>
    <t xml:space="preserve">Eigenkapital</t>
  </si>
  <si>
    <t xml:space="preserve">Summe Finanzierung</t>
  </si>
  <si>
    <t xml:space="preserve">Anteil KfW-Kredite an der Finanzierung</t>
  </si>
  <si>
    <t xml:space="preserve">Mischzins aller Darlehen</t>
  </si>
  <si>
    <t xml:space="preserve">KfW-Rahmen laut Programm (Stand Ratgeber Okt. 2026, bei Hausbank und KfW zu bestätigen):</t>
  </si>
  <si>
    <t xml:space="preserve">KfW 297/298: Rahmen Wohnen (Wohneinheiten × 150.000 €)</t>
  </si>
  <si>
    <t xml:space="preserve">KfW 299: Rahmen Gastro und Büros (Nettogrundfläche × 2.000 €)</t>
  </si>
  <si>
    <t xml:space="preserve">KfW-Rahmen gesamt</t>
  </si>
  <si>
    <t xml:space="preserve">Antrag nur mit Effizienzhaus 40, QNG-Zertifikat, Heizung ohne Öl, Gas und Biomasse, vor Baubeginn über die Hausbank.</t>
  </si>
  <si>
    <t xml:space="preserve">Bauphase und Anlaufzeit: Abrufe, Zinsen, Kreditstand</t>
  </si>
  <si>
    <t xml:space="preserve">Monat 0 = Grundstück. Monate 1–15 Bau. Monate 16–27 tilgungsfreie Anlaufzeit. KfW-Darlehen werden anteilig zu den Ausgaben abgerufen, die Hausbank zahlt zusätzlich alle Zinsen.</t>
  </si>
  <si>
    <t xml:space="preserve">Anteil KfW Wohnen an den Ausgaben</t>
  </si>
  <si>
    <t xml:space="preserve">Anteil KfW Gastro</t>
  </si>
  <si>
    <t xml:space="preserve">Anteil Hausbank</t>
  </si>
  <si>
    <t xml:space="preserve">Monat</t>
  </si>
  <si>
    <t xml:space="preserve">Phase</t>
  </si>
  <si>
    <t xml:space="preserve">Ausgaben (Grundstück, Bau)</t>
  </si>
  <si>
    <t xml:space="preserve">Offene Bausumme</t>
  </si>
  <si>
    <t xml:space="preserve">Abruf KfW Wohnen</t>
  </si>
  <si>
    <t xml:space="preserve">Abruf KfW Gastro</t>
  </si>
  <si>
    <t xml:space="preserve">Zinsen KfW Wohnen</t>
  </si>
  <si>
    <t xml:space="preserve">Zinsen KfW Gastro</t>
  </si>
  <si>
    <t xml:space="preserve">Zinsen Hausbank</t>
  </si>
  <si>
    <t xml:space="preserve">Bereitstellungs-zins</t>
  </si>
  <si>
    <t xml:space="preserve">Abruf Hausbank</t>
  </si>
  <si>
    <t xml:space="preserve">Stand KfW Wohnen</t>
  </si>
  <si>
    <t xml:space="preserve">Stand KfW Gastro</t>
  </si>
  <si>
    <t xml:space="preserve">Stand Hausbank</t>
  </si>
  <si>
    <t xml:space="preserve">Bau</t>
  </si>
  <si>
    <t xml:space="preserve">Anlaufzeit</t>
  </si>
  <si>
    <t xml:space="preserve">Rate-Start</t>
  </si>
  <si>
    <t xml:space="preserve">Summen</t>
  </si>
  <si>
    <t xml:space="preserve">Finanzierungskosten gesamt (Zinsen und Bereitstellung):</t>
  </si>
  <si>
    <t xml:space="preserve">Kontrolle: Stand Rate-Start minus Ausgaben minus Finanzierungskosten (muss 0 sein)</t>
  </si>
  <si>
    <t xml:space="preserve">Abzahlungsplan nach Jahren</t>
  </si>
  <si>
    <t xml:space="preserve">Zusammenfassung des monatlichen Tilgungsplans. Zinsbindung 10 Jahre, danach gleicher Zins angenommen.</t>
  </si>
  <si>
    <t xml:space="preserve">Jahr</t>
  </si>
  <si>
    <t xml:space="preserve">Zinsen</t>
  </si>
  <si>
    <t xml:space="preserve">Tilgung</t>
  </si>
  <si>
    <t xml:space="preserve">Kapitaldienst (Rate)</t>
  </si>
  <si>
    <t xml:space="preserve">Restschuld Jahresende</t>
  </si>
  <si>
    <t xml:space="preserve">davon KfW</t>
  </si>
  <si>
    <t xml:space="preserve">Zinsbindung</t>
  </si>
  <si>
    <t xml:space="preserve">bis Jahr 10</t>
  </si>
  <si>
    <t xml:space="preserve">Anschluss</t>
  </si>
  <si>
    <t xml:space="preserve">Abzahlungsplan (Tilgungsplan) monatlich, 35 Jahre</t>
  </si>
  <si>
    <t xml:space="preserve">Annuitätendarlehen: Rate = Darlehen × (Zins + Anfangstilgung) / 12. Nach 10 Jahren Zinsbindung wird der gleiche Zins angenommen.</t>
  </si>
  <si>
    <t xml:space="preserve">KfW Wohnen</t>
  </si>
  <si>
    <t xml:space="preserve">KfW Gastro</t>
  </si>
  <si>
    <t xml:space="preserve">Hausbank</t>
  </si>
  <si>
    <t xml:space="preserve">Rate pro Monat</t>
  </si>
  <si>
    <t xml:space="preserve">Zins KfW Wohnen</t>
  </si>
  <si>
    <t xml:space="preserve">Tilgung KfW Wohnen</t>
  </si>
  <si>
    <t xml:space="preserve">Rest KfW Wohnen</t>
  </si>
  <si>
    <t xml:space="preserve">Zins KfW Gastro</t>
  </si>
  <si>
    <t xml:space="preserve">Tilgung KfW Gastro</t>
  </si>
  <si>
    <t xml:space="preserve">Rest KfW Gastro</t>
  </si>
  <si>
    <t xml:space="preserve">Zins Hausbank</t>
  </si>
  <si>
    <t xml:space="preserve">Tilgung Hausbank</t>
  </si>
  <si>
    <t xml:space="preserve">Rest Hausbank</t>
  </si>
  <si>
    <t xml:space="preserve">Zinsen gesamt</t>
  </si>
  <si>
    <t xml:space="preserve">Tilgung gesamt</t>
  </si>
  <si>
    <t xml:space="preserve">Rate gesamt</t>
  </si>
  <si>
    <t xml:space="preserve">Restschuld gesamt</t>
  </si>
  <si>
    <t xml:space="preserve">Ertrag und Kapitaldienst (erstes Jahr nach der Anlaufzeit)</t>
  </si>
  <si>
    <t xml:space="preserve">Für die Bank: reicht der Ertrag für Zinsen und Tilgung? Kapitaldienstdeckung (DSCR) = Ertrag vor Kapitaldienst / Kapitaldienst.</t>
  </si>
  <si>
    <t xml:space="preserve">Position</t>
  </si>
  <si>
    <t xml:space="preserve">pro Monat</t>
  </si>
  <si>
    <t xml:space="preserve">pro Jahr</t>
  </si>
  <si>
    <t xml:space="preserve">Kaltmiete Wohnen (vermietete Wohnungen)</t>
  </si>
  <si>
    <t xml:space="preserve">Büromieten (2 Ankermieter)</t>
  </si>
  <si>
    <t xml:space="preserve">10 Jahre fest, Indexmiete</t>
  </si>
  <si>
    <t xml:space="preserve">Pacht Gastro</t>
  </si>
  <si>
    <t xml:space="preserve">Gastro zahlt an das Haus</t>
  </si>
  <si>
    <t xml:space="preserve">Rücklagen (Verwaltung, Instandhaltung, Leerstand)</t>
  </si>
  <si>
    <t xml:space="preserve">10 % von Miete, Büro und Pacht</t>
  </si>
  <si>
    <t xml:space="preserve">Nettoertrag Immobilie</t>
  </si>
  <si>
    <t xml:space="preserve">Betriebsergebnis Gastro nach Pacht</t>
  </si>
  <si>
    <t xml:space="preserve">Betreiber = Bauherr, ohne Lohn</t>
  </si>
  <si>
    <t xml:space="preserve">Nettoertrag vor Kapitaldienst</t>
  </si>
  <si>
    <t xml:space="preserve">Kapitaldienst (Zinsen und Tilgung aller Darlehen)</t>
  </si>
  <si>
    <t xml:space="preserve">ohne Lohn des Bauherrn</t>
  </si>
  <si>
    <t xml:space="preserve">Kapitaldienstdeckung nur Immobilie (Wohnen, Büro, Pacht)</t>
  </si>
  <si>
    <t xml:space="preserve">Kapitaldienstdeckung nur langfristige Mieten (Wohnen, Büro)</t>
  </si>
  <si>
    <t xml:space="preserve">ohne Pacht und Gastro: Ankermieter helfen hier</t>
  </si>
  <si>
    <t xml:space="preserve">Zinsdeckung (Ertrag vor Kapitaldienst / Zinsen)</t>
  </si>
  <si>
    <t xml:space="preserve">Anfangsrendite auf Gesamtkosten (Nettoertrag Immobilie p. a.)</t>
  </si>
  <si>
    <t xml:space="preserve">Break-even Gastro-Umsatz (Haus insgesamt Ergebnis = 0)</t>
  </si>
  <si>
    <t xml:space="preserve">Umsatz, ab dem Zinsen und Tilgung aller Darlehen bezahlt sind</t>
  </si>
  <si>
    <t xml:space="preserve">Anteil der Büro-Ankermieter am Rohertrag</t>
  </si>
  <si>
    <t xml:space="preserve">Gastro-Betrieb: Umsatz, Kosten, Ergebnis pro Monat</t>
  </si>
  <si>
    <t xml:space="preserve">Richtwerte aus der Branche, keine Werte aus Werlte. Lohn des Bauherrn ist nicht gerechnet.</t>
  </si>
  <si>
    <t xml:space="preserve">Posten</t>
  </si>
  <si>
    <t xml:space="preserve">Betrag / Monat</t>
  </si>
  <si>
    <t xml:space="preserve">Umsatz (netto)</t>
  </si>
  <si>
    <t xml:space="preserve">Wareneinsatz (Einkauf Essen und Getränke)</t>
  </si>
  <si>
    <t xml:space="preserve">Personal (ohne Lohn des Bauherrn)</t>
  </si>
  <si>
    <t xml:space="preserve">Energie, Wasser, Müll</t>
  </si>
  <si>
    <t xml:space="preserve">Reinigung, Wäsche, Verbrauchsmaterial</t>
  </si>
  <si>
    <t xml:space="preserve">Werbung und Marketing</t>
  </si>
  <si>
    <t xml:space="preserve">Reparaturen, Wartung, Kassensystem</t>
  </si>
  <si>
    <t xml:space="preserve">Sonstiges</t>
  </si>
  <si>
    <t xml:space="preserve">Versicherungen, GEMA, Gebühren</t>
  </si>
  <si>
    <t xml:space="preserve">Steuerberater, Buchhaltung</t>
  </si>
  <si>
    <t xml:space="preserve">Summe Betriebskosten ohne Pacht</t>
  </si>
  <si>
    <t xml:space="preserve">Gewinn vor Pacht</t>
  </si>
  <si>
    <t xml:space="preserve">Marge laut Annahmen muss mit 30,5 % übereinstimmen</t>
  </si>
  <si>
    <t xml:space="preserve">Pacht an das Haus</t>
  </si>
  <si>
    <t xml:space="preserve">Lohn des Bauherrn</t>
  </si>
  <si>
    <t xml:space="preserve">Betriebsergebnis nach Pacht</t>
  </si>
  <si>
    <t xml:space="preserve">Break-even-Umsatz des Betriebs (Ergebnis nach Pacht = 0)</t>
  </si>
  <si>
    <t xml:space="preserve">Umsatz pro Monat</t>
  </si>
  <si>
    <t xml:space="preserve">Gewinn nach Pacht</t>
  </si>
  <si>
    <t xml:space="preserve">Bei sehr niedrigem Umsatz drücken Fixkosten stärker: die Rechnung ist dort zu günstig.</t>
  </si>
  <si>
    <t xml:space="preserve">Gastro-Umsatz nach Tagesteilen: Frühstück, Mittag, Bar am Abend</t>
  </si>
  <si>
    <t xml:space="preserve">Tagsüber Frühstück und Bowls, abends Bar mit Snacks. Öffnungstage, Gäste und Bon sind Annahmen (keine Marktdaten für Werlte), Ruhetag Montag.</t>
  </si>
  <si>
    <t xml:space="preserve">Tagesteil</t>
  </si>
  <si>
    <t xml:space="preserve">Zeit</t>
  </si>
  <si>
    <t xml:space="preserve">Tage / Monat</t>
  </si>
  <si>
    <t xml:space="preserve">Gäste / Tag</t>
  </si>
  <si>
    <t xml:space="preserve">Ø Bon (€)</t>
  </si>
  <si>
    <t xml:space="preserve">Umsatz / Monat</t>
  </si>
  <si>
    <t xml:space="preserve">Frühstück werktags</t>
  </si>
  <si>
    <t xml:space="preserve">Di–Fr 08:00–11:00</t>
  </si>
  <si>
    <t xml:space="preserve">Brunch am Wochenende</t>
  </si>
  <si>
    <t xml:space="preserve">Sa, So 09:00–14:00</t>
  </si>
  <si>
    <t xml:space="preserve">Mittag: Bowls, Salate, Suppe</t>
  </si>
  <si>
    <t xml:space="preserve">Di–Fr 11:30–14:30</t>
  </si>
  <si>
    <t xml:space="preserve">Nachmittag: Kaffee, Kuchen, Snacks</t>
  </si>
  <si>
    <t xml:space="preserve">Di–So 14:30–17:00</t>
  </si>
  <si>
    <t xml:space="preserve">Bar mit Snacks Di–Do, So</t>
  </si>
  <si>
    <t xml:space="preserve">ab 17:00</t>
  </si>
  <si>
    <t xml:space="preserve">Bar Fr, Sa (bis 01:00)</t>
  </si>
  <si>
    <t xml:space="preserve">Cocktails, Wein, Bier, Snacks</t>
  </si>
  <si>
    <t xml:space="preserve">Events: Live-Musik, Feiern</t>
  </si>
  <si>
    <t xml:space="preserve">nach Absprache, 4 pro Monat</t>
  </si>
  <si>
    <t xml:space="preserve">Gastro-Umsatz pro Monat (netto)</t>
  </si>
  <si>
    <t xml:space="preserve">davon Tag (Frühstück, Brunch, Mittag, Nachmittag)</t>
  </si>
  <si>
    <t xml:space="preserve">davon Abend (Bar mit Snacks, Events)</t>
  </si>
  <si>
    <t xml:space="preserve">Gäste pro Monat</t>
  </si>
  <si>
    <t xml:space="preserve">Umsatz je Platz und Jahr (190 Plätze)</t>
  </si>
  <si>
    <t xml:space="preserve">Auslastung der Plätze an der Bar Fr, Sa (Gäste je Abend / Plätze)</t>
  </si>
  <si>
    <t xml:space="preserve">Einordnung: Die Bar mit Snacks am Abend trägt den größten Teil des Umsatzes, Frühstück und Bowls füllen das Haus am Tag. Terrasse im Sommer, Catering und Weihnachtsfeiern sind nicht eingerechnet. Branchen-Median Österreich ca. 12.000 € je Platz und Jahr.</t>
  </si>
  <si>
    <t xml:space="preserve">Ertragswert und Beleihung</t>
  </si>
  <si>
    <t xml:space="preserve">Ertragswertverfahren nach ImmoWertV (vereinfacht) getrennt nach Wohnen, Büro und Gastro. Ein Gutachter der Bank ermittelt den verbindlichen Beleihungswert.</t>
  </si>
  <si>
    <t xml:space="preserve">Ertragswert nach Nutzung</t>
  </si>
  <si>
    <t xml:space="preserve">Büro</t>
  </si>
  <si>
    <t xml:space="preserve">Rohertrag pro Jahr</t>
  </si>
  <si>
    <t xml:space="preserve">Verwaltungskosten</t>
  </si>
  <si>
    <t xml:space="preserve">Instandhaltung</t>
  </si>
  <si>
    <t xml:space="preserve">Mietausfallwagnis</t>
  </si>
  <si>
    <t xml:space="preserve">Bewirtschaftungskosten</t>
  </si>
  <si>
    <t xml:space="preserve">Reinertrag</t>
  </si>
  <si>
    <t xml:space="preserve">Flächenanteil (für die Verteilung des Bodenwerts)</t>
  </si>
  <si>
    <t xml:space="preserve">Bodenwertanteil (Bodenwert 960 m² × 230 €)</t>
  </si>
  <si>
    <t xml:space="preserve">Liegenschaftszins</t>
  </si>
  <si>
    <t xml:space="preserve">Bodenwertverzinsung</t>
  </si>
  <si>
    <t xml:space="preserve">Reinertragsanteil der Gebäude</t>
  </si>
  <si>
    <t xml:space="preserve">Restnutzungsdauer (Jahre)</t>
  </si>
  <si>
    <t xml:space="preserve">Vervielfältiger</t>
  </si>
  <si>
    <t xml:space="preserve">Summe: mittlerer Vervielfältiger</t>
  </si>
  <si>
    <t xml:space="preserve">Ertragswert der Gebäude</t>
  </si>
  <si>
    <t xml:space="preserve">Ertragswert (Gebäude plus Bodenwert)</t>
  </si>
  <si>
    <t xml:space="preserve">Beleihung</t>
  </si>
  <si>
    <t xml:space="preserve">Sachwert (Bodenwert plus Herstellungskosten Gebäude)</t>
  </si>
  <si>
    <t xml:space="preserve">ohne Gastro-Einrichtung</t>
  </si>
  <si>
    <t xml:space="preserve">Marktwert-Schätzung (niedrigerer Wert)</t>
  </si>
  <si>
    <t xml:space="preserve">bei Ertragsimmobilien zählt der Ertragswert</t>
  </si>
  <si>
    <t xml:space="preserve">Beleihungswert nach Sicherheitsabschlag</t>
  </si>
  <si>
    <t xml:space="preserve">Abschlag der Bank</t>
  </si>
  <si>
    <t xml:space="preserve">Darlehensbedarf (100 % Fremdfinanzierung)</t>
  </si>
  <si>
    <t xml:space="preserve">Beleihungsauslauf (Darlehen / Beleihungswert)</t>
  </si>
  <si>
    <t xml:space="preserve">Banken verlangen meist unter 80–90 %</t>
  </si>
  <si>
    <t xml:space="preserve">Beleihungsauslauf KfW-Darlehen allein</t>
  </si>
  <si>
    <t xml:space="preserve">Ertragswert minus Gesamtkosten</t>
  </si>
  <si>
    <t xml:space="preserve">Wertlücke, über Zusatzsicherheiten oder Eigenkapital zu decken</t>
  </si>
  <si>
    <t xml:space="preserve">Darlehen über 80 % Beleihungsauslauf</t>
  </si>
  <si>
    <t xml:space="preserve">Rechnerischer Betrag über der 80-%-Grenze</t>
  </si>
  <si>
    <t xml:space="preserve">Kaufpreisfaktor (Ertragswert / Rohertrag)</t>
  </si>
  <si>
    <t xml:space="preserve">Vervielfältiger auf die Jahresmiete</t>
  </si>
  <si>
    <t xml:space="preserve">Kosten-Faktor (Gesamtkosten / Rohertrag)</t>
  </si>
  <si>
    <t xml:space="preserve">Die Gastro wird hier nur mit der Pacht bewertet, die Büros mit den Ankermieter-Mieten. Der Gewinn des Betriebs (Bauherr) und Zusatzsicherheiten sind Verhandlungsgegenstand mit der Bank.</t>
  </si>
  <si>
    <t xml:space="preserve">Prognose über 10 Jahre</t>
  </si>
  <si>
    <t xml:space="preserve">Mieten, Pacht, Büro-Indexmiete und Umsatz steigen, der Kapitaldienst bleibt konstant (Annuität). Restschuld nach Tilgungsplan.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</si>
  <si>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</si>
  <si>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</si>
  <si>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</si>
  <si>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</si>
  <si>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</si>
  <si>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</si>
  <si>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</si>
  <si>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</si>
  <si>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</si>
  <si>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</si>
  <si>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Kaltmiete Wohnen</t>
  </si>
  <si>
    <t xml:space="preserve">Büromieten (Indexmiete)</t>
  </si>
  <si>
    <t xml:space="preserve">Rücklagen</t>
  </si>
  <si>
    <t xml:space="preserve">Kapitaldienst</t>
  </si>
  <si>
    <t xml:space="preserve">Ergebnis nach Kapitaldienst</t>
  </si>
  <si>
    <t xml:space="preserve">Kapitaldienstdeckung (DSCR)</t>
  </si>
  <si>
    <t xml:space="preserve">Gastro-Gewinn vor Pacht mit der Umsatzsteigerung fortgeschrieben, Lohn des Bauherrn nicht gerechnet.</t>
  </si>
  <si>
    <t xml:space="preserve">Belastungstest: Was passiert, wenn es schlechter läuft?</t>
  </si>
  <si>
    <t xml:space="preserve">Veränderung des Ergebnisses pro Monat und der Kapitaldienstdeckung gegenüber dem Plan.</t>
  </si>
  <si>
    <t xml:space="preserve">Szenario</t>
  </si>
  <si>
    <t xml:space="preserve">Ergebnis / Monat</t>
  </si>
  <si>
    <t xml:space="preserve">DSCR</t>
  </si>
  <si>
    <t xml:space="preserve">Änderung zum Plan</t>
  </si>
  <si>
    <t xml:space="preserve">Plan</t>
  </si>
  <si>
    <t xml:space="preserve">Anschlusszins nach 10 Jahren +1 Prozentpunkt (auf Restschuld)</t>
  </si>
  <si>
    <t xml:space="preserve">Mieten Wohnen −10 %</t>
  </si>
  <si>
    <t xml:space="preserve">Gastro-Umsatz −20 %</t>
  </si>
  <si>
    <t xml:space="preserve">Gastro-Umsatz −40 %</t>
  </si>
  <si>
    <t xml:space="preserve">Baukosten +10 % (Kredit steigt entsprechend)</t>
  </si>
  <si>
    <t xml:space="preserve">Größerer Büro-Ankermieter zieht aus (Leerstand)</t>
  </si>
  <si>
    <t xml:space="preserve">Beide Büros leer</t>
  </si>
  <si>
    <t xml:space="preserve">Gastro fällt ganz aus (keine Pacht, kein Betriebsergebnis)</t>
  </si>
  <si>
    <t xml:space="preserve">Vereinfachte Rechnung, Hausbank prüft mit eigenen Annahmen.</t>
  </si>
  <si>
    <t xml:space="preserve">Prüfung: 60-m²-Apartment als Airbnb in Werlte</t>
  </si>
  <si>
    <t xml:space="preserve">Lohnt sich Kurzzeitvermietung gegenüber langfristiger Vermietung? Ein Apartment mit 60 m², Marktdaten Werlte Stand Okt. 2026, Möblierung im Kredit (Hausbank-Zins + Tilgung).</t>
  </si>
  <si>
    <t xml:space="preserve">Eingaben</t>
  </si>
  <si>
    <t xml:space="preserve">Preis pro Nacht (€)</t>
  </si>
  <si>
    <t xml:space="preserve">Marktschnitt Werlte ca. 87 € (ferienhausmiete.de), 89 % der Angebote unter 100 €; Neubau Zentrum 90 €</t>
  </si>
  <si>
    <t xml:space="preserve">Möblierung je m² (€)</t>
  </si>
  <si>
    <t xml:space="preserve">Möbel, Küche, Wäsche, Technik; Annahme</t>
  </si>
  <si>
    <t xml:space="preserve">Kostenquote vom Umsatz (Plattform, Reinigung, Nebenkosten, Material, Versicherung, Rücklage)</t>
  </si>
  <si>
    <t xml:space="preserve">15 + 20 + 8 + 2 + 3 + 8 %</t>
  </si>
  <si>
    <t xml:space="preserve">Mindest-Mehrertrag je Monat für den Mehraufwand (€)</t>
  </si>
  <si>
    <t xml:space="preserve">Annahme: Gäste, Schlüssel, Preise kosten Zeit</t>
  </si>
  <si>
    <t xml:space="preserve">Apartment 60 m², Szenario</t>
  </si>
  <si>
    <t xml:space="preserve">Werlte amtlich</t>
  </si>
  <si>
    <t xml:space="preserve">Emsland-Schnitt</t>
  </si>
  <si>
    <t xml:space="preserve">Optimistisch</t>
  </si>
  <si>
    <t xml:space="preserve">Wohnfläche je Apartment (m²)</t>
  </si>
  <si>
    <t xml:space="preserve">Auslastung</t>
  </si>
  <si>
    <t xml:space="preserve">17,4 % Werlte (LSN, Betriebe ab 10 Betten), 36,2 % Emsland, 60 % Annahme Monteure/Business</t>
  </si>
  <si>
    <t xml:space="preserve">Umsatz pro Apartment und Monat</t>
  </si>
  <si>
    <t xml:space="preserve">Netto Airbnb pro Apartment und Monat</t>
  </si>
  <si>
    <t xml:space="preserve">Netto langfristige Miete pro Apartment und Monat</t>
  </si>
  <si>
    <t xml:space="preserve">nach Rücklagen von 10 %, Miete aus 11,18 €/m²</t>
  </si>
  <si>
    <t xml:space="preserve">Möblierung (€)</t>
  </si>
  <si>
    <t xml:space="preserve">Kapitaldienst der Möblierung pro Monat</t>
  </si>
  <si>
    <t xml:space="preserve">Mehrertrag Airbnb je Apartment pro Monat</t>
  </si>
  <si>
    <t xml:space="preserve">Mehrertrag für das Apartment pro Monat</t>
  </si>
  <si>
    <t xml:space="preserve">Ergebnis</t>
  </si>
  <si>
    <t xml:space="preserve">Break-even Auslastung (Airbnb = langfristige Miete)</t>
  </si>
  <si>
    <t xml:space="preserve">Fazit</t>
  </si>
  <si>
    <t xml:space="preserve">Die Möblierung erhöht den Kredit, Kurzzeitvermietung braucht dazu Aufwand, Reinigung, Gästekommunikation und bei mehr als 12 Betten Sonderbau-Brandschutz.</t>
  </si>
  <si>
    <t xml:space="preserve">Marktanalyse Werlte (49757), Stand Q4 2026</t>
  </si>
  <si>
    <t xml:space="preserve">Auslastung Beherbergung Samtgemeinde Werlte 17,4 % bei 4 Betrieben, 2,7 Tage Aufenthalt, 29.141 Übernachtungen; Emsland gesamt 36,2 % (Emsland Tourismus, Quelle LSN, Betriebe ab 10 Betten).</t>
  </si>
  <si>
    <t xml:space="preserve">Angebotspreise Werlte im Schnitt ca. 87 € pro Nacht, 89 % der Ferienunterkünfte unter 100 €; Niedersachsen 2025 Rekord mit 46,9 Mio. Übernachtungen.</t>
  </si>
  <si>
    <t xml:space="preserve">Vergleich Kleinstadt Diepholz: Airbnb-Auslastung typisch 49 % (Drittanbieter-Schätzung), Spitzenobjekte bis 77 %.</t>
  </si>
  <si>
    <t xml:space="preserve">Langfristige Vermietung: Ø 8,79 €/m² Werlte (wohnungsboerse.net, Mai 2026), Annahme Neubau Zentrum 11,18 €/m².</t>
  </si>
  <si>
    <t xml:space="preserve">Keine AirDNA-Daten für Werlte verfügbar; Auslastung und Preise sind Näherungen aus Statistik und Portalen.</t>
  </si>
  <si>
    <t xml:space="preserve">Unterlagen für die Bank (Checkliste)</t>
  </si>
  <si>
    <t xml:space="preserve">Was die Hausbank für Finanzierung und KfW-Antrag typischerweise braucht. Status bitte pflegen.</t>
  </si>
  <si>
    <t xml:space="preserve">Nr.</t>
  </si>
  <si>
    <t xml:space="preserve">Unterlage</t>
  </si>
  <si>
    <t xml:space="preserve">Inhalt / Hinweis</t>
  </si>
  <si>
    <t xml:space="preserve">Status</t>
  </si>
  <si>
    <t xml:space="preserve">Projekt: Businessplan (Word) und Präsentation</t>
  </si>
  <si>
    <t xml:space="preserve">Vorhaben, Konzept, Zahlen, Risiken. Liegt vor.</t>
  </si>
  <si>
    <t xml:space="preserve">vorhanden</t>
  </si>
  <si>
    <t xml:space="preserve">Projekt: Rechenmodell mit Finanzierungs- und Tilgungsplan</t>
  </si>
  <si>
    <t xml:space="preserve">Diese Excel-Datei.</t>
  </si>
  <si>
    <t xml:space="preserve">Projekt: Gastro-Konzept mit Gestaltung</t>
  </si>
  <si>
    <t xml:space="preserve">Konzept (Frühstück, Bowls, Bar mit Snacks), Grundriss, Karte, Umsatzaufbau.</t>
  </si>
  <si>
    <t xml:space="preserve">Projekt: Lageplan, Flurkarte, Grundbuchauszug</t>
  </si>
  <si>
    <t xml:space="preserve">Baufeld 3, ca. 960 m². Grundbuchauszug nach Kaufvertrag.</t>
  </si>
  <si>
    <t xml:space="preserve">offen</t>
  </si>
  <si>
    <t xml:space="preserve">Projekt: Bebauungsplan Nr. 123, 1. Änderung und Konzeptheft</t>
  </si>
  <si>
    <t xml:space="preserve">Festsetzungen, städtebaulicher Vertrag. Entwurf Stand 25.08.2026.</t>
  </si>
  <si>
    <t xml:space="preserve">teilweise</t>
  </si>
  <si>
    <t xml:space="preserve">Projekt: Grundstückskaufvertrag oder Reservierung der Stadt</t>
  </si>
  <si>
    <t xml:space="preserve">Preis 230 €/m², Zuschnitt, Baureife.</t>
  </si>
  <si>
    <t xml:space="preserve">Bau: Entwurfspläne, Flächen- und Wohnflächenberechnung</t>
  </si>
  <si>
    <t xml:space="preserve">Grundrisse, Schnitte, Ansichten vom Architekten.</t>
  </si>
  <si>
    <t xml:space="preserve">Bau: Baubeschreibung</t>
  </si>
  <si>
    <t xml:space="preserve">Konstruktion, Energiestandard, Heizung.</t>
  </si>
  <si>
    <t xml:space="preserve">Bau: Bauvoranfrage oder Baugenehmigung</t>
  </si>
  <si>
    <t xml:space="preserve">Zulässigkeit 540 m², Staffelgeschoss, Flachdach, Höhe, Stellplätze.</t>
  </si>
  <si>
    <t xml:space="preserve">Bau: Kostenberechnung nach DIN 276 und Angebote</t>
  </si>
  <si>
    <t xml:space="preserve">Bauunternehmen und Zimmerei, Festpreis je m².</t>
  </si>
  <si>
    <t xml:space="preserve">Bau: Bauzeitenplan</t>
  </si>
  <si>
    <t xml:space="preserve">Baubeginn Mitte 2027, 15 Monate Bauzeit.</t>
  </si>
  <si>
    <t xml:space="preserve">KfW: Bestätigung Energieeffizienz-Experte (Effizienzhaus 40)</t>
  </si>
  <si>
    <t xml:space="preserve">Antrag KfW 297/298 und 299 über die Hausbank vor Baubeginn.</t>
  </si>
  <si>
    <t xml:space="preserve">KfW: QNG-Zertifizierung (Konzept und Zertifizierer)</t>
  </si>
  <si>
    <t xml:space="preserve">Für den vollen Kreditrahmen erforderlich.</t>
  </si>
  <si>
    <t xml:space="preserve">KfW: Heizkonzept ohne Öl, Gas und Biomasse</t>
  </si>
  <si>
    <t xml:space="preserve">Wärmepumpe oder Fernwärme.</t>
  </si>
  <si>
    <t xml:space="preserve">Einnahmen: Mietaufstellung und Mietkalkulation</t>
  </si>
  <si>
    <t xml:space="preserve">8 Wohnungen und 2 Büros, Flächen, Miete je m².</t>
  </si>
  <si>
    <t xml:space="preserve">Einnahmen: Pachtvertrag Gastro (Entwurf)</t>
  </si>
  <si>
    <t xml:space="preserve">Laufzeit, Pacht 10 €/m², Staffel, Sicherheiten.</t>
  </si>
  <si>
    <t xml:space="preserve">Einnahmen: Vorverträge Ankermieter Büro (2 Mieter)</t>
  </si>
  <si>
    <t xml:space="preserve">Versicherungsgesellschaft (100 m²) und Makler (65 m²), 10 Jahre fest, Indexmiete, Bonitätsauskunft.</t>
  </si>
  <si>
    <t xml:space="preserve">Einnahmen: Vorvermietungsabsichten</t>
  </si>
  <si>
    <t xml:space="preserve">Interessenten für Wohnungen und Gastro.</t>
  </si>
  <si>
    <t xml:space="preserve">Betrieb: Gastro-Kalkulation mit Wareneinsatz, Personal, Umsatz</t>
  </si>
  <si>
    <t xml:space="preserve">Blatt 'Gastro Betrieb'.</t>
  </si>
  <si>
    <t xml:space="preserve">Betrieb: Nachweis Gastro-Erfahrung, Lebenslauf, Konzession</t>
  </si>
  <si>
    <t xml:space="preserve">Gaststättenerlaubnis, Hygiene, Qualifikation.</t>
  </si>
  <si>
    <t xml:space="preserve">Person: Selbstauskunft und Vermögensübersicht</t>
  </si>
  <si>
    <t xml:space="preserve">Einkommen, Verbindlichkeiten, Vermögen.</t>
  </si>
  <si>
    <t xml:space="preserve">Person: Einkommensnachweise, Steuerbescheide, BWA, Schufa</t>
  </si>
  <si>
    <t xml:space="preserve">letzte drei Jahre.</t>
  </si>
  <si>
    <t xml:space="preserve">Person: Nachweis weiterer Sicherheiten</t>
  </si>
  <si>
    <t xml:space="preserve">Bürgschaften, Grundschulden auf weitere Immobilien, bestehende Objekte (letzte zwei Jahre gekauft).</t>
  </si>
  <si>
    <t xml:space="preserve">Sicherheit: Wertermittlung / Beleihungswert</t>
  </si>
  <si>
    <t xml:space="preserve">Gutachten der Bank, Rechenbeispiel im Blatt 'Ertragswert'.</t>
  </si>
  <si>
    <t xml:space="preserve">Sicherheit: Versicherungen</t>
  </si>
  <si>
    <t xml:space="preserve">Bauleistung, Bauherrenhaftpflicht, Gebäude.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</si>
</sst>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#,##0&quot; €&quot;;\-#,##0&quot; €&quot;;\–"/>
    <numFmt numFmtId="167" formatCode="0.0%"/>
    <numFmt numFmtId="168" formatCode="0.00%"/>
    <numFmt numFmtId="169" formatCode="\+#,##0&quot; €&quot;;\-#,##0&quot; €&quot;;\–"/>
    <numFmt numFmtId="170" formatCode="0.00\x"/>
    <numFmt numFmtId="171" formatCode="#,##0.00&quot; €&quot;;\-#,##0.00&quot; €&quot;;\–"/>
    <numFmt numFmtId="172" formatCode="0.0"/>
    <numFmt numFmtId="173" formatCode="\+#,##0;\-#,##0;\–"/>
    <numFmt numFmtId="174" formatCode="0.00"/>
    <numFmt numFmtId="175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4A3E"/>
      <name val="Arial"/>
      <family val="0"/>
      <charset val="1"/>
    </font>
    <font>
      <sz val="10"/>
      <color rgb="FF5B67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B677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4A3E"/>
        <bgColor rgb="FF333300"/>
      </patternFill>
    </fill>
    <fill>
      <patternFill patternType="solid">
        <fgColor rgb="FFE3E8E5"/>
        <bgColor rgb="FFD9D9D9"/>
      </patternFill>
    </fill>
    <fill>
      <patternFill patternType="solid">
        <fgColor rgb="FFFFF2CC"/>
        <bgColor rgb="FFE3E8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8E5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B6770"/>
      <rgbColor rgb="FFC49A45"/>
      <rgbColor rgb="FF003366"/>
      <rgbColor rgb="FF339966"/>
      <rgbColor rgb="FF003300"/>
      <rgbColor rgb="FF333300"/>
      <rgbColor rgb="FF993300"/>
      <rgbColor rgb="FF993366"/>
      <rgbColor rgb="FF333399"/>
      <rgbColor rgb="FF2F4A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Restschuld nach Jahren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'Tilgung Jahre'!E4</c:f>
              <c:strCache>
                <c:ptCount val="1"/>
                <c:pt idx="0">
                  <c:v>Restschuld Jahresende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'Tilgung Jahre'!$A$5:$A$39</c:f>
              <c:strCach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strCache>
            </c:strRef>
          </c:cat>
          <c:val>
            <c:numRef>
              <c:f>'Tilgung Jahre'!$E$5:$E$39</c:f>
              <c:numCache>
                <c:formatCode>#,##0" €";\-#,##0" €";\–</c:formatCode>
                <c:ptCount val="35"/>
                <c:pt idx="0">
                  <c:v>4796289.99144002</c:v>
                </c:pt>
                <c:pt idx="1">
                  <c:v>4745376.85834322</c:v>
                </c:pt>
                <c:pt idx="2">
                  <c:v>4692705.54860192</c:v>
                </c:pt>
                <c:pt idx="3">
                  <c:v>4638213.05983898</c:v>
                </c:pt>
                <c:pt idx="4">
                  <c:v>4581834.06036832</c:v>
                </c:pt>
                <c:pt idx="5">
                  <c:v>4523500.80088865</c:v>
                </c:pt>
                <c:pt idx="6">
                  <c:v>4463143.02276395</c:v>
                </c:pt>
                <c:pt idx="7">
                  <c:v>4400687.86275702</c:v>
                </c:pt>
                <c:pt idx="8">
                  <c:v>4336059.75407694</c:v>
                </c:pt>
                <c:pt idx="9">
                  <c:v>4269180.3235956</c:v>
                </c:pt>
                <c:pt idx="10">
                  <c:v>4199968.28508317</c:v>
                </c:pt>
                <c:pt idx="11">
                  <c:v>4128339.32830588</c:v>
                </c:pt>
                <c:pt idx="12">
                  <c:v>4054206.0038237</c:v>
                </c:pt>
                <c:pt idx="13">
                  <c:v>3977477.60331883</c:v>
                </c:pt>
                <c:pt idx="14">
                  <c:v>3898060.03527929</c:v>
                </c:pt>
                <c:pt idx="15">
                  <c:v>3815855.6958548</c:v>
                </c:pt>
                <c:pt idx="16">
                  <c:v>3730763.3346952</c:v>
                </c:pt>
                <c:pt idx="17">
                  <c:v>3642677.91557354</c:v>
                </c:pt>
                <c:pt idx="18">
                  <c:v>3551490.47158887</c:v>
                </c:pt>
                <c:pt idx="19">
                  <c:v>3457087.95473478</c:v>
                </c:pt>
                <c:pt idx="20">
                  <c:v>3359353.07961204</c:v>
                </c:pt>
                <c:pt idx="21">
                  <c:v>3258164.16105418</c:v>
                </c:pt>
                <c:pt idx="22">
                  <c:v>3153394.94542611</c:v>
                </c:pt>
                <c:pt idx="23">
                  <c:v>3044914.4353462</c:v>
                </c:pt>
                <c:pt idx="24">
                  <c:v>2932586.70757216</c:v>
                </c:pt>
                <c:pt idx="25">
                  <c:v>2816270.72378098</c:v>
                </c:pt>
                <c:pt idx="26">
                  <c:v>2695820.13396222</c:v>
                </c:pt>
                <c:pt idx="27">
                  <c:v>2571083.0721329</c:v>
                </c:pt>
                <c:pt idx="28">
                  <c:v>2441901.94407056</c:v>
                </c:pt>
                <c:pt idx="29">
                  <c:v>2308113.20674897</c:v>
                </c:pt>
                <c:pt idx="30">
                  <c:v>2169547.13914834</c:v>
                </c:pt>
                <c:pt idx="31">
                  <c:v>2026027.60409898</c:v>
                </c:pt>
                <c:pt idx="32">
                  <c:v>1877371.80080347</c:v>
                </c:pt>
                <c:pt idx="33">
                  <c:v>1723390.00766853</c:v>
                </c:pt>
                <c:pt idx="34">
                  <c:v>1563885.31506288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830755"/>
        <c:axId val="14380942"/>
      </c:lineChart>
      <c:catAx>
        <c:axId val="888307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Jahr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80942"/>
        <c:crosses val="autoZero"/>
        <c:auto val="1"/>
        <c:lblAlgn val="ctr"/>
        <c:lblOffset val="100"/>
        <c:noMultiLvlLbl val="0"/>
      </c:catAx>
      <c:valAx>
        <c:axId val="143809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;\-#,##0&quot; €&quot;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307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18</xdr:col>
      <xdr:colOff>364680</xdr:colOff>
      <xdr:row>16</xdr:row>
      <xdr:rowOff>153000</xdr:rowOff>
    </xdr:to>
    <xdr:graphicFrame>
      <xdr:nvGraphicFramePr>
        <xdr:cNvPr id="0" name="Chart 1"/>
        <xdr:cNvGraphicFramePr/>
      </xdr:nvGraphicFramePr>
      <xdr:xfrm>
        <a:off x="808308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4A3E"/>
    <pageSetUpPr fitToPage="tru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6"/>
      <c r="C5" s="6"/>
    </row>
    <row r="6" customFormat="false" ht="15" hidden="false" customHeight="false" outlineLevel="0" collapsed="false">
      <c r="A6" s="7" t="s">
        <v>6</v>
      </c>
      <c r="B6" s="8" t="n">
        <f aca="false">Annahmen!$B$5</f>
        <v>960</v>
      </c>
      <c r="C6" s="9" t="s">
        <v>7</v>
      </c>
    </row>
    <row r="7" customFormat="false" ht="15" hidden="false" customHeight="false" outlineLevel="0" collapsed="false">
      <c r="A7" s="7" t="s">
        <v>8</v>
      </c>
      <c r="B7" s="8" t="n">
        <f aca="false">Annahmen!$B$10</f>
        <v>576</v>
      </c>
      <c r="C7" s="9" t="s">
        <v>9</v>
      </c>
    </row>
    <row r="8" customFormat="false" ht="15" hidden="false" customHeight="false" outlineLevel="0" collapsed="false">
      <c r="A8" s="7" t="s">
        <v>10</v>
      </c>
      <c r="B8" s="8" t="n">
        <f aca="false">'Flächen und Mieten'!B8</f>
        <v>1650</v>
      </c>
      <c r="C8" s="9" t="s">
        <v>11</v>
      </c>
    </row>
    <row r="9" customFormat="false" ht="15" hidden="false" customHeight="false" outlineLevel="0" collapsed="false">
      <c r="A9" s="7" t="s">
        <v>12</v>
      </c>
      <c r="B9" s="8" t="n">
        <f aca="false">Annahmen!$B$21</f>
        <v>510</v>
      </c>
      <c r="C9" s="9" t="s">
        <v>13</v>
      </c>
    </row>
    <row r="10" customFormat="false" ht="15" hidden="false" customHeight="false" outlineLevel="0" collapsed="false">
      <c r="A10" s="7" t="s">
        <v>14</v>
      </c>
      <c r="B10" s="8" t="n">
        <f aca="false">'Gewerbe und Anker'!B24</f>
        <v>165</v>
      </c>
      <c r="C10" s="9" t="s">
        <v>15</v>
      </c>
    </row>
    <row r="11" customFormat="false" ht="15" hidden="false" customHeight="false" outlineLevel="0" collapsed="false">
      <c r="A11" s="7" t="s">
        <v>16</v>
      </c>
      <c r="B11" s="8" t="n">
        <f aca="false">'Flächen und Mieten'!D9</f>
        <v>8</v>
      </c>
      <c r="C11" s="9" t="s">
        <v>17</v>
      </c>
    </row>
    <row r="12" customFormat="false" ht="15" hidden="false" customHeight="false" outlineLevel="0" collapsed="false">
      <c r="A12" s="7" t="s">
        <v>18</v>
      </c>
      <c r="B12" s="8" t="n">
        <f aca="false">'Flächen und Mieten'!E9</f>
        <v>655</v>
      </c>
      <c r="C12" s="9"/>
    </row>
    <row r="13" customFormat="false" ht="15" hidden="false" customHeight="false" outlineLevel="0" collapsed="false">
      <c r="A13" s="5" t="s">
        <v>19</v>
      </c>
      <c r="B13" s="6"/>
      <c r="C13" s="6"/>
    </row>
    <row r="14" customFormat="false" ht="15" hidden="false" customHeight="false" outlineLevel="0" collapsed="false">
      <c r="A14" s="7" t="s">
        <v>20</v>
      </c>
      <c r="B14" s="10" t="n">
        <f aca="false">'Kosten und Finanzierung'!B18</f>
        <v>4845505.70598245</v>
      </c>
      <c r="C14" s="9" t="s">
        <v>21</v>
      </c>
    </row>
    <row r="15" customFormat="false" ht="15" hidden="false" customHeight="false" outlineLevel="0" collapsed="false">
      <c r="A15" s="7" t="s">
        <v>22</v>
      </c>
      <c r="B15" s="10" t="n">
        <f aca="false">'Kosten und Finanzierung'!B29</f>
        <v>4845505.70598245</v>
      </c>
      <c r="C15" s="9" t="s">
        <v>23</v>
      </c>
    </row>
    <row r="16" customFormat="false" ht="15" hidden="false" customHeight="false" outlineLevel="0" collapsed="false">
      <c r="A16" s="7" t="s">
        <v>24</v>
      </c>
      <c r="B16" s="10" t="n">
        <f aca="false">SUM('Kosten und Finanzierung'!B24:B26)</f>
        <v>2347500</v>
      </c>
      <c r="C16" s="9" t="s">
        <v>25</v>
      </c>
    </row>
    <row r="17" customFormat="false" ht="15" hidden="false" customHeight="false" outlineLevel="0" collapsed="false">
      <c r="A17" s="7" t="s">
        <v>26</v>
      </c>
      <c r="B17" s="11" t="n">
        <f aca="false">'Kosten und Finanzierung'!B30</f>
        <v>0.48446955641837</v>
      </c>
      <c r="C17" s="9"/>
    </row>
    <row r="18" customFormat="false" ht="15" hidden="false" customHeight="false" outlineLevel="0" collapsed="false">
      <c r="A18" s="7" t="s">
        <v>27</v>
      </c>
      <c r="B18" s="12" t="n">
        <f aca="false">'Kosten und Finanzierung'!B31</f>
        <v>0.0339170435887406</v>
      </c>
      <c r="C18" s="9" t="s">
        <v>28</v>
      </c>
    </row>
    <row r="19" customFormat="false" ht="15" hidden="false" customHeight="false" outlineLevel="0" collapsed="false">
      <c r="A19" s="7" t="s">
        <v>29</v>
      </c>
      <c r="B19" s="10" t="n">
        <f aca="false">Tilgungsplan!N3</f>
        <v>17733.3571082602</v>
      </c>
      <c r="C19" s="9" t="s">
        <v>30</v>
      </c>
    </row>
    <row r="20" customFormat="false" ht="15" hidden="false" customHeight="false" outlineLevel="0" collapsed="false">
      <c r="A20" s="7" t="s">
        <v>31</v>
      </c>
      <c r="B20" s="10" t="n">
        <f aca="false">'Tilgung Jahre'!E14</f>
        <v>4269180.3235956</v>
      </c>
      <c r="C20" s="9"/>
    </row>
    <row r="21" customFormat="false" ht="15" hidden="false" customHeight="false" outlineLevel="0" collapsed="false">
      <c r="A21" s="5" t="s">
        <v>32</v>
      </c>
      <c r="B21" s="6"/>
      <c r="C21" s="6"/>
    </row>
    <row r="22" customFormat="false" ht="15" hidden="false" customHeight="false" outlineLevel="0" collapsed="false">
      <c r="A22" s="7" t="s">
        <v>33</v>
      </c>
      <c r="B22" s="10" t="n">
        <f aca="false">'Flächen und Mieten'!F26</f>
        <v>14020.5882352941</v>
      </c>
      <c r="C22" s="9" t="s">
        <v>34</v>
      </c>
    </row>
    <row r="23" customFormat="false" ht="15" hidden="false" customHeight="false" outlineLevel="0" collapsed="false">
      <c r="A23" s="7" t="s">
        <v>35</v>
      </c>
      <c r="B23" s="10" t="n">
        <f aca="false">'Ertrag und Cashflow'!B9</f>
        <v>12618.5294117647</v>
      </c>
      <c r="C23" s="9"/>
    </row>
    <row r="24" customFormat="false" ht="15" hidden="false" customHeight="false" outlineLevel="0" collapsed="false">
      <c r="A24" s="7" t="s">
        <v>36</v>
      </c>
      <c r="B24" s="10" t="n">
        <f aca="false">'Ertrag und Cashflow'!B10</f>
        <v>14728.05</v>
      </c>
      <c r="C24" s="9" t="s">
        <v>37</v>
      </c>
    </row>
    <row r="25" customFormat="false" ht="15" hidden="false" customHeight="false" outlineLevel="0" collapsed="false">
      <c r="A25" s="7" t="s">
        <v>38</v>
      </c>
      <c r="B25" s="13" t="n">
        <f aca="false">'Ertrag und Cashflow'!B13</f>
        <v>9613.22230350448</v>
      </c>
      <c r="C25" s="9"/>
    </row>
    <row r="26" customFormat="false" ht="15" hidden="false" customHeight="false" outlineLevel="0" collapsed="false">
      <c r="A26" s="7" t="s">
        <v>39</v>
      </c>
      <c r="B26" s="14" t="n">
        <f aca="false">'Ertrag und Cashflow'!B15</f>
        <v>1.54209827529084</v>
      </c>
      <c r="C26" s="9" t="s">
        <v>40</v>
      </c>
    </row>
    <row r="27" customFormat="false" ht="15" hidden="false" customHeight="false" outlineLevel="0" collapsed="false">
      <c r="A27" s="7" t="s">
        <v>41</v>
      </c>
      <c r="B27" s="14" t="n">
        <f aca="false">'Ertrag und Cashflow'!B16</f>
        <v>0.711570253434245</v>
      </c>
      <c r="C27" s="9" t="s">
        <v>42</v>
      </c>
    </row>
    <row r="28" customFormat="false" ht="15" hidden="false" customHeight="false" outlineLevel="0" collapsed="false">
      <c r="A28" s="7" t="s">
        <v>43</v>
      </c>
      <c r="B28" s="14" t="n">
        <f aca="false">'Ertrag und Cashflow'!B17</f>
        <v>0.45273601398491</v>
      </c>
      <c r="C28" s="9" t="s">
        <v>44</v>
      </c>
    </row>
    <row r="29" customFormat="false" ht="15" hidden="false" customHeight="false" outlineLevel="0" collapsed="false">
      <c r="A29" s="7" t="s">
        <v>45</v>
      </c>
      <c r="B29" s="10" t="n">
        <f aca="false">Ertragswert!E19</f>
        <v>2877243.98222429</v>
      </c>
      <c r="C29" s="9" t="s">
        <v>46</v>
      </c>
    </row>
    <row r="30" customFormat="false" ht="15" hidden="false" customHeight="false" outlineLevel="0" collapsed="false">
      <c r="A30" s="7" t="s">
        <v>47</v>
      </c>
      <c r="B30" s="10" t="n">
        <f aca="false">Ertragswert!B26</f>
        <v>2589519.58400186</v>
      </c>
      <c r="C30" s="9"/>
    </row>
    <row r="31" customFormat="false" ht="15" hidden="false" customHeight="false" outlineLevel="0" collapsed="false">
      <c r="A31" s="7" t="s">
        <v>48</v>
      </c>
      <c r="B31" s="11" t="n">
        <f aca="false">Ertragswert!B29</f>
        <v>1.87119871033923</v>
      </c>
      <c r="C31" s="9" t="s">
        <v>49</v>
      </c>
    </row>
    <row r="32" customFormat="false" ht="43.5" hidden="false" customHeight="true" outlineLevel="0" collapsed="false">
      <c r="A32" s="7" t="s">
        <v>50</v>
      </c>
      <c r="B32" s="15" t="str">
        <f aca="false">'Airbnb Prüfung'!A23</f>
        <v>Kein Szenario erreicht den Mindest-Mehrertrag von 300 € pro Monat. Langfristige Vermietung ist besser, Airbnb bleibt aus dem Konzept.</v>
      </c>
      <c r="C32" s="15"/>
    </row>
    <row r="34" customFormat="false" ht="15" hidden="false" customHeight="false" outlineLevel="0" collapsed="false">
      <c r="A34" s="16" t="s">
        <v>51</v>
      </c>
    </row>
  </sheetData>
  <mergeCells count="1">
    <mergeCell ref="B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4A3E"/>
    <pageSetUpPr fitToPage="true"/>
  </sheetPr>
  <dimension ref="A1:C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9.7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17" t="s">
        <v>54</v>
      </c>
      <c r="B3" s="17" t="s">
        <v>3</v>
      </c>
      <c r="C3" s="17" t="s">
        <v>55</v>
      </c>
    </row>
    <row r="4" customFormat="false" ht="15" hidden="false" customHeight="false" outlineLevel="0" collapsed="false">
      <c r="A4" s="5" t="s">
        <v>56</v>
      </c>
      <c r="B4" s="6"/>
      <c r="C4" s="6"/>
    </row>
    <row r="5" customFormat="false" ht="15" hidden="false" customHeight="false" outlineLevel="0" collapsed="false">
      <c r="A5" s="7" t="s">
        <v>57</v>
      </c>
      <c r="B5" s="18" t="n">
        <v>960</v>
      </c>
      <c r="C5" s="9" t="s">
        <v>58</v>
      </c>
    </row>
    <row r="6" customFormat="false" ht="15" hidden="false" customHeight="false" outlineLevel="0" collapsed="false">
      <c r="A6" s="7" t="s">
        <v>59</v>
      </c>
      <c r="B6" s="19" t="n">
        <v>230</v>
      </c>
      <c r="C6" s="9" t="s">
        <v>60</v>
      </c>
    </row>
    <row r="7" customFormat="false" ht="15" hidden="false" customHeight="false" outlineLevel="0" collapsed="false">
      <c r="A7" s="7" t="s">
        <v>61</v>
      </c>
      <c r="B7" s="20" t="n">
        <v>0.05</v>
      </c>
      <c r="C7" s="9" t="s">
        <v>62</v>
      </c>
    </row>
    <row r="8" customFormat="false" ht="15" hidden="false" customHeight="false" outlineLevel="0" collapsed="false">
      <c r="A8" s="7" t="s">
        <v>63</v>
      </c>
      <c r="B8" s="20" t="n">
        <v>0.02</v>
      </c>
      <c r="C8" s="9" t="s">
        <v>54</v>
      </c>
    </row>
    <row r="9" customFormat="false" ht="15" hidden="false" customHeight="false" outlineLevel="0" collapsed="false">
      <c r="A9" s="5" t="s">
        <v>64</v>
      </c>
      <c r="B9" s="6"/>
      <c r="C9" s="6"/>
    </row>
    <row r="10" customFormat="false" ht="15" hidden="false" customHeight="false" outlineLevel="0" collapsed="false">
      <c r="A10" s="7" t="s">
        <v>65</v>
      </c>
      <c r="B10" s="18" t="n">
        <v>576</v>
      </c>
      <c r="C10" s="9" t="s">
        <v>66</v>
      </c>
    </row>
    <row r="11" customFormat="false" ht="15" hidden="false" customHeight="false" outlineLevel="0" collapsed="false">
      <c r="A11" s="7" t="s">
        <v>67</v>
      </c>
      <c r="B11" s="18" t="n">
        <v>576</v>
      </c>
      <c r="C11" s="9" t="s">
        <v>68</v>
      </c>
    </row>
    <row r="12" customFormat="false" ht="15" hidden="false" customHeight="false" outlineLevel="0" collapsed="false">
      <c r="A12" s="7" t="s">
        <v>69</v>
      </c>
      <c r="B12" s="18" t="n">
        <v>498</v>
      </c>
      <c r="C12" s="9" t="s">
        <v>70</v>
      </c>
    </row>
    <row r="13" customFormat="false" ht="15" hidden="false" customHeight="false" outlineLevel="0" collapsed="false">
      <c r="A13" s="7" t="s">
        <v>71</v>
      </c>
      <c r="B13" s="19" t="n">
        <v>2200</v>
      </c>
      <c r="C13" s="9" t="s">
        <v>72</v>
      </c>
    </row>
    <row r="14" customFormat="false" ht="15" hidden="false" customHeight="false" outlineLevel="0" collapsed="false">
      <c r="A14" s="7" t="s">
        <v>73</v>
      </c>
      <c r="B14" s="19" t="n">
        <v>400</v>
      </c>
      <c r="C14" s="9" t="s">
        <v>74</v>
      </c>
    </row>
    <row r="15" customFormat="false" ht="15" hidden="false" customHeight="false" outlineLevel="0" collapsed="false">
      <c r="A15" s="7" t="s">
        <v>75</v>
      </c>
      <c r="B15" s="18" t="n">
        <v>77</v>
      </c>
      <c r="C15" s="9" t="s">
        <v>76</v>
      </c>
    </row>
    <row r="16" customFormat="false" ht="15" hidden="false" customHeight="false" outlineLevel="0" collapsed="false">
      <c r="A16" s="7" t="s">
        <v>77</v>
      </c>
      <c r="B16" s="19" t="n">
        <v>450</v>
      </c>
      <c r="C16" s="9" t="s">
        <v>54</v>
      </c>
    </row>
    <row r="17" customFormat="false" ht="15" hidden="false" customHeight="false" outlineLevel="0" collapsed="false">
      <c r="A17" s="7" t="s">
        <v>78</v>
      </c>
      <c r="B17" s="20" t="n">
        <v>0.15</v>
      </c>
      <c r="C17" s="9" t="s">
        <v>79</v>
      </c>
    </row>
    <row r="18" customFormat="false" ht="15" hidden="false" customHeight="false" outlineLevel="0" collapsed="false">
      <c r="A18" s="7" t="s">
        <v>80</v>
      </c>
      <c r="B18" s="20" t="n">
        <v>0.03</v>
      </c>
      <c r="C18" s="9" t="s">
        <v>81</v>
      </c>
    </row>
    <row r="19" customFormat="false" ht="15" hidden="false" customHeight="false" outlineLevel="0" collapsed="false">
      <c r="A19" s="7" t="s">
        <v>82</v>
      </c>
      <c r="B19" s="21" t="n">
        <v>190000</v>
      </c>
      <c r="C19" s="9" t="s">
        <v>83</v>
      </c>
    </row>
    <row r="20" customFormat="false" ht="15" hidden="false" customHeight="false" outlineLevel="0" collapsed="false">
      <c r="A20" s="5" t="s">
        <v>84</v>
      </c>
      <c r="B20" s="6"/>
      <c r="C20" s="6"/>
    </row>
    <row r="21" customFormat="false" ht="15" hidden="false" customHeight="false" outlineLevel="0" collapsed="false">
      <c r="A21" s="7" t="s">
        <v>85</v>
      </c>
      <c r="B21" s="18" t="n">
        <v>510</v>
      </c>
      <c r="C21" s="9" t="s">
        <v>86</v>
      </c>
    </row>
    <row r="22" customFormat="false" ht="15" hidden="false" customHeight="false" outlineLevel="0" collapsed="false">
      <c r="A22" s="7" t="s">
        <v>87</v>
      </c>
      <c r="B22" s="20" t="n">
        <v>0.85</v>
      </c>
      <c r="C22" s="9" t="s">
        <v>88</v>
      </c>
    </row>
    <row r="23" customFormat="false" ht="15" hidden="false" customHeight="false" outlineLevel="0" collapsed="false">
      <c r="A23" s="7" t="s">
        <v>89</v>
      </c>
      <c r="B23" s="18" t="n">
        <v>321</v>
      </c>
      <c r="C23" s="9" t="s">
        <v>90</v>
      </c>
    </row>
    <row r="24" customFormat="false" ht="15" hidden="false" customHeight="false" outlineLevel="0" collapsed="false">
      <c r="A24" s="7" t="s">
        <v>91</v>
      </c>
      <c r="B24" s="18" t="n">
        <v>3</v>
      </c>
      <c r="C24" s="9" t="s">
        <v>92</v>
      </c>
    </row>
    <row r="25" customFormat="false" ht="15" hidden="false" customHeight="false" outlineLevel="0" collapsed="false">
      <c r="A25" s="7" t="s">
        <v>93</v>
      </c>
      <c r="B25" s="18" t="n">
        <v>334</v>
      </c>
      <c r="C25" s="9" t="s">
        <v>94</v>
      </c>
    </row>
    <row r="26" customFormat="false" ht="15" hidden="false" customHeight="false" outlineLevel="0" collapsed="false">
      <c r="A26" s="7" t="s">
        <v>95</v>
      </c>
      <c r="B26" s="18" t="n">
        <v>5</v>
      </c>
      <c r="C26" s="9" t="s">
        <v>92</v>
      </c>
    </row>
    <row r="27" customFormat="false" ht="15" hidden="false" customHeight="false" outlineLevel="0" collapsed="false">
      <c r="A27" s="7" t="s">
        <v>96</v>
      </c>
      <c r="B27" s="18" t="n">
        <v>0</v>
      </c>
      <c r="C27" s="9" t="s">
        <v>97</v>
      </c>
    </row>
    <row r="28" customFormat="false" ht="15" hidden="false" customHeight="false" outlineLevel="0" collapsed="false">
      <c r="A28" s="5" t="s">
        <v>98</v>
      </c>
      <c r="B28" s="6"/>
      <c r="C28" s="6"/>
    </row>
    <row r="29" customFormat="false" ht="15" hidden="false" customHeight="false" outlineLevel="0" collapsed="false">
      <c r="A29" s="7" t="s">
        <v>99</v>
      </c>
      <c r="B29" s="18" t="n">
        <v>100</v>
      </c>
      <c r="C29" s="9" t="s">
        <v>100</v>
      </c>
    </row>
    <row r="30" customFormat="false" ht="15" hidden="false" customHeight="false" outlineLevel="0" collapsed="false">
      <c r="A30" s="7" t="s">
        <v>101</v>
      </c>
      <c r="B30" s="22" t="n">
        <v>9.5</v>
      </c>
      <c r="C30" s="9" t="s">
        <v>102</v>
      </c>
    </row>
    <row r="31" customFormat="false" ht="15" hidden="false" customHeight="false" outlineLevel="0" collapsed="false">
      <c r="A31" s="7" t="s">
        <v>103</v>
      </c>
      <c r="B31" s="18" t="n">
        <v>65</v>
      </c>
      <c r="C31" s="9" t="s">
        <v>104</v>
      </c>
    </row>
    <row r="32" customFormat="false" ht="15" hidden="false" customHeight="false" outlineLevel="0" collapsed="false">
      <c r="A32" s="7" t="s">
        <v>105</v>
      </c>
      <c r="B32" s="22" t="n">
        <v>10</v>
      </c>
      <c r="C32" s="9" t="s">
        <v>106</v>
      </c>
    </row>
    <row r="33" customFormat="false" ht="15" hidden="false" customHeight="false" outlineLevel="0" collapsed="false">
      <c r="A33" s="7" t="s">
        <v>107</v>
      </c>
      <c r="B33" s="18" t="n">
        <v>10</v>
      </c>
      <c r="C33" s="9" t="s">
        <v>108</v>
      </c>
    </row>
    <row r="34" customFormat="false" ht="15" hidden="false" customHeight="false" outlineLevel="0" collapsed="false">
      <c r="A34" s="7" t="s">
        <v>109</v>
      </c>
      <c r="B34" s="19" t="n">
        <v>150</v>
      </c>
      <c r="C34" s="9" t="s">
        <v>110</v>
      </c>
    </row>
    <row r="35" customFormat="false" ht="15" hidden="false" customHeight="false" outlineLevel="0" collapsed="false">
      <c r="A35" s="5" t="s">
        <v>111</v>
      </c>
      <c r="B35" s="6"/>
      <c r="C35" s="6"/>
    </row>
    <row r="36" customFormat="false" ht="15" hidden="false" customHeight="false" outlineLevel="0" collapsed="false">
      <c r="A36" s="7" t="s">
        <v>112</v>
      </c>
      <c r="B36" s="18" t="n">
        <v>160</v>
      </c>
      <c r="C36" s="9" t="s">
        <v>113</v>
      </c>
    </row>
    <row r="37" customFormat="false" ht="15" hidden="false" customHeight="false" outlineLevel="0" collapsed="false">
      <c r="A37" s="7" t="s">
        <v>114</v>
      </c>
      <c r="B37" s="18" t="n">
        <v>30</v>
      </c>
      <c r="C37" s="9" t="s">
        <v>113</v>
      </c>
    </row>
    <row r="38" customFormat="false" ht="15" hidden="false" customHeight="false" outlineLevel="0" collapsed="false">
      <c r="A38" s="7" t="s">
        <v>115</v>
      </c>
      <c r="B38" s="23" t="n">
        <v>1.9</v>
      </c>
      <c r="C38" s="9" t="s">
        <v>116</v>
      </c>
    </row>
    <row r="39" customFormat="false" ht="15" hidden="false" customHeight="false" outlineLevel="0" collapsed="false">
      <c r="A39" s="7" t="s">
        <v>117</v>
      </c>
      <c r="B39" s="23" t="n">
        <v>1.4</v>
      </c>
      <c r="C39" s="9" t="s">
        <v>118</v>
      </c>
    </row>
    <row r="40" customFormat="false" ht="15" hidden="false" customHeight="false" outlineLevel="0" collapsed="false">
      <c r="A40" s="7" t="s">
        <v>119</v>
      </c>
      <c r="B40" s="18" t="n">
        <v>45</v>
      </c>
      <c r="C40" s="9" t="s">
        <v>120</v>
      </c>
    </row>
    <row r="41" customFormat="false" ht="15" hidden="false" customHeight="false" outlineLevel="0" collapsed="false">
      <c r="A41" s="7" t="s">
        <v>121</v>
      </c>
      <c r="B41" s="18" t="n">
        <v>35</v>
      </c>
      <c r="C41" s="9" t="s">
        <v>122</v>
      </c>
    </row>
    <row r="42" customFormat="false" ht="15" hidden="false" customHeight="false" outlineLevel="0" collapsed="false">
      <c r="A42" s="7" t="s">
        <v>123</v>
      </c>
      <c r="B42" s="18" t="n">
        <v>25</v>
      </c>
      <c r="C42" s="9"/>
    </row>
    <row r="43" customFormat="false" ht="15" hidden="false" customHeight="false" outlineLevel="0" collapsed="false">
      <c r="A43" s="7" t="s">
        <v>124</v>
      </c>
      <c r="B43" s="18" t="n">
        <v>22</v>
      </c>
      <c r="C43" s="9" t="s">
        <v>125</v>
      </c>
    </row>
    <row r="44" customFormat="false" ht="15" hidden="false" customHeight="false" outlineLevel="0" collapsed="false">
      <c r="A44" s="7" t="s">
        <v>126</v>
      </c>
      <c r="B44" s="18" t="n">
        <v>37</v>
      </c>
      <c r="C44" s="9" t="s">
        <v>127</v>
      </c>
    </row>
    <row r="45" customFormat="false" ht="15" hidden="false" customHeight="false" outlineLevel="0" collapsed="false">
      <c r="A45" s="5" t="s">
        <v>128</v>
      </c>
      <c r="B45" s="6"/>
      <c r="C45" s="6"/>
    </row>
    <row r="46" customFormat="false" ht="15" hidden="false" customHeight="false" outlineLevel="0" collapsed="false">
      <c r="A46" s="7" t="s">
        <v>129</v>
      </c>
      <c r="B46" s="24" t="n">
        <f aca="false">950/85</f>
        <v>11.1764705882353</v>
      </c>
      <c r="C46" s="9" t="s">
        <v>130</v>
      </c>
    </row>
    <row r="47" customFormat="false" ht="15" hidden="false" customHeight="false" outlineLevel="0" collapsed="false">
      <c r="A47" s="7" t="s">
        <v>131</v>
      </c>
      <c r="B47" s="19" t="n">
        <v>10</v>
      </c>
      <c r="C47" s="9" t="s">
        <v>132</v>
      </c>
    </row>
    <row r="48" customFormat="false" ht="15" hidden="false" customHeight="false" outlineLevel="0" collapsed="false">
      <c r="A48" s="7" t="s">
        <v>133</v>
      </c>
      <c r="B48" s="20" t="n">
        <v>0.1</v>
      </c>
      <c r="C48" s="9" t="s">
        <v>134</v>
      </c>
    </row>
    <row r="49" customFormat="false" ht="15" hidden="false" customHeight="false" outlineLevel="0" collapsed="false">
      <c r="A49" s="7" t="s">
        <v>135</v>
      </c>
      <c r="B49" s="21" t="n">
        <f aca="false">'Gastro Tagesteile'!F14</f>
        <v>65010</v>
      </c>
      <c r="C49" s="9" t="s">
        <v>136</v>
      </c>
    </row>
    <row r="50" customFormat="false" ht="15" hidden="false" customHeight="false" outlineLevel="0" collapsed="false">
      <c r="A50" s="7" t="s">
        <v>137</v>
      </c>
      <c r="B50" s="20" t="n">
        <v>0.305</v>
      </c>
      <c r="C50" s="9" t="s">
        <v>138</v>
      </c>
    </row>
    <row r="51" customFormat="false" ht="15" hidden="false" customHeight="false" outlineLevel="0" collapsed="false">
      <c r="A51" s="7" t="s">
        <v>139</v>
      </c>
      <c r="B51" s="19" t="n">
        <v>0</v>
      </c>
      <c r="C51" s="9" t="s">
        <v>140</v>
      </c>
    </row>
    <row r="52" customFormat="false" ht="15" hidden="false" customHeight="false" outlineLevel="0" collapsed="false">
      <c r="A52" s="5" t="s">
        <v>141</v>
      </c>
      <c r="B52" s="6"/>
      <c r="C52" s="6"/>
    </row>
    <row r="53" customFormat="false" ht="15" hidden="false" customHeight="false" outlineLevel="0" collapsed="false">
      <c r="A53" s="7" t="s">
        <v>142</v>
      </c>
      <c r="B53" s="19" t="n">
        <v>150000</v>
      </c>
      <c r="C53" s="9" t="s">
        <v>143</v>
      </c>
    </row>
    <row r="54" customFormat="false" ht="15" hidden="false" customHeight="false" outlineLevel="0" collapsed="false">
      <c r="A54" s="7" t="s">
        <v>144</v>
      </c>
      <c r="B54" s="19" t="n">
        <v>2000</v>
      </c>
      <c r="C54" s="9" t="s">
        <v>145</v>
      </c>
    </row>
    <row r="55" customFormat="false" ht="15" hidden="false" customHeight="false" outlineLevel="0" collapsed="false">
      <c r="A55" s="7" t="s">
        <v>146</v>
      </c>
      <c r="B55" s="25" t="n">
        <v>0.025</v>
      </c>
      <c r="C55" s="9" t="s">
        <v>147</v>
      </c>
    </row>
    <row r="56" customFormat="false" ht="15" hidden="false" customHeight="false" outlineLevel="0" collapsed="false">
      <c r="A56" s="7" t="s">
        <v>148</v>
      </c>
      <c r="B56" s="25" t="n">
        <v>0.03</v>
      </c>
      <c r="C56" s="9" t="s">
        <v>149</v>
      </c>
    </row>
    <row r="57" customFormat="false" ht="15" hidden="false" customHeight="false" outlineLevel="0" collapsed="false">
      <c r="A57" s="7" t="s">
        <v>150</v>
      </c>
      <c r="B57" s="25" t="n">
        <v>0.04</v>
      </c>
      <c r="C57" s="9" t="s">
        <v>151</v>
      </c>
    </row>
    <row r="58" customFormat="false" ht="15" hidden="false" customHeight="false" outlineLevel="0" collapsed="false">
      <c r="A58" s="7" t="s">
        <v>152</v>
      </c>
      <c r="B58" s="26" t="n">
        <v>0.01</v>
      </c>
      <c r="C58" s="9" t="s">
        <v>153</v>
      </c>
    </row>
    <row r="59" customFormat="false" ht="15" hidden="false" customHeight="false" outlineLevel="0" collapsed="false">
      <c r="A59" s="7" t="s">
        <v>154</v>
      </c>
      <c r="B59" s="18" t="n">
        <v>15</v>
      </c>
      <c r="C59" s="9" t="s">
        <v>155</v>
      </c>
    </row>
    <row r="60" customFormat="false" ht="15" hidden="false" customHeight="false" outlineLevel="0" collapsed="false">
      <c r="A60" s="7" t="s">
        <v>156</v>
      </c>
      <c r="B60" s="18" t="n">
        <v>12</v>
      </c>
      <c r="C60" s="9" t="s">
        <v>157</v>
      </c>
    </row>
    <row r="61" customFormat="false" ht="15" hidden="false" customHeight="false" outlineLevel="0" collapsed="false">
      <c r="A61" s="7" t="s">
        <v>158</v>
      </c>
      <c r="B61" s="20" t="n">
        <v>0.03</v>
      </c>
      <c r="C61" s="9" t="s">
        <v>159</v>
      </c>
    </row>
    <row r="62" customFormat="false" ht="15" hidden="false" customHeight="false" outlineLevel="0" collapsed="false">
      <c r="A62" s="7" t="s">
        <v>160</v>
      </c>
      <c r="B62" s="18" t="n">
        <v>7</v>
      </c>
      <c r="C62" s="9"/>
    </row>
    <row r="63" customFormat="false" ht="15" hidden="false" customHeight="false" outlineLevel="0" collapsed="false">
      <c r="A63" s="5" t="s">
        <v>161</v>
      </c>
      <c r="B63" s="6"/>
      <c r="C63" s="6"/>
    </row>
    <row r="64" customFormat="false" ht="15" hidden="false" customHeight="false" outlineLevel="0" collapsed="false">
      <c r="A64" s="7" t="s">
        <v>162</v>
      </c>
      <c r="B64" s="27" t="n">
        <v>0.04</v>
      </c>
      <c r="C64" s="9" t="s">
        <v>163</v>
      </c>
    </row>
    <row r="65" customFormat="false" ht="15" hidden="false" customHeight="false" outlineLevel="0" collapsed="false">
      <c r="A65" s="7" t="s">
        <v>164</v>
      </c>
      <c r="B65" s="27" t="n">
        <v>0.06</v>
      </c>
      <c r="C65" s="9" t="s">
        <v>165</v>
      </c>
    </row>
    <row r="66" customFormat="false" ht="15" hidden="false" customHeight="false" outlineLevel="0" collapsed="false">
      <c r="A66" s="7" t="s">
        <v>166</v>
      </c>
      <c r="B66" s="27" t="n">
        <v>0.065</v>
      </c>
      <c r="C66" s="9" t="s">
        <v>167</v>
      </c>
    </row>
    <row r="67" customFormat="false" ht="15" hidden="false" customHeight="false" outlineLevel="0" collapsed="false">
      <c r="A67" s="7" t="s">
        <v>168</v>
      </c>
      <c r="B67" s="18" t="n">
        <v>80</v>
      </c>
      <c r="C67" s="9" t="s">
        <v>169</v>
      </c>
    </row>
    <row r="68" customFormat="false" ht="15" hidden="false" customHeight="false" outlineLevel="0" collapsed="false">
      <c r="A68" s="7" t="s">
        <v>170</v>
      </c>
      <c r="B68" s="18" t="n">
        <v>60</v>
      </c>
      <c r="C68" s="9" t="s">
        <v>171</v>
      </c>
    </row>
    <row r="69" customFormat="false" ht="15" hidden="false" customHeight="false" outlineLevel="0" collapsed="false">
      <c r="A69" s="7" t="s">
        <v>172</v>
      </c>
      <c r="B69" s="19" t="n">
        <v>360</v>
      </c>
      <c r="C69" s="9" t="s">
        <v>173</v>
      </c>
    </row>
    <row r="70" customFormat="false" ht="15" hidden="false" customHeight="false" outlineLevel="0" collapsed="false">
      <c r="A70" s="7" t="s">
        <v>174</v>
      </c>
      <c r="B70" s="19" t="n">
        <v>12</v>
      </c>
      <c r="C70" s="9" t="s">
        <v>175</v>
      </c>
    </row>
    <row r="71" customFormat="false" ht="15" hidden="false" customHeight="false" outlineLevel="0" collapsed="false">
      <c r="A71" s="7" t="s">
        <v>176</v>
      </c>
      <c r="B71" s="20" t="n">
        <v>0.02</v>
      </c>
      <c r="C71" s="9" t="s">
        <v>54</v>
      </c>
    </row>
    <row r="72" customFormat="false" ht="15" hidden="false" customHeight="false" outlineLevel="0" collapsed="false">
      <c r="A72" s="7" t="s">
        <v>177</v>
      </c>
      <c r="B72" s="20" t="n">
        <v>0.03</v>
      </c>
      <c r="C72" s="9" t="s">
        <v>54</v>
      </c>
    </row>
    <row r="73" customFormat="false" ht="15" hidden="false" customHeight="false" outlineLevel="0" collapsed="false">
      <c r="A73" s="7" t="s">
        <v>178</v>
      </c>
      <c r="B73" s="19" t="n">
        <v>8</v>
      </c>
      <c r="C73" s="9" t="s">
        <v>54</v>
      </c>
    </row>
    <row r="74" customFormat="false" ht="15" hidden="false" customHeight="false" outlineLevel="0" collapsed="false">
      <c r="A74" s="7" t="s">
        <v>179</v>
      </c>
      <c r="B74" s="20" t="n">
        <v>0.04</v>
      </c>
      <c r="C74" s="9" t="s">
        <v>180</v>
      </c>
    </row>
    <row r="75" customFormat="false" ht="15" hidden="false" customHeight="false" outlineLevel="0" collapsed="false">
      <c r="A75" s="7" t="s">
        <v>181</v>
      </c>
      <c r="B75" s="20" t="n">
        <v>0.02</v>
      </c>
      <c r="C75" s="9" t="s">
        <v>182</v>
      </c>
    </row>
    <row r="76" customFormat="false" ht="15" hidden="false" customHeight="false" outlineLevel="0" collapsed="false">
      <c r="A76" s="7" t="s">
        <v>183</v>
      </c>
      <c r="B76" s="20" t="n">
        <v>0.1</v>
      </c>
      <c r="C76" s="9" t="s">
        <v>184</v>
      </c>
    </row>
    <row r="77" customFormat="false" ht="15" hidden="false" customHeight="false" outlineLevel="0" collapsed="false">
      <c r="A77" s="5" t="s">
        <v>185</v>
      </c>
      <c r="B77" s="6"/>
      <c r="C77" s="6"/>
    </row>
    <row r="78" customFormat="false" ht="15" hidden="false" customHeight="false" outlineLevel="0" collapsed="false">
      <c r="A78" s="7" t="s">
        <v>186</v>
      </c>
      <c r="B78" s="20" t="n">
        <v>0.015</v>
      </c>
      <c r="C78" s="9" t="s">
        <v>54</v>
      </c>
    </row>
    <row r="79" customFormat="false" ht="15" hidden="false" customHeight="false" outlineLevel="0" collapsed="false">
      <c r="A79" s="7" t="s">
        <v>187</v>
      </c>
      <c r="B79" s="20" t="n">
        <v>0.015</v>
      </c>
      <c r="C79" s="9" t="s">
        <v>54</v>
      </c>
    </row>
    <row r="80" customFormat="false" ht="15" hidden="false" customHeight="false" outlineLevel="0" collapsed="false">
      <c r="A80" s="7" t="s">
        <v>188</v>
      </c>
      <c r="B80" s="20" t="n">
        <v>0.02</v>
      </c>
      <c r="C80" s="9" t="s">
        <v>189</v>
      </c>
    </row>
    <row r="82" customFormat="false" ht="15" hidden="false" customHeight="false" outlineLevel="0" collapsed="false">
      <c r="A82" s="16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A45"/>
    <pageSetUpPr fitToPage="tru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5" min="4" style="0" width="16"/>
    <col collapsed="false" customWidth="true" hidden="false" outlineLevel="0" max="7" min="6" style="0" width="18"/>
  </cols>
  <sheetData>
    <row r="1" customFormat="false" ht="19.7" hidden="false" customHeight="fals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4" customFormat="false" ht="15" hidden="false" customHeight="false" outlineLevel="0" collapsed="false">
      <c r="A4" s="3" t="s">
        <v>193</v>
      </c>
      <c r="B4" s="4" t="s">
        <v>194</v>
      </c>
      <c r="C4" s="4" t="s">
        <v>195</v>
      </c>
      <c r="D4" s="4" t="s">
        <v>196</v>
      </c>
      <c r="E4" s="4" t="s">
        <v>197</v>
      </c>
      <c r="F4" s="4"/>
      <c r="G4" s="4"/>
    </row>
    <row r="5" customFormat="false" ht="15" hidden="false" customHeight="false" outlineLevel="0" collapsed="false">
      <c r="A5" s="7" t="s">
        <v>198</v>
      </c>
      <c r="B5" s="8" t="n">
        <f aca="false">Annahmen!$B$10</f>
        <v>576</v>
      </c>
      <c r="C5" s="7" t="s">
        <v>199</v>
      </c>
      <c r="D5" s="28" t="n">
        <v>1</v>
      </c>
      <c r="E5" s="8" t="n">
        <f aca="false">Annahmen!$B$21</f>
        <v>510</v>
      </c>
    </row>
    <row r="6" customFormat="false" ht="15" hidden="false" customHeight="false" outlineLevel="0" collapsed="false">
      <c r="A6" s="7" t="s">
        <v>200</v>
      </c>
      <c r="B6" s="8" t="n">
        <f aca="false">Annahmen!$B$11</f>
        <v>576</v>
      </c>
      <c r="C6" s="7" t="s">
        <v>201</v>
      </c>
      <c r="D6" s="28" t="n">
        <f aca="false">2+Annahmen!$B$24</f>
        <v>5</v>
      </c>
      <c r="E6" s="28" t="n">
        <f aca="false">Annahmen!$B$23+Annahmen!$B$29+Annahmen!$B$31</f>
        <v>486</v>
      </c>
    </row>
    <row r="7" customFormat="false" ht="15" hidden="false" customHeight="false" outlineLevel="0" collapsed="false">
      <c r="A7" s="7" t="s">
        <v>202</v>
      </c>
      <c r="B7" s="8" t="n">
        <f aca="false">Annahmen!$B$12</f>
        <v>498</v>
      </c>
      <c r="C7" s="7" t="s">
        <v>203</v>
      </c>
      <c r="D7" s="8" t="n">
        <f aca="false">Annahmen!$B$26</f>
        <v>5</v>
      </c>
      <c r="E7" s="8" t="n">
        <f aca="false">Annahmen!$B$25</f>
        <v>334</v>
      </c>
    </row>
    <row r="8" customFormat="false" ht="15" hidden="false" customHeight="false" outlineLevel="0" collapsed="false">
      <c r="A8" s="29" t="s">
        <v>204</v>
      </c>
      <c r="B8" s="30" t="n">
        <f aca="false">SUM(B5:B7)</f>
        <v>1650</v>
      </c>
      <c r="C8" s="7"/>
      <c r="D8" s="30" t="n">
        <f aca="false">D5+D6+D7</f>
        <v>11</v>
      </c>
      <c r="E8" s="30" t="n">
        <f aca="false">SUM(E5:E7)</f>
        <v>1330</v>
      </c>
    </row>
    <row r="9" customFormat="false" ht="15" hidden="false" customHeight="false" outlineLevel="0" collapsed="false">
      <c r="A9" s="7" t="s">
        <v>205</v>
      </c>
      <c r="D9" s="28" t="n">
        <f aca="false">Annahmen!$B$24+Annahmen!$B$26</f>
        <v>8</v>
      </c>
      <c r="E9" s="28" t="n">
        <f aca="false">Annahmen!$B$23+Annahmen!$B$25</f>
        <v>655</v>
      </c>
    </row>
    <row r="11" customFormat="false" ht="15" hidden="false" customHeight="false" outlineLevel="0" collapsed="false">
      <c r="A11" s="3" t="s">
        <v>206</v>
      </c>
      <c r="B11" s="4" t="s">
        <v>193</v>
      </c>
      <c r="C11" s="4" t="s">
        <v>197</v>
      </c>
      <c r="D11" s="4" t="s">
        <v>195</v>
      </c>
      <c r="E11" s="4" t="s">
        <v>207</v>
      </c>
      <c r="F11" s="4" t="s">
        <v>208</v>
      </c>
      <c r="G11" s="4" t="s">
        <v>209</v>
      </c>
    </row>
    <row r="12" customFormat="false" ht="15" hidden="false" customHeight="false" outlineLevel="0" collapsed="false">
      <c r="A12" s="7" t="s">
        <v>210</v>
      </c>
      <c r="B12" s="7" t="s">
        <v>211</v>
      </c>
      <c r="C12" s="31" t="n">
        <f aca="false">Annahmen!$B$23/Annahmen!$B$24</f>
        <v>107</v>
      </c>
      <c r="D12" s="7" t="str">
        <f aca="false">IF(1&gt;Annahmen!$B$24+Annahmen!$B$26-Annahmen!$B$27,"Eigennutzung","vermietet")</f>
        <v>vermietet</v>
      </c>
      <c r="E12" s="32" t="n">
        <f aca="false">Annahmen!$B$46</f>
        <v>11.1764705882353</v>
      </c>
      <c r="F12" s="33" t="n">
        <f aca="false">C12*E12</f>
        <v>1195.88235294118</v>
      </c>
      <c r="G12" s="33" t="n">
        <f aca="false">F12*12</f>
        <v>14350.5882352941</v>
      </c>
    </row>
    <row r="13" customFormat="false" ht="15" hidden="false" customHeight="false" outlineLevel="0" collapsed="false">
      <c r="A13" s="7" t="s">
        <v>212</v>
      </c>
      <c r="B13" s="7" t="s">
        <v>211</v>
      </c>
      <c r="C13" s="31" t="n">
        <f aca="false">Annahmen!$B$23/Annahmen!$B$24</f>
        <v>107</v>
      </c>
      <c r="D13" s="7" t="str">
        <f aca="false">IF(2&gt;Annahmen!$B$24+Annahmen!$B$26-Annahmen!$B$27,"Eigennutzung","vermietet")</f>
        <v>vermietet</v>
      </c>
      <c r="E13" s="32" t="n">
        <f aca="false">Annahmen!$B$46</f>
        <v>11.1764705882353</v>
      </c>
      <c r="F13" s="33" t="n">
        <f aca="false">C13*E13</f>
        <v>1195.88235294118</v>
      </c>
      <c r="G13" s="33" t="n">
        <f aca="false">F13*12</f>
        <v>14350.5882352941</v>
      </c>
    </row>
    <row r="14" customFormat="false" ht="15" hidden="false" customHeight="false" outlineLevel="0" collapsed="false">
      <c r="A14" s="7" t="s">
        <v>213</v>
      </c>
      <c r="B14" s="7" t="s">
        <v>211</v>
      </c>
      <c r="C14" s="31" t="n">
        <f aca="false">Annahmen!$B$23/Annahmen!$B$24</f>
        <v>107</v>
      </c>
      <c r="D14" s="7" t="str">
        <f aca="false">IF(3&gt;Annahmen!$B$24+Annahmen!$B$26-Annahmen!$B$27,"Eigennutzung","vermietet")</f>
        <v>vermietet</v>
      </c>
      <c r="E14" s="32" t="n">
        <f aca="false">Annahmen!$B$46</f>
        <v>11.1764705882353</v>
      </c>
      <c r="F14" s="33" t="n">
        <f aca="false">C14*E14</f>
        <v>1195.88235294118</v>
      </c>
      <c r="G14" s="33" t="n">
        <f aca="false">F14*12</f>
        <v>14350.5882352941</v>
      </c>
    </row>
    <row r="15" customFormat="false" ht="15" hidden="false" customHeight="false" outlineLevel="0" collapsed="false">
      <c r="A15" s="7" t="s">
        <v>214</v>
      </c>
      <c r="B15" s="7" t="s">
        <v>215</v>
      </c>
      <c r="C15" s="31" t="n">
        <f aca="false">Annahmen!$B$25/Annahmen!$B$26</f>
        <v>66.8</v>
      </c>
      <c r="D15" s="7" t="str">
        <f aca="false">IF(4&gt;Annahmen!$B$24+Annahmen!$B$26-Annahmen!$B$27,"Eigennutzung","vermietet")</f>
        <v>vermietet</v>
      </c>
      <c r="E15" s="32" t="n">
        <f aca="false">Annahmen!$B$46</f>
        <v>11.1764705882353</v>
      </c>
      <c r="F15" s="33" t="n">
        <f aca="false">C15*E15</f>
        <v>746.588235294118</v>
      </c>
      <c r="G15" s="33" t="n">
        <f aca="false">F15*12</f>
        <v>8959.05882352941</v>
      </c>
    </row>
    <row r="16" customFormat="false" ht="15" hidden="false" customHeight="false" outlineLevel="0" collapsed="false">
      <c r="A16" s="7" t="s">
        <v>216</v>
      </c>
      <c r="B16" s="7" t="s">
        <v>215</v>
      </c>
      <c r="C16" s="31" t="n">
        <f aca="false">Annahmen!$B$25/Annahmen!$B$26</f>
        <v>66.8</v>
      </c>
      <c r="D16" s="7" t="str">
        <f aca="false">IF(5&gt;Annahmen!$B$24+Annahmen!$B$26-Annahmen!$B$27,"Eigennutzung","vermietet")</f>
        <v>vermietet</v>
      </c>
      <c r="E16" s="32" t="n">
        <f aca="false">Annahmen!$B$46</f>
        <v>11.1764705882353</v>
      </c>
      <c r="F16" s="33" t="n">
        <f aca="false">C16*E16</f>
        <v>746.588235294118</v>
      </c>
      <c r="G16" s="33" t="n">
        <f aca="false">F16*12</f>
        <v>8959.05882352941</v>
      </c>
    </row>
    <row r="17" customFormat="false" ht="15" hidden="false" customHeight="false" outlineLevel="0" collapsed="false">
      <c r="A17" s="7" t="s">
        <v>217</v>
      </c>
      <c r="B17" s="7" t="s">
        <v>215</v>
      </c>
      <c r="C17" s="31" t="n">
        <f aca="false">Annahmen!$B$25/Annahmen!$B$26</f>
        <v>66.8</v>
      </c>
      <c r="D17" s="7" t="str">
        <f aca="false">IF(6&gt;Annahmen!$B$24+Annahmen!$B$26-Annahmen!$B$27,"Eigennutzung","vermietet")</f>
        <v>vermietet</v>
      </c>
      <c r="E17" s="32" t="n">
        <f aca="false">Annahmen!$B$46</f>
        <v>11.1764705882353</v>
      </c>
      <c r="F17" s="33" t="n">
        <f aca="false">C17*E17</f>
        <v>746.588235294118</v>
      </c>
      <c r="G17" s="33" t="n">
        <f aca="false">F17*12</f>
        <v>8959.05882352941</v>
      </c>
    </row>
    <row r="18" customFormat="false" ht="15" hidden="false" customHeight="false" outlineLevel="0" collapsed="false">
      <c r="A18" s="7" t="s">
        <v>218</v>
      </c>
      <c r="B18" s="7" t="s">
        <v>215</v>
      </c>
      <c r="C18" s="31" t="n">
        <f aca="false">Annahmen!$B$25/Annahmen!$B$26</f>
        <v>66.8</v>
      </c>
      <c r="D18" s="7" t="str">
        <f aca="false">IF(7&gt;Annahmen!$B$24+Annahmen!$B$26-Annahmen!$B$27,"Eigennutzung","vermietet")</f>
        <v>vermietet</v>
      </c>
      <c r="E18" s="32" t="n">
        <f aca="false">Annahmen!$B$46</f>
        <v>11.1764705882353</v>
      </c>
      <c r="F18" s="33" t="n">
        <f aca="false">C18*E18</f>
        <v>746.588235294118</v>
      </c>
      <c r="G18" s="33" t="n">
        <f aca="false">F18*12</f>
        <v>8959.05882352941</v>
      </c>
    </row>
    <row r="19" customFormat="false" ht="15" hidden="false" customHeight="false" outlineLevel="0" collapsed="false">
      <c r="A19" s="7" t="s">
        <v>219</v>
      </c>
      <c r="B19" s="7" t="s">
        <v>215</v>
      </c>
      <c r="C19" s="31" t="n">
        <f aca="false">Annahmen!$B$25/Annahmen!$B$26</f>
        <v>66.8</v>
      </c>
      <c r="D19" s="7" t="str">
        <f aca="false">IF(8&gt;Annahmen!$B$24+Annahmen!$B$26-Annahmen!$B$27,"Eigennutzung","vermietet")</f>
        <v>vermietet</v>
      </c>
      <c r="E19" s="32" t="n">
        <f aca="false">Annahmen!$B$46</f>
        <v>11.1764705882353</v>
      </c>
      <c r="F19" s="33" t="n">
        <f aca="false">C19*E19</f>
        <v>746.588235294118</v>
      </c>
      <c r="G19" s="33" t="n">
        <f aca="false">F19*12</f>
        <v>8959.05882352941</v>
      </c>
    </row>
    <row r="20" customFormat="false" ht="15" hidden="false" customHeight="false" outlineLevel="0" collapsed="false">
      <c r="A20" s="29" t="s">
        <v>220</v>
      </c>
      <c r="C20" s="34" t="n">
        <f aca="false">SUM(C12:C19)</f>
        <v>655</v>
      </c>
      <c r="F20" s="35" t="n">
        <f aca="false">SUM(F12:F19)</f>
        <v>7320.58823529412</v>
      </c>
      <c r="G20" s="35" t="n">
        <f aca="false">SUM(G12:G19)</f>
        <v>87847.0588235294</v>
      </c>
    </row>
    <row r="21" customFormat="false" ht="15" hidden="false" customHeight="false" outlineLevel="0" collapsed="false">
      <c r="A21" s="29" t="s">
        <v>221</v>
      </c>
      <c r="F21" s="35" t="n">
        <f aca="false">SUMIF(D12:D19,"vermietet",F12:F19)</f>
        <v>7320.58823529412</v>
      </c>
      <c r="G21" s="35" t="n">
        <f aca="false">F21*12</f>
        <v>87847.0588235294</v>
      </c>
    </row>
    <row r="22" customFormat="false" ht="15" hidden="false" customHeight="false" outlineLevel="0" collapsed="false">
      <c r="A22" s="29" t="s">
        <v>222</v>
      </c>
      <c r="C22" s="31" t="n">
        <f aca="false">Annahmen!$B$21</f>
        <v>510</v>
      </c>
      <c r="E22" s="32" t="n">
        <f aca="false">Annahmen!$B$47</f>
        <v>10</v>
      </c>
      <c r="F22" s="35" t="n">
        <f aca="false">C22*E22</f>
        <v>5100</v>
      </c>
      <c r="G22" s="35" t="n">
        <f aca="false">F22*12</f>
        <v>61200</v>
      </c>
    </row>
    <row r="23" customFormat="false" ht="15" hidden="false" customHeight="false" outlineLevel="0" collapsed="false">
      <c r="A23" s="29" t="s">
        <v>223</v>
      </c>
      <c r="B23" s="7" t="s">
        <v>211</v>
      </c>
      <c r="C23" s="31" t="n">
        <f aca="false">Annahmen!$B$29</f>
        <v>100</v>
      </c>
      <c r="D23" s="7" t="str">
        <f aca="false">Annahmen!$B$33&amp;" Jahre fest"</f>
        <v>10 Jahre fest</v>
      </c>
      <c r="E23" s="32" t="n">
        <f aca="false">Annahmen!$B$30</f>
        <v>9.5</v>
      </c>
      <c r="F23" s="35" t="n">
        <f aca="false">C23*E23</f>
        <v>950</v>
      </c>
      <c r="G23" s="35" t="n">
        <f aca="false">F23*12</f>
        <v>11400</v>
      </c>
    </row>
    <row r="24" customFormat="false" ht="15" hidden="false" customHeight="false" outlineLevel="0" collapsed="false">
      <c r="A24" s="29" t="s">
        <v>224</v>
      </c>
      <c r="B24" s="7" t="s">
        <v>211</v>
      </c>
      <c r="C24" s="31" t="n">
        <f aca="false">Annahmen!$B$31</f>
        <v>65</v>
      </c>
      <c r="D24" s="7" t="str">
        <f aca="false">Annahmen!$B$33&amp;" Jahre fest"</f>
        <v>10 Jahre fest</v>
      </c>
      <c r="E24" s="32" t="n">
        <f aca="false">Annahmen!$B$32</f>
        <v>10</v>
      </c>
      <c r="F24" s="35" t="n">
        <f aca="false">C24*E24</f>
        <v>650</v>
      </c>
      <c r="G24" s="35" t="n">
        <f aca="false">F24*12</f>
        <v>7800</v>
      </c>
    </row>
    <row r="25" customFormat="false" ht="15" hidden="false" customHeight="false" outlineLevel="0" collapsed="false">
      <c r="A25" s="29" t="s">
        <v>225</v>
      </c>
      <c r="C25" s="34" t="n">
        <f aca="false">C23+C24</f>
        <v>165</v>
      </c>
      <c r="F25" s="35" t="n">
        <f aca="false">F23+F24</f>
        <v>1600</v>
      </c>
      <c r="G25" s="35" t="n">
        <f aca="false">G23+G24</f>
        <v>19200</v>
      </c>
    </row>
    <row r="26" customFormat="false" ht="15" hidden="false" customHeight="false" outlineLevel="0" collapsed="false">
      <c r="A26" s="29" t="s">
        <v>226</v>
      </c>
      <c r="F26" s="35" t="n">
        <f aca="false">F21+F22+F25</f>
        <v>14020.5882352941</v>
      </c>
      <c r="G26" s="35" t="n">
        <f aca="false">G21+G22+G25</f>
        <v>168247.058823529</v>
      </c>
    </row>
    <row r="28" customFormat="false" ht="15" hidden="false" customHeight="false" outlineLevel="0" collapsed="false">
      <c r="A28" s="16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A45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228</v>
      </c>
    </row>
    <row r="2" customFormat="false" ht="15" hidden="false" customHeight="false" outlineLevel="0" collapsed="false">
      <c r="A2" s="2" t="s">
        <v>229</v>
      </c>
    </row>
    <row r="4" customFormat="false" ht="15" hidden="false" customHeight="false" outlineLevel="0" collapsed="false">
      <c r="A4" s="3" t="s">
        <v>230</v>
      </c>
      <c r="B4" s="4" t="s">
        <v>231</v>
      </c>
      <c r="C4" s="4" t="s">
        <v>232</v>
      </c>
      <c r="D4" s="4" t="s">
        <v>197</v>
      </c>
      <c r="E4" s="4"/>
      <c r="F4" s="4"/>
      <c r="G4" s="4"/>
      <c r="H4" s="4" t="s">
        <v>233</v>
      </c>
    </row>
    <row r="5" customFormat="false" ht="15" hidden="false" customHeight="false" outlineLevel="0" collapsed="false">
      <c r="A5" s="7" t="s">
        <v>234</v>
      </c>
      <c r="B5" s="8" t="n">
        <f aca="false">Annahmen!$B$36</f>
        <v>160</v>
      </c>
      <c r="C5" s="36" t="n">
        <f aca="false">Annahmen!$B$38</f>
        <v>1.9</v>
      </c>
      <c r="D5" s="28" t="n">
        <f aca="false">B5*C5</f>
        <v>304</v>
      </c>
      <c r="H5" s="9" t="s">
        <v>235</v>
      </c>
    </row>
    <row r="6" customFormat="false" ht="15" hidden="false" customHeight="false" outlineLevel="0" collapsed="false">
      <c r="A6" s="7" t="s">
        <v>236</v>
      </c>
      <c r="B6" s="8" t="n">
        <f aca="false">Annahmen!$B$37</f>
        <v>30</v>
      </c>
      <c r="C6" s="36" t="n">
        <f aca="false">Annahmen!$B$39</f>
        <v>1.4</v>
      </c>
      <c r="D6" s="28" t="n">
        <f aca="false">B6*C6</f>
        <v>42</v>
      </c>
      <c r="H6" s="9" t="s">
        <v>237</v>
      </c>
    </row>
    <row r="7" customFormat="false" ht="15" hidden="false" customHeight="false" outlineLevel="0" collapsed="false">
      <c r="A7" s="7" t="s">
        <v>238</v>
      </c>
      <c r="B7" s="28" t="n">
        <v>1</v>
      </c>
      <c r="C7" s="36" t="n">
        <f aca="false">Annahmen!$B$40</f>
        <v>45</v>
      </c>
      <c r="D7" s="28" t="n">
        <f aca="false">B7*C7</f>
        <v>45</v>
      </c>
      <c r="H7" s="9"/>
    </row>
    <row r="8" customFormat="false" ht="15" hidden="false" customHeight="false" outlineLevel="0" collapsed="false">
      <c r="A8" s="7" t="s">
        <v>239</v>
      </c>
      <c r="B8" s="28" t="n">
        <v>1</v>
      </c>
      <c r="C8" s="36" t="n">
        <f aca="false">Annahmen!$B$41</f>
        <v>35</v>
      </c>
      <c r="D8" s="28" t="n">
        <f aca="false">B8*C8</f>
        <v>35</v>
      </c>
      <c r="H8" s="9"/>
    </row>
    <row r="9" customFormat="false" ht="15" hidden="false" customHeight="false" outlineLevel="0" collapsed="false">
      <c r="A9" s="7" t="s">
        <v>240</v>
      </c>
      <c r="B9" s="28" t="n">
        <v>1</v>
      </c>
      <c r="C9" s="36" t="n">
        <f aca="false">Annahmen!$B$42</f>
        <v>25</v>
      </c>
      <c r="D9" s="28" t="n">
        <f aca="false">B9*C9</f>
        <v>25</v>
      </c>
      <c r="H9" s="9"/>
    </row>
    <row r="10" customFormat="false" ht="15" hidden="false" customHeight="false" outlineLevel="0" collapsed="false">
      <c r="A10" s="7" t="s">
        <v>241</v>
      </c>
      <c r="B10" s="28" t="n">
        <v>1</v>
      </c>
      <c r="C10" s="36" t="n">
        <f aca="false">Annahmen!$B$43</f>
        <v>22</v>
      </c>
      <c r="D10" s="28" t="n">
        <f aca="false">B10*C10</f>
        <v>22</v>
      </c>
      <c r="H10" s="9"/>
    </row>
    <row r="11" customFormat="false" ht="15" hidden="false" customHeight="false" outlineLevel="0" collapsed="false">
      <c r="A11" s="7" t="s">
        <v>242</v>
      </c>
      <c r="B11" s="28" t="n">
        <v>1</v>
      </c>
      <c r="C11" s="36" t="n">
        <f aca="false">Annahmen!$B$44</f>
        <v>37</v>
      </c>
      <c r="D11" s="28" t="n">
        <f aca="false">B11*C11</f>
        <v>37</v>
      </c>
      <c r="H11" s="9"/>
    </row>
    <row r="12" customFormat="false" ht="15" hidden="false" customHeight="false" outlineLevel="0" collapsed="false">
      <c r="A12" s="29" t="s">
        <v>243</v>
      </c>
      <c r="D12" s="37" t="n">
        <f aca="false">SUM(D5:D11)</f>
        <v>510</v>
      </c>
    </row>
    <row r="13" customFormat="false" ht="15" hidden="false" customHeight="false" outlineLevel="0" collapsed="false">
      <c r="A13" s="7" t="s">
        <v>244</v>
      </c>
      <c r="D13" s="8" t="n">
        <f aca="false">Annahmen!$B$21</f>
        <v>510</v>
      </c>
    </row>
    <row r="14" customFormat="false" ht="15" hidden="false" customHeight="false" outlineLevel="0" collapsed="false">
      <c r="A14" s="7" t="s">
        <v>245</v>
      </c>
      <c r="D14" s="38" t="n">
        <f aca="false">D12-D13</f>
        <v>0</v>
      </c>
    </row>
    <row r="15" customFormat="false" ht="15" hidden="false" customHeight="false" outlineLevel="0" collapsed="false">
      <c r="A15" s="7" t="s">
        <v>246</v>
      </c>
      <c r="D15" s="28" t="n">
        <f aca="false">B5+B6</f>
        <v>190</v>
      </c>
    </row>
    <row r="16" customFormat="false" ht="15" hidden="false" customHeight="false" outlineLevel="0" collapsed="false">
      <c r="A16" s="7" t="s">
        <v>247</v>
      </c>
      <c r="D16" s="39" t="n">
        <f aca="false">D13/D15</f>
        <v>2.68421052631579</v>
      </c>
      <c r="H16" s="9" t="s">
        <v>248</v>
      </c>
    </row>
    <row r="17" customFormat="false" ht="15" hidden="false" customHeight="false" outlineLevel="0" collapsed="false">
      <c r="A17" s="7" t="s">
        <v>249</v>
      </c>
      <c r="D17" s="33" t="n">
        <f aca="false">Annahmen!$B$49*12/D15</f>
        <v>4105.89473684211</v>
      </c>
      <c r="H17" s="9" t="s">
        <v>250</v>
      </c>
    </row>
    <row r="18" customFormat="false" ht="15" hidden="false" customHeight="false" outlineLevel="0" collapsed="false">
      <c r="A18" s="7" t="s">
        <v>251</v>
      </c>
      <c r="D18" s="40" t="n">
        <f aca="false">'Flächen und Mieten'!F22/Annahmen!$B$49</f>
        <v>0.0784494693124135</v>
      </c>
      <c r="H18" s="9" t="s">
        <v>252</v>
      </c>
    </row>
    <row r="21" customFormat="false" ht="30" hidden="false" customHeight="true" outlineLevel="0" collapsed="false">
      <c r="A21" s="3" t="s">
        <v>253</v>
      </c>
      <c r="B21" s="4" t="s">
        <v>197</v>
      </c>
      <c r="C21" s="4" t="s">
        <v>254</v>
      </c>
      <c r="D21" s="4" t="s">
        <v>255</v>
      </c>
      <c r="E21" s="4" t="s">
        <v>256</v>
      </c>
      <c r="F21" s="4" t="s">
        <v>257</v>
      </c>
      <c r="G21" s="4" t="s">
        <v>258</v>
      </c>
      <c r="H21" s="4" t="s">
        <v>259</v>
      </c>
    </row>
    <row r="22" customFormat="false" ht="15" hidden="false" customHeight="false" outlineLevel="0" collapsed="false">
      <c r="A22" s="7" t="s">
        <v>260</v>
      </c>
      <c r="B22" s="8" t="n">
        <f aca="false">Annahmen!$B$29</f>
        <v>100</v>
      </c>
      <c r="C22" s="32" t="n">
        <f aca="false">Annahmen!$B$30</f>
        <v>9.5</v>
      </c>
      <c r="D22" s="33" t="n">
        <f aca="false">B22*C22</f>
        <v>950</v>
      </c>
      <c r="E22" s="33" t="n">
        <f aca="false">D22*12</f>
        <v>11400</v>
      </c>
      <c r="F22" s="8" t="n">
        <f aca="false">Annahmen!$B$33</f>
        <v>10</v>
      </c>
      <c r="G22" s="33" t="n">
        <f aca="false">E22*((1+Annahmen!$B$80)^F22-1)/Annahmen!$B$80</f>
        <v>124826.819397012</v>
      </c>
      <c r="H22" s="40" t="n">
        <f aca="false">E22/'Flächen und Mieten'!$G$26</f>
        <v>0.0677574994755612</v>
      </c>
    </row>
    <row r="23" customFormat="false" ht="15" hidden="false" customHeight="false" outlineLevel="0" collapsed="false">
      <c r="A23" s="7" t="s">
        <v>261</v>
      </c>
      <c r="B23" s="8" t="n">
        <f aca="false">Annahmen!$B$31</f>
        <v>65</v>
      </c>
      <c r="C23" s="32" t="n">
        <f aca="false">Annahmen!$B$32</f>
        <v>10</v>
      </c>
      <c r="D23" s="33" t="n">
        <f aca="false">B23*C23</f>
        <v>650</v>
      </c>
      <c r="E23" s="33" t="n">
        <f aca="false">D23*12</f>
        <v>7800</v>
      </c>
      <c r="F23" s="8" t="n">
        <f aca="false">Annahmen!$B$33</f>
        <v>10</v>
      </c>
      <c r="G23" s="33" t="n">
        <f aca="false">E23*((1+Annahmen!$B$80)^F23-1)/Annahmen!$B$80</f>
        <v>85407.8237979554</v>
      </c>
      <c r="H23" s="40" t="n">
        <f aca="false">E23/'Flächen und Mieten'!$G$26</f>
        <v>0.0463603943780155</v>
      </c>
    </row>
    <row r="24" customFormat="false" ht="15" hidden="false" customHeight="false" outlineLevel="0" collapsed="false">
      <c r="A24" s="29" t="s">
        <v>262</v>
      </c>
      <c r="B24" s="30" t="n">
        <f aca="false">SUM(B22:B23)</f>
        <v>165</v>
      </c>
      <c r="C24" s="41" t="n">
        <f aca="false">D24/B24</f>
        <v>9.6969696969697</v>
      </c>
      <c r="D24" s="35" t="n">
        <f aca="false">SUM(D22:D23)</f>
        <v>1600</v>
      </c>
      <c r="E24" s="35" t="n">
        <f aca="false">SUM(E22:E23)</f>
        <v>19200</v>
      </c>
      <c r="G24" s="35" t="n">
        <f aca="false">SUM(G22:G23)</f>
        <v>210234.643194967</v>
      </c>
      <c r="H24" s="42" t="n">
        <f aca="false">SUM(H22:H23)</f>
        <v>0.114117893853577</v>
      </c>
    </row>
    <row r="26" customFormat="false" ht="15" hidden="false" customHeight="false" outlineLevel="0" collapsed="false">
      <c r="A26" s="43" t="s">
        <v>263</v>
      </c>
    </row>
    <row r="27" customFormat="false" ht="15" hidden="false" customHeight="false" outlineLevel="0" collapsed="false">
      <c r="A27" s="7" t="s">
        <v>264</v>
      </c>
      <c r="D27" s="33" t="n">
        <f aca="false">Tilgungsplan!N3*12</f>
        <v>212800.285299123</v>
      </c>
    </row>
    <row r="28" customFormat="false" ht="15" hidden="false" customHeight="false" outlineLevel="0" collapsed="false">
      <c r="A28" s="7" t="s">
        <v>265</v>
      </c>
      <c r="D28" s="33" t="n">
        <f aca="false">E24*(1-Annahmen!$B$48)</f>
        <v>17280</v>
      </c>
    </row>
    <row r="29" customFormat="false" ht="15" hidden="false" customHeight="false" outlineLevel="0" collapsed="false">
      <c r="A29" s="7" t="s">
        <v>266</v>
      </c>
      <c r="D29" s="40" t="n">
        <f aca="false">D28/D27</f>
        <v>0.0812028986507719</v>
      </c>
    </row>
    <row r="30" customFormat="false" ht="15" hidden="false" customHeight="false" outlineLevel="0" collapsed="false">
      <c r="A30" s="7" t="s">
        <v>267</v>
      </c>
      <c r="D30" s="33" t="n">
        <f aca="false">('Flächen und Mieten'!G21+E24)*(1-Annahmen!$B$48)</f>
        <v>96342.3529411765</v>
      </c>
    </row>
    <row r="31" customFormat="false" ht="15" hidden="false" customHeight="false" outlineLevel="0" collapsed="false">
      <c r="A31" s="7" t="s">
        <v>268</v>
      </c>
      <c r="D31" s="44" t="n">
        <f aca="false">D30/D27</f>
        <v>0.45273601398491</v>
      </c>
    </row>
    <row r="32" customFormat="false" ht="15" hidden="false" customHeight="false" outlineLevel="0" collapsed="false">
      <c r="A32" s="7" t="s">
        <v>269</v>
      </c>
      <c r="D32" s="31" t="n">
        <f aca="false">SUMPRODUCT(E22:E23,F22:F23)/E24</f>
        <v>10</v>
      </c>
    </row>
    <row r="34" customFormat="false" ht="15" hidden="false" customHeight="false" outlineLevel="0" collapsed="false">
      <c r="A34" s="43" t="s">
        <v>270</v>
      </c>
    </row>
    <row r="35" customFormat="false" ht="15" hidden="false" customHeight="false" outlineLevel="0" collapsed="false">
      <c r="A35" s="7" t="s">
        <v>271</v>
      </c>
      <c r="D35" s="31" t="n">
        <f aca="false">(Annahmen!$B$24+Annahmen!$B$26)*1.5</f>
        <v>12</v>
      </c>
    </row>
    <row r="36" customFormat="false" ht="15" hidden="false" customHeight="false" outlineLevel="0" collapsed="false">
      <c r="A36" s="7" t="s">
        <v>272</v>
      </c>
      <c r="D36" s="31" t="n">
        <f aca="false">(D5+D6+D7)/10</f>
        <v>39.1</v>
      </c>
    </row>
    <row r="37" customFormat="false" ht="15" hidden="false" customHeight="false" outlineLevel="0" collapsed="false">
      <c r="A37" s="7" t="s">
        <v>273</v>
      </c>
      <c r="D37" s="31" t="n">
        <f aca="false">B24/30</f>
        <v>5.5</v>
      </c>
    </row>
    <row r="38" customFormat="false" ht="15" hidden="false" customHeight="false" outlineLevel="0" collapsed="false">
      <c r="A38" s="29" t="s">
        <v>274</v>
      </c>
      <c r="D38" s="45" t="n">
        <f aca="false">SUM(D35:D37)</f>
        <v>56.6</v>
      </c>
      <c r="H38" s="9" t="s">
        <v>275</v>
      </c>
    </row>
    <row r="40" customFormat="false" ht="15" hidden="false" customHeight="false" outlineLevel="0" collapsed="false">
      <c r="A40" s="16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A45"/>
    <pageSetUpPr fitToPage="tru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1" t="s">
        <v>277</v>
      </c>
    </row>
    <row r="2" customFormat="false" ht="15" hidden="false" customHeight="false" outlineLevel="0" collapsed="false">
      <c r="A2" s="2" t="s">
        <v>278</v>
      </c>
    </row>
    <row r="4" customFormat="false" ht="15" hidden="false" customHeight="false" outlineLevel="0" collapsed="false">
      <c r="A4" s="3" t="s">
        <v>279</v>
      </c>
      <c r="B4" s="4" t="s">
        <v>280</v>
      </c>
      <c r="C4" s="4" t="s">
        <v>281</v>
      </c>
      <c r="D4" s="4" t="s">
        <v>282</v>
      </c>
    </row>
    <row r="5" customFormat="false" ht="15" hidden="false" customHeight="false" outlineLevel="0" collapsed="false">
      <c r="A5" s="7" t="s">
        <v>283</v>
      </c>
      <c r="B5" s="33" t="n">
        <f aca="false">Annahmen!$B$5*Annahmen!$B$6</f>
        <v>220800</v>
      </c>
      <c r="C5" s="40" t="n">
        <f aca="false">B5/$B$18</f>
        <v>0.045567999172386</v>
      </c>
      <c r="D5" s="9" t="s">
        <v>284</v>
      </c>
    </row>
    <row r="6" customFormat="false" ht="15" hidden="false" customHeight="false" outlineLevel="0" collapsed="false">
      <c r="A6" s="7" t="s">
        <v>61</v>
      </c>
      <c r="B6" s="33" t="n">
        <f aca="false">B5*Annahmen!$B$7</f>
        <v>11040</v>
      </c>
      <c r="C6" s="40" t="n">
        <f aca="false">B6/$B$18</f>
        <v>0.0022783999586193</v>
      </c>
      <c r="D6" s="9"/>
    </row>
    <row r="7" customFormat="false" ht="15" hidden="false" customHeight="false" outlineLevel="0" collapsed="false">
      <c r="A7" s="7" t="s">
        <v>63</v>
      </c>
      <c r="B7" s="33" t="n">
        <f aca="false">B5*Annahmen!$B$8</f>
        <v>4416</v>
      </c>
      <c r="C7" s="40" t="n">
        <f aca="false">B7/$B$18</f>
        <v>0.00091135998344772</v>
      </c>
      <c r="D7" s="9"/>
    </row>
    <row r="8" customFormat="false" ht="15" hidden="false" customHeight="false" outlineLevel="0" collapsed="false">
      <c r="A8" s="29" t="s">
        <v>285</v>
      </c>
      <c r="B8" s="35" t="n">
        <f aca="false">SUM(B5:B7)</f>
        <v>236256</v>
      </c>
      <c r="C8" s="40" t="n">
        <f aca="false">B8/$B$18</f>
        <v>0.048757759114453</v>
      </c>
      <c r="D8" s="9"/>
    </row>
    <row r="9" customFormat="false" ht="15" hidden="false" customHeight="false" outlineLevel="0" collapsed="false">
      <c r="A9" s="7" t="s">
        <v>286</v>
      </c>
      <c r="B9" s="33" t="n">
        <f aca="false">(Annahmen!$B$10+Annahmen!$B$11+Annahmen!$B$12)*Annahmen!$B$13</f>
        <v>3630000</v>
      </c>
      <c r="C9" s="40" t="n">
        <f aca="false">B9/$B$18</f>
        <v>0.749147812480802</v>
      </c>
      <c r="D9" s="9" t="str">
        <f aca="false">TEXT(Annahmen!$B$10+Annahmen!$B$11+Annahmen!$B$12,"#,##0")&amp;" m² × "&amp;TEXT(Annahmen!$B$13,"#,##0")&amp;" €"</f>
        <v>1,650 m² × 2,200 €</v>
      </c>
    </row>
    <row r="10" customFormat="false" ht="15" hidden="false" customHeight="false" outlineLevel="0" collapsed="false">
      <c r="A10" s="7" t="s">
        <v>287</v>
      </c>
      <c r="B10" s="33" t="n">
        <f aca="false">-Annahmen!$B$12*Annahmen!$B$14</f>
        <v>-199200</v>
      </c>
      <c r="C10" s="40" t="n">
        <f aca="false">B10/$B$18</f>
        <v>-0.0411102601229135</v>
      </c>
      <c r="D10" s="9" t="str">
        <f aca="false">TEXT(Annahmen!$B$12,"#,##0")&amp;" m² × "&amp;TEXT(Annahmen!$B$14,"#,##0")&amp;" €"</f>
        <v>498 m² × 400 €</v>
      </c>
    </row>
    <row r="11" customFormat="false" ht="15" hidden="false" customHeight="false" outlineLevel="0" collapsed="false">
      <c r="A11" s="7" t="s">
        <v>288</v>
      </c>
      <c r="B11" s="33" t="n">
        <f aca="false">Annahmen!$B$15*Annahmen!$B$16</f>
        <v>34650</v>
      </c>
      <c r="C11" s="40" t="n">
        <f aca="false">B11/$B$18</f>
        <v>0.0071509563918622</v>
      </c>
      <c r="D11" s="9" t="str">
        <f aca="false">TEXT(Annahmen!$B$15,"#,##0")&amp;" m² × "&amp;TEXT(Annahmen!$B$16,"#,##0")&amp;" €"</f>
        <v>77 m² × 450 €</v>
      </c>
    </row>
    <row r="12" customFormat="false" ht="15" hidden="false" customHeight="false" outlineLevel="0" collapsed="false">
      <c r="A12" s="29" t="s">
        <v>289</v>
      </c>
      <c r="B12" s="35" t="n">
        <f aca="false">SUM(B9:B11)</f>
        <v>3465450</v>
      </c>
      <c r="C12" s="40" t="n">
        <f aca="false">B12/$B$18</f>
        <v>0.715188508749751</v>
      </c>
      <c r="D12" s="9"/>
    </row>
    <row r="13" customFormat="false" ht="15" hidden="false" customHeight="false" outlineLevel="0" collapsed="false">
      <c r="A13" s="7" t="s">
        <v>78</v>
      </c>
      <c r="B13" s="33" t="n">
        <f aca="false">B12*Annahmen!$B$17</f>
        <v>519817.5</v>
      </c>
      <c r="C13" s="40" t="n">
        <f aca="false">B13/$B$18</f>
        <v>0.107278276312463</v>
      </c>
      <c r="D13" s="9" t="s">
        <v>290</v>
      </c>
    </row>
    <row r="14" customFormat="false" ht="15" hidden="false" customHeight="false" outlineLevel="0" collapsed="false">
      <c r="A14" s="7" t="s">
        <v>291</v>
      </c>
      <c r="B14" s="33" t="n">
        <f aca="false">(B12+B13)*Annahmen!$B$18</f>
        <v>119558.025</v>
      </c>
      <c r="C14" s="40" t="n">
        <f aca="false">B14/$B$18</f>
        <v>0.0246740035518664</v>
      </c>
      <c r="D14" s="9" t="s">
        <v>292</v>
      </c>
    </row>
    <row r="15" customFormat="false" ht="15" hidden="false" customHeight="false" outlineLevel="0" collapsed="false">
      <c r="A15" s="7" t="s">
        <v>293</v>
      </c>
      <c r="B15" s="33" t="n">
        <f aca="false">Annahmen!$B$19+(Annahmen!$B$29+Annahmen!$B$31)*Annahmen!$B$34</f>
        <v>214750</v>
      </c>
      <c r="C15" s="40" t="n">
        <f aca="false">B15/$B$18</f>
        <v>0.044319419484918</v>
      </c>
      <c r="D15" s="9" t="s">
        <v>294</v>
      </c>
    </row>
    <row r="16" customFormat="false" ht="15" hidden="false" customHeight="false" outlineLevel="0" collapsed="false">
      <c r="A16" s="29" t="s">
        <v>295</v>
      </c>
      <c r="B16" s="35" t="n">
        <f aca="false">B8+B12+B13+B14+B15</f>
        <v>4555831.525</v>
      </c>
      <c r="C16" s="40" t="n">
        <f aca="false">B16/$B$18</f>
        <v>0.940217967213451</v>
      </c>
      <c r="D16" s="9"/>
    </row>
    <row r="17" customFormat="false" ht="15" hidden="false" customHeight="false" outlineLevel="0" collapsed="false">
      <c r="A17" s="7" t="s">
        <v>296</v>
      </c>
      <c r="B17" s="33" t="n">
        <f aca="false">Bauphase!G36</f>
        <v>289674.180982452</v>
      </c>
      <c r="C17" s="40" t="n">
        <f aca="false">B17/$B$18</f>
        <v>0.0597820327865487</v>
      </c>
      <c r="D17" s="9" t="s">
        <v>297</v>
      </c>
    </row>
    <row r="18" customFormat="false" ht="15" hidden="false" customHeight="false" outlineLevel="0" collapsed="false">
      <c r="A18" s="29" t="s">
        <v>298</v>
      </c>
      <c r="B18" s="46" t="n">
        <f aca="false">B16+B17</f>
        <v>4845505.70598245</v>
      </c>
      <c r="C18" s="40" t="n">
        <f aca="false">B18/$B$18</f>
        <v>1</v>
      </c>
      <c r="D18" s="9"/>
    </row>
    <row r="19" customFormat="false" ht="15" hidden="false" customHeight="false" outlineLevel="0" collapsed="false">
      <c r="A19" s="7" t="s">
        <v>299</v>
      </c>
      <c r="B19" s="33" t="n">
        <f aca="false">B18/'Flächen und Mieten'!B8</f>
        <v>2936.67012483785</v>
      </c>
    </row>
    <row r="20" customFormat="false" ht="15" hidden="false" customHeight="false" outlineLevel="0" collapsed="false">
      <c r="A20" s="7" t="s">
        <v>300</v>
      </c>
      <c r="B20" s="33" t="n">
        <f aca="false">B18/'Flächen und Mieten'!D9</f>
        <v>605688.213247807</v>
      </c>
    </row>
    <row r="23" customFormat="false" ht="23.85" hidden="false" customHeight="false" outlineLevel="0" collapsed="false">
      <c r="A23" s="3" t="s">
        <v>301</v>
      </c>
      <c r="B23" s="4" t="s">
        <v>302</v>
      </c>
      <c r="C23" s="4" t="s">
        <v>281</v>
      </c>
      <c r="D23" s="4" t="s">
        <v>303</v>
      </c>
    </row>
    <row r="24" customFormat="false" ht="15" hidden="false" customHeight="false" outlineLevel="0" collapsed="false">
      <c r="A24" s="7" t="s">
        <v>304</v>
      </c>
      <c r="B24" s="33" t="n">
        <f aca="false">Bauphase!L33*Annahmen!$B$27/MAX(1,(Annahmen!$B$24+Annahmen!$B$26))</f>
        <v>0</v>
      </c>
      <c r="C24" s="40" t="n">
        <f aca="false">B24/$B$29</f>
        <v>0</v>
      </c>
      <c r="D24" s="12" t="n">
        <f aca="false">Annahmen!$B$55</f>
        <v>0.025</v>
      </c>
    </row>
    <row r="25" customFormat="false" ht="15" hidden="false" customHeight="false" outlineLevel="0" collapsed="false">
      <c r="A25" s="7" t="s">
        <v>305</v>
      </c>
      <c r="B25" s="33" t="n">
        <f aca="false">Bauphase!L33-B24</f>
        <v>1200000</v>
      </c>
      <c r="C25" s="40" t="n">
        <f aca="false">B25/$B$29</f>
        <v>0.247652169415141</v>
      </c>
      <c r="D25" s="12" t="n">
        <f aca="false">Annahmen!$B$55</f>
        <v>0.025</v>
      </c>
    </row>
    <row r="26" customFormat="false" ht="15" hidden="false" customHeight="false" outlineLevel="0" collapsed="false">
      <c r="A26" s="7" t="s">
        <v>306</v>
      </c>
      <c r="B26" s="33" t="n">
        <f aca="false">Bauphase!M33</f>
        <v>1147500</v>
      </c>
      <c r="C26" s="40" t="n">
        <f aca="false">B26/$B$29</f>
        <v>0.236817387003229</v>
      </c>
      <c r="D26" s="12" t="n">
        <f aca="false">Annahmen!$B$56</f>
        <v>0.03</v>
      </c>
    </row>
    <row r="27" customFormat="false" ht="15" hidden="false" customHeight="false" outlineLevel="0" collapsed="false">
      <c r="A27" s="7" t="s">
        <v>307</v>
      </c>
      <c r="B27" s="33" t="n">
        <f aca="false">Bauphase!N33</f>
        <v>2498005.70598245</v>
      </c>
      <c r="C27" s="40" t="n">
        <f aca="false">B27/$B$29</f>
        <v>0.51553044358163</v>
      </c>
      <c r="D27" s="12" t="n">
        <f aca="false">Annahmen!$B$57</f>
        <v>0.04</v>
      </c>
    </row>
    <row r="28" customFormat="false" ht="15" hidden="false" customHeight="false" outlineLevel="0" collapsed="false">
      <c r="A28" s="7" t="s">
        <v>308</v>
      </c>
      <c r="B28" s="19" t="n">
        <v>0</v>
      </c>
      <c r="C28" s="40" t="n">
        <f aca="false">B28/$B$29</f>
        <v>0</v>
      </c>
      <c r="D28" s="7"/>
    </row>
    <row r="29" customFormat="false" ht="15" hidden="false" customHeight="false" outlineLevel="0" collapsed="false">
      <c r="A29" s="29" t="s">
        <v>309</v>
      </c>
      <c r="B29" s="46" t="n">
        <f aca="false">SUM(B24:B28)</f>
        <v>4845505.70598245</v>
      </c>
      <c r="C29" s="40" t="n">
        <f aca="false">B29/$B$29</f>
        <v>1</v>
      </c>
    </row>
    <row r="30" customFormat="false" ht="15" hidden="false" customHeight="false" outlineLevel="0" collapsed="false">
      <c r="A30" s="29" t="s">
        <v>310</v>
      </c>
      <c r="B30" s="42" t="n">
        <f aca="false">(B24+B25+B26)/B29</f>
        <v>0.48446955641837</v>
      </c>
    </row>
    <row r="31" customFormat="false" ht="15" hidden="false" customHeight="false" outlineLevel="0" collapsed="false">
      <c r="A31" s="29" t="s">
        <v>311</v>
      </c>
      <c r="B31" s="47" t="n">
        <f aca="false">(B24*Annahmen!$B$55+B25*Annahmen!$B$55+B26*Annahmen!$B$56+B27*Annahmen!$B$57)/B29</f>
        <v>0.0339170435887406</v>
      </c>
    </row>
    <row r="33" customFormat="false" ht="15" hidden="false" customHeight="false" outlineLevel="0" collapsed="false">
      <c r="A33" s="43" t="s">
        <v>312</v>
      </c>
    </row>
    <row r="34" customFormat="false" ht="15" hidden="false" customHeight="false" outlineLevel="0" collapsed="false">
      <c r="A34" s="7" t="s">
        <v>313</v>
      </c>
      <c r="B34" s="33" t="n">
        <f aca="false">(Annahmen!$B$24+Annahmen!$B$26)*Annahmen!$B$53</f>
        <v>1200000</v>
      </c>
    </row>
    <row r="35" customFormat="false" ht="15" hidden="false" customHeight="false" outlineLevel="0" collapsed="false">
      <c r="A35" s="7" t="s">
        <v>314</v>
      </c>
      <c r="B35" s="33" t="n">
        <f aca="false">(Annahmen!$B$21+Annahmen!$B$29+Annahmen!$B$31)*Annahmen!$B$22*Annahmen!$B$54</f>
        <v>1147500</v>
      </c>
    </row>
    <row r="36" customFormat="false" ht="15" hidden="false" customHeight="false" outlineLevel="0" collapsed="false">
      <c r="A36" s="7" t="s">
        <v>315</v>
      </c>
      <c r="B36" s="35" t="n">
        <f aca="false">B34+B35</f>
        <v>2347500</v>
      </c>
    </row>
    <row r="37" customFormat="false" ht="15" hidden="false" customHeight="false" outlineLevel="0" collapsed="false">
      <c r="A37" s="16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A45"/>
    <pageSetUpPr fitToPage="true"/>
  </sheetPr>
  <dimension ref="A1:N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4"/>
    <col collapsed="false" customWidth="true" hidden="false" outlineLevel="0" max="11" min="7" style="0" width="13"/>
    <col collapsed="false" customWidth="true" hidden="false" outlineLevel="0" max="14" min="12" style="0" width="15"/>
  </cols>
  <sheetData>
    <row r="1" customFormat="false" ht="19.7" hidden="false" customHeight="false" outlineLevel="0" collapsed="false">
      <c r="A1" s="1" t="s">
        <v>317</v>
      </c>
    </row>
    <row r="2" customFormat="false" ht="15" hidden="false" customHeight="false" outlineLevel="0" collapsed="false">
      <c r="A2" s="2" t="s">
        <v>318</v>
      </c>
    </row>
    <row r="3" customFormat="false" ht="15" hidden="false" customHeight="false" outlineLevel="0" collapsed="false">
      <c r="A3" s="48" t="s">
        <v>319</v>
      </c>
      <c r="E3" s="40" t="n">
        <f aca="false">MIN(1,'Kosten und Finanzierung'!B34/'Kosten und Finanzierung'!B16)</f>
        <v>0.26339867780778</v>
      </c>
      <c r="F3" s="48" t="s">
        <v>320</v>
      </c>
      <c r="I3" s="40" t="n">
        <f aca="false">MIN(1-E3,'Kosten und Finanzierung'!B35/'Kosten und Finanzierung'!B16)</f>
        <v>0.251874985653689</v>
      </c>
      <c r="J3" s="48" t="s">
        <v>321</v>
      </c>
      <c r="L3" s="40" t="n">
        <f aca="false">1-E3-I3</f>
        <v>0.484726336538531</v>
      </c>
    </row>
    <row r="5" customFormat="false" ht="42" hidden="false" customHeight="true" outlineLevel="0" collapsed="false">
      <c r="A5" s="3" t="s">
        <v>322</v>
      </c>
      <c r="B5" s="4" t="s">
        <v>323</v>
      </c>
      <c r="C5" s="4" t="s">
        <v>324</v>
      </c>
      <c r="D5" s="4" t="s">
        <v>325</v>
      </c>
      <c r="E5" s="4" t="s">
        <v>326</v>
      </c>
      <c r="F5" s="4" t="s">
        <v>327</v>
      </c>
      <c r="G5" s="4" t="s">
        <v>328</v>
      </c>
      <c r="H5" s="4" t="s">
        <v>329</v>
      </c>
      <c r="I5" s="4" t="s">
        <v>330</v>
      </c>
      <c r="J5" s="4" t="s">
        <v>331</v>
      </c>
      <c r="K5" s="4" t="s">
        <v>332</v>
      </c>
      <c r="L5" s="4" t="s">
        <v>333</v>
      </c>
      <c r="M5" s="4" t="s">
        <v>334</v>
      </c>
      <c r="N5" s="4" t="s">
        <v>335</v>
      </c>
    </row>
    <row r="6" customFormat="false" ht="15" hidden="false" customHeight="false" outlineLevel="0" collapsed="false">
      <c r="A6" s="28" t="n">
        <v>0</v>
      </c>
      <c r="B6" s="7" t="s">
        <v>56</v>
      </c>
      <c r="C6" s="33" t="n">
        <f aca="false">'Kosten und Finanzierung'!B8</f>
        <v>236256</v>
      </c>
      <c r="D6" s="33" t="n">
        <f aca="false">('Kosten und Finanzierung'!B16-'Kosten und Finanzierung'!B8)</f>
        <v>4319575.525</v>
      </c>
      <c r="E6" s="33" t="n">
        <f aca="false">C6*$E$3</f>
        <v>62229.5180241548</v>
      </c>
      <c r="F6" s="33" t="n">
        <f aca="false">C6*$I$3</f>
        <v>59506.976610598</v>
      </c>
      <c r="G6" s="33" t="n">
        <v>0</v>
      </c>
      <c r="H6" s="33" t="n">
        <v>0</v>
      </c>
      <c r="I6" s="33" t="n">
        <v>0</v>
      </c>
      <c r="J6" s="33" t="n">
        <v>0</v>
      </c>
      <c r="K6" s="33" t="n">
        <f aca="false">C6*$L$3+G6+H6+I6+J6</f>
        <v>114519.505365247</v>
      </c>
      <c r="L6" s="33" t="n">
        <f aca="false">E6</f>
        <v>62229.5180241548</v>
      </c>
      <c r="M6" s="33" t="n">
        <f aca="false">F6</f>
        <v>59506.976610598</v>
      </c>
      <c r="N6" s="33" t="n">
        <f aca="false">K6</f>
        <v>114519.505365247</v>
      </c>
    </row>
    <row r="7" customFormat="false" ht="15" hidden="false" customHeight="false" outlineLevel="0" collapsed="false">
      <c r="A7" s="28" t="n">
        <v>1</v>
      </c>
      <c r="B7" s="7" t="s">
        <v>336</v>
      </c>
      <c r="C7" s="33" t="n">
        <f aca="false">IF(A7&lt;=Annahmen!$B$59,('Kosten und Finanzierung'!B16-'Kosten und Finanzierung'!B8)/Annahmen!$B$59,0)</f>
        <v>287971.701666667</v>
      </c>
      <c r="D7" s="33" t="n">
        <f aca="false">IF(A7&lt;=Annahmen!$B$59,('Kosten und Finanzierung'!B16-'Kosten und Finanzierung'!B8)*(Annahmen!$B$59-(A7-1))/Annahmen!$B$59,0)</f>
        <v>4319575.525</v>
      </c>
      <c r="E7" s="33" t="n">
        <f aca="false">C7*$E$3</f>
        <v>75851.3654650564</v>
      </c>
      <c r="F7" s="33" t="n">
        <f aca="false">C7*$I$3</f>
        <v>72532.8682259601</v>
      </c>
      <c r="G7" s="33" t="n">
        <f aca="false">L6*Annahmen!$B$55/12</f>
        <v>129.644829216989</v>
      </c>
      <c r="H7" s="33" t="n">
        <f aca="false">M6*Annahmen!$B$56/12</f>
        <v>148.767441526495</v>
      </c>
      <c r="I7" s="33" t="n">
        <f aca="false">N6*Annahmen!$B$57/12</f>
        <v>381.731684550824</v>
      </c>
      <c r="J7" s="33" t="n">
        <f aca="false">IF(AND(A7&gt;=Annahmen!$B$62,A7&lt;=Annahmen!$B$59),D7*Annahmen!$B$61/12,0)</f>
        <v>0</v>
      </c>
      <c r="K7" s="33" t="n">
        <f aca="false">C7*$L$3+G7+H7+I7+J7</f>
        <v>140247.611930945</v>
      </c>
      <c r="L7" s="33" t="n">
        <f aca="false">L6+E7</f>
        <v>138080.883489211</v>
      </c>
      <c r="M7" s="33" t="n">
        <f aca="false">M6+F7</f>
        <v>132039.844836558</v>
      </c>
      <c r="N7" s="33" t="n">
        <f aca="false">N6+K7</f>
        <v>254767.117296192</v>
      </c>
    </row>
    <row r="8" customFormat="false" ht="15" hidden="false" customHeight="false" outlineLevel="0" collapsed="false">
      <c r="A8" s="28" t="n">
        <v>2</v>
      </c>
      <c r="B8" s="7" t="s">
        <v>336</v>
      </c>
      <c r="C8" s="33" t="n">
        <f aca="false">IF(A8&lt;=Annahmen!$B$59,('Kosten und Finanzierung'!B16-'Kosten und Finanzierung'!B8)/Annahmen!$B$59,0)</f>
        <v>287971.701666667</v>
      </c>
      <c r="D8" s="33" t="n">
        <f aca="false">IF(A8&lt;=Annahmen!$B$59,('Kosten und Finanzierung'!B16-'Kosten und Finanzierung'!B8)*(Annahmen!$B$59-(A8-1))/Annahmen!$B$59,0)</f>
        <v>4031603.82333333</v>
      </c>
      <c r="E8" s="33" t="n">
        <f aca="false">C8*$E$3</f>
        <v>75851.3654650564</v>
      </c>
      <c r="F8" s="33" t="n">
        <f aca="false">C8*$I$3</f>
        <v>72532.8682259601</v>
      </c>
      <c r="G8" s="33" t="n">
        <f aca="false">L7*Annahmen!$B$55/12</f>
        <v>287.66850726919</v>
      </c>
      <c r="H8" s="33" t="n">
        <f aca="false">M7*Annahmen!$B$56/12</f>
        <v>330.099612091395</v>
      </c>
      <c r="I8" s="33" t="n">
        <f aca="false">N7*Annahmen!$B$57/12</f>
        <v>849.22372432064</v>
      </c>
      <c r="J8" s="33" t="n">
        <f aca="false">IF(AND(A8&gt;=Annahmen!$B$62,A8&lt;=Annahmen!$B$59),D8*Annahmen!$B$61/12,0)</f>
        <v>0</v>
      </c>
      <c r="K8" s="33" t="n">
        <f aca="false">C8*$L$3+G8+H8+I8+J8</f>
        <v>141054.459819331</v>
      </c>
      <c r="L8" s="33" t="n">
        <f aca="false">L7+E8</f>
        <v>213932.248954267</v>
      </c>
      <c r="M8" s="33" t="n">
        <f aca="false">M7+F8</f>
        <v>204572.713062518</v>
      </c>
      <c r="N8" s="33" t="n">
        <f aca="false">N7+K8</f>
        <v>395821.577115523</v>
      </c>
    </row>
    <row r="9" customFormat="false" ht="15" hidden="false" customHeight="false" outlineLevel="0" collapsed="false">
      <c r="A9" s="28" t="n">
        <v>3</v>
      </c>
      <c r="B9" s="7" t="s">
        <v>336</v>
      </c>
      <c r="C9" s="33" t="n">
        <f aca="false">IF(A9&lt;=Annahmen!$B$59,('Kosten und Finanzierung'!B16-'Kosten und Finanzierung'!B8)/Annahmen!$B$59,0)</f>
        <v>287971.701666667</v>
      </c>
      <c r="D9" s="33" t="n">
        <f aca="false">IF(A9&lt;=Annahmen!$B$59,('Kosten und Finanzierung'!B16-'Kosten und Finanzierung'!B8)*(Annahmen!$B$59-(A9-1))/Annahmen!$B$59,0)</f>
        <v>3743632.12166667</v>
      </c>
      <c r="E9" s="33" t="n">
        <f aca="false">C9*$E$3</f>
        <v>75851.3654650564</v>
      </c>
      <c r="F9" s="33" t="n">
        <f aca="false">C9*$I$3</f>
        <v>72532.8682259601</v>
      </c>
      <c r="G9" s="33" t="n">
        <f aca="false">L8*Annahmen!$B$55/12</f>
        <v>445.692185321391</v>
      </c>
      <c r="H9" s="33" t="n">
        <f aca="false">M8*Annahmen!$B$56/12</f>
        <v>511.431782656296</v>
      </c>
      <c r="I9" s="33" t="n">
        <f aca="false">N8*Annahmen!$B$57/12</f>
        <v>1319.40525705174</v>
      </c>
      <c r="J9" s="33" t="n">
        <f aca="false">IF(AND(A9&gt;=Annahmen!$B$62,A9&lt;=Annahmen!$B$59),D9*Annahmen!$B$61/12,0)</f>
        <v>0</v>
      </c>
      <c r="K9" s="33" t="n">
        <f aca="false">C9*$L$3+G9+H9+I9+J9</f>
        <v>141863.99720068</v>
      </c>
      <c r="L9" s="33" t="n">
        <f aca="false">L8+E9</f>
        <v>289783.614419324</v>
      </c>
      <c r="M9" s="33" t="n">
        <f aca="false">M8+F9</f>
        <v>277105.581288478</v>
      </c>
      <c r="N9" s="33" t="n">
        <f aca="false">N8+K9</f>
        <v>537685.574316203</v>
      </c>
    </row>
    <row r="10" customFormat="false" ht="15" hidden="false" customHeight="false" outlineLevel="0" collapsed="false">
      <c r="A10" s="28" t="n">
        <v>4</v>
      </c>
      <c r="B10" s="7" t="s">
        <v>336</v>
      </c>
      <c r="C10" s="33" t="n">
        <f aca="false">IF(A10&lt;=Annahmen!$B$59,('Kosten und Finanzierung'!B16-'Kosten und Finanzierung'!B8)/Annahmen!$B$59,0)</f>
        <v>287971.701666667</v>
      </c>
      <c r="D10" s="33" t="n">
        <f aca="false">IF(A10&lt;=Annahmen!$B$59,('Kosten und Finanzierung'!B16-'Kosten und Finanzierung'!B8)*(Annahmen!$B$59-(A10-1))/Annahmen!$B$59,0)</f>
        <v>3455660.42</v>
      </c>
      <c r="E10" s="33" t="n">
        <f aca="false">C10*$E$3</f>
        <v>75851.3654650564</v>
      </c>
      <c r="F10" s="33" t="n">
        <f aca="false">C10*$I$3</f>
        <v>72532.8682259601</v>
      </c>
      <c r="G10" s="33" t="n">
        <f aca="false">L9*Annahmen!$B$55/12</f>
        <v>603.715863373591</v>
      </c>
      <c r="H10" s="33" t="n">
        <f aca="false">M9*Annahmen!$B$56/12</f>
        <v>692.763953221196</v>
      </c>
      <c r="I10" s="33" t="n">
        <f aca="false">N9*Annahmen!$B$57/12</f>
        <v>1792.28524772068</v>
      </c>
      <c r="J10" s="33" t="n">
        <f aca="false">IF(AND(A10&gt;=Annahmen!$B$62,A10&lt;=Annahmen!$B$59),D10*Annahmen!$B$61/12,0)</f>
        <v>0</v>
      </c>
      <c r="K10" s="33" t="n">
        <f aca="false">C10*$L$3+G10+H10+I10+J10</f>
        <v>142676.233039966</v>
      </c>
      <c r="L10" s="33" t="n">
        <f aca="false">L9+E10</f>
        <v>365634.97988438</v>
      </c>
      <c r="M10" s="33" t="n">
        <f aca="false">M9+F10</f>
        <v>349638.449514439</v>
      </c>
      <c r="N10" s="33" t="n">
        <f aca="false">N9+K10</f>
        <v>680361.807356169</v>
      </c>
    </row>
    <row r="11" customFormat="false" ht="15" hidden="false" customHeight="false" outlineLevel="0" collapsed="false">
      <c r="A11" s="28" t="n">
        <v>5</v>
      </c>
      <c r="B11" s="7" t="s">
        <v>336</v>
      </c>
      <c r="C11" s="33" t="n">
        <f aca="false">IF(A11&lt;=Annahmen!$B$59,('Kosten und Finanzierung'!B16-'Kosten und Finanzierung'!B8)/Annahmen!$B$59,0)</f>
        <v>287971.701666667</v>
      </c>
      <c r="D11" s="33" t="n">
        <f aca="false">IF(A11&lt;=Annahmen!$B$59,('Kosten und Finanzierung'!B16-'Kosten und Finanzierung'!B8)*(Annahmen!$B$59-(A11-1))/Annahmen!$B$59,0)</f>
        <v>3167688.71833333</v>
      </c>
      <c r="E11" s="33" t="n">
        <f aca="false">C11*$E$3</f>
        <v>75851.3654650564</v>
      </c>
      <c r="F11" s="33" t="n">
        <f aca="false">C11*$I$3</f>
        <v>72532.8682259601</v>
      </c>
      <c r="G11" s="33" t="n">
        <f aca="false">L10*Annahmen!$B$55/12</f>
        <v>761.739541425792</v>
      </c>
      <c r="H11" s="33" t="n">
        <f aca="false">M10*Annahmen!$B$56/12</f>
        <v>874.096123786096</v>
      </c>
      <c r="I11" s="33" t="n">
        <f aca="false">N10*Annahmen!$B$57/12</f>
        <v>2267.87269118723</v>
      </c>
      <c r="J11" s="33" t="n">
        <f aca="false">IF(AND(A11&gt;=Annahmen!$B$62,A11&lt;=Annahmen!$B$59),D11*Annahmen!$B$61/12,0)</f>
        <v>0</v>
      </c>
      <c r="K11" s="33" t="n">
        <f aca="false">C11*$L$3+G11+H11+I11+J11</f>
        <v>143491.176332049</v>
      </c>
      <c r="L11" s="33" t="n">
        <f aca="false">L10+E11</f>
        <v>441486.345349437</v>
      </c>
      <c r="M11" s="33" t="n">
        <f aca="false">M10+F11</f>
        <v>422171.317740399</v>
      </c>
      <c r="N11" s="33" t="n">
        <f aca="false">N10+K11</f>
        <v>823852.983688218</v>
      </c>
    </row>
    <row r="12" customFormat="false" ht="15" hidden="false" customHeight="false" outlineLevel="0" collapsed="false">
      <c r="A12" s="28" t="n">
        <v>6</v>
      </c>
      <c r="B12" s="7" t="s">
        <v>336</v>
      </c>
      <c r="C12" s="33" t="n">
        <f aca="false">IF(A12&lt;=Annahmen!$B$59,('Kosten und Finanzierung'!B16-'Kosten und Finanzierung'!B8)/Annahmen!$B$59,0)</f>
        <v>287971.701666667</v>
      </c>
      <c r="D12" s="33" t="n">
        <f aca="false">IF(A12&lt;=Annahmen!$B$59,('Kosten und Finanzierung'!B16-'Kosten und Finanzierung'!B8)*(Annahmen!$B$59-(A12-1))/Annahmen!$B$59,0)</f>
        <v>2879717.01666667</v>
      </c>
      <c r="E12" s="33" t="n">
        <f aca="false">C12*$E$3</f>
        <v>75851.3654650564</v>
      </c>
      <c r="F12" s="33" t="n">
        <f aca="false">C12*$I$3</f>
        <v>72532.8682259601</v>
      </c>
      <c r="G12" s="33" t="n">
        <f aca="false">L11*Annahmen!$B$55/12</f>
        <v>919.763219477993</v>
      </c>
      <c r="H12" s="33" t="n">
        <f aca="false">M11*Annahmen!$B$56/12</f>
        <v>1055.428294351</v>
      </c>
      <c r="I12" s="33" t="n">
        <f aca="false">N11*Annahmen!$B$57/12</f>
        <v>2746.17661229406</v>
      </c>
      <c r="J12" s="33" t="n">
        <f aca="false">IF(AND(A12&gt;=Annahmen!$B$62,A12&lt;=Annahmen!$B$59),D12*Annahmen!$B$61/12,0)</f>
        <v>0</v>
      </c>
      <c r="K12" s="33" t="n">
        <f aca="false">C12*$L$3+G12+H12+I12+J12</f>
        <v>144308.836101773</v>
      </c>
      <c r="L12" s="33" t="n">
        <f aca="false">L11+E12</f>
        <v>517337.710814493</v>
      </c>
      <c r="M12" s="33" t="n">
        <f aca="false">M11+F12</f>
        <v>494704.185966359</v>
      </c>
      <c r="N12" s="33" t="n">
        <f aca="false">N11+K12</f>
        <v>968161.819789991</v>
      </c>
    </row>
    <row r="13" customFormat="false" ht="15" hidden="false" customHeight="false" outlineLevel="0" collapsed="false">
      <c r="A13" s="28" t="n">
        <v>7</v>
      </c>
      <c r="B13" s="7" t="s">
        <v>336</v>
      </c>
      <c r="C13" s="33" t="n">
        <f aca="false">IF(A13&lt;=Annahmen!$B$59,('Kosten und Finanzierung'!B16-'Kosten und Finanzierung'!B8)/Annahmen!$B$59,0)</f>
        <v>287971.701666667</v>
      </c>
      <c r="D13" s="33" t="n">
        <f aca="false">IF(A13&lt;=Annahmen!$B$59,('Kosten und Finanzierung'!B16-'Kosten und Finanzierung'!B8)*(Annahmen!$B$59-(A13-1))/Annahmen!$B$59,0)</f>
        <v>2591745.315</v>
      </c>
      <c r="E13" s="33" t="n">
        <f aca="false">C13*$E$3</f>
        <v>75851.3654650564</v>
      </c>
      <c r="F13" s="33" t="n">
        <f aca="false">C13*$I$3</f>
        <v>72532.8682259601</v>
      </c>
      <c r="G13" s="33" t="n">
        <f aca="false">L12*Annahmen!$B$55/12</f>
        <v>1077.78689753019</v>
      </c>
      <c r="H13" s="33" t="n">
        <f aca="false">M12*Annahmen!$B$56/12</f>
        <v>1236.7604649159</v>
      </c>
      <c r="I13" s="33" t="n">
        <f aca="false">N12*Annahmen!$B$57/12</f>
        <v>3227.20606596664</v>
      </c>
      <c r="J13" s="33" t="n">
        <f aca="false">IF(AND(A13&gt;=Annahmen!$B$62,A13&lt;=Annahmen!$B$59),D13*Annahmen!$B$61/12,0)</f>
        <v>6479.3632875</v>
      </c>
      <c r="K13" s="33" t="n">
        <f aca="false">C13*$L$3+G13+H13+I13+J13</f>
        <v>151608.584691563</v>
      </c>
      <c r="L13" s="33" t="n">
        <f aca="false">L12+E13</f>
        <v>593189.076279549</v>
      </c>
      <c r="M13" s="33" t="n">
        <f aca="false">M12+F13</f>
        <v>567237.054192319</v>
      </c>
      <c r="N13" s="33" t="n">
        <f aca="false">N12+K13</f>
        <v>1119770.40448155</v>
      </c>
    </row>
    <row r="14" customFormat="false" ht="15" hidden="false" customHeight="false" outlineLevel="0" collapsed="false">
      <c r="A14" s="28" t="n">
        <v>8</v>
      </c>
      <c r="B14" s="7" t="s">
        <v>336</v>
      </c>
      <c r="C14" s="33" t="n">
        <f aca="false">IF(A14&lt;=Annahmen!$B$59,('Kosten und Finanzierung'!B16-'Kosten und Finanzierung'!B8)/Annahmen!$B$59,0)</f>
        <v>287971.701666667</v>
      </c>
      <c r="D14" s="33" t="n">
        <f aca="false">IF(A14&lt;=Annahmen!$B$59,('Kosten und Finanzierung'!B16-'Kosten und Finanzierung'!B8)*(Annahmen!$B$59-(A14-1))/Annahmen!$B$59,0)</f>
        <v>2303773.61333333</v>
      </c>
      <c r="E14" s="33" t="n">
        <f aca="false">C14*$E$3</f>
        <v>75851.3654650564</v>
      </c>
      <c r="F14" s="33" t="n">
        <f aca="false">C14*$I$3</f>
        <v>72532.8682259601</v>
      </c>
      <c r="G14" s="33" t="n">
        <f aca="false">L13*Annahmen!$B$55/12</f>
        <v>1235.81057558239</v>
      </c>
      <c r="H14" s="33" t="n">
        <f aca="false">M13*Annahmen!$B$56/12</f>
        <v>1418.0926354808</v>
      </c>
      <c r="I14" s="33" t="n">
        <f aca="false">N13*Annahmen!$B$57/12</f>
        <v>3732.56801493852</v>
      </c>
      <c r="J14" s="33" t="n">
        <f aca="false">IF(AND(A14&gt;=Annahmen!$B$62,A14&lt;=Annahmen!$B$59),D14*Annahmen!$B$61/12,0)</f>
        <v>5759.43403333333</v>
      </c>
      <c r="K14" s="33" t="n">
        <f aca="false">C14*$L$3+G14+H14+I14+J14</f>
        <v>151733.373234985</v>
      </c>
      <c r="L14" s="33" t="n">
        <f aca="false">L13+E14</f>
        <v>669040.441744606</v>
      </c>
      <c r="M14" s="33" t="n">
        <f aca="false">M13+F14</f>
        <v>639769.922418279</v>
      </c>
      <c r="N14" s="33" t="n">
        <f aca="false">N13+K14</f>
        <v>1271503.77771654</v>
      </c>
    </row>
    <row r="15" customFormat="false" ht="15" hidden="false" customHeight="false" outlineLevel="0" collapsed="false">
      <c r="A15" s="28" t="n">
        <v>9</v>
      </c>
      <c r="B15" s="7" t="s">
        <v>336</v>
      </c>
      <c r="C15" s="33" t="n">
        <f aca="false">IF(A15&lt;=Annahmen!$B$59,('Kosten und Finanzierung'!B16-'Kosten und Finanzierung'!B8)/Annahmen!$B$59,0)</f>
        <v>287971.701666667</v>
      </c>
      <c r="D15" s="33" t="n">
        <f aca="false">IF(A15&lt;=Annahmen!$B$59,('Kosten und Finanzierung'!B16-'Kosten und Finanzierung'!B8)*(Annahmen!$B$59-(A15-1))/Annahmen!$B$59,0)</f>
        <v>2015801.91166667</v>
      </c>
      <c r="E15" s="33" t="n">
        <f aca="false">C15*$E$3</f>
        <v>75851.3654650564</v>
      </c>
      <c r="F15" s="33" t="n">
        <f aca="false">C15*$I$3</f>
        <v>72532.8682259601</v>
      </c>
      <c r="G15" s="33" t="n">
        <f aca="false">L14*Annahmen!$B$55/12</f>
        <v>1393.8342536346</v>
      </c>
      <c r="H15" s="33" t="n">
        <f aca="false">M14*Annahmen!$B$56/12</f>
        <v>1599.4248060457</v>
      </c>
      <c r="I15" s="33" t="n">
        <f aca="false">N14*Annahmen!$B$57/12</f>
        <v>4238.3459257218</v>
      </c>
      <c r="J15" s="33" t="n">
        <f aca="false">IF(AND(A15&gt;=Annahmen!$B$62,A15&lt;=Annahmen!$B$59),D15*Annahmen!$B$61/12,0)</f>
        <v>5039.50477916667</v>
      </c>
      <c r="K15" s="33" t="n">
        <f aca="false">C15*$L$3+G15+H15+I15+J15</f>
        <v>151858.577740219</v>
      </c>
      <c r="L15" s="33" t="n">
        <f aca="false">L14+E15</f>
        <v>744891.807209662</v>
      </c>
      <c r="M15" s="33" t="n">
        <f aca="false">M14+F15</f>
        <v>712302.790644239</v>
      </c>
      <c r="N15" s="33" t="n">
        <f aca="false">N14+K15</f>
        <v>1423362.35545676</v>
      </c>
    </row>
    <row r="16" customFormat="false" ht="15" hidden="false" customHeight="false" outlineLevel="0" collapsed="false">
      <c r="A16" s="28" t="n">
        <v>10</v>
      </c>
      <c r="B16" s="7" t="s">
        <v>336</v>
      </c>
      <c r="C16" s="33" t="n">
        <f aca="false">IF(A16&lt;=Annahmen!$B$59,('Kosten und Finanzierung'!B16-'Kosten und Finanzierung'!B8)/Annahmen!$B$59,0)</f>
        <v>287971.701666667</v>
      </c>
      <c r="D16" s="33" t="n">
        <f aca="false">IF(A16&lt;=Annahmen!$B$59,('Kosten und Finanzierung'!B16-'Kosten und Finanzierung'!B8)*(Annahmen!$B$59-(A16-1))/Annahmen!$B$59,0)</f>
        <v>1727830.21</v>
      </c>
      <c r="E16" s="33" t="n">
        <f aca="false">C16*$E$3</f>
        <v>75851.3654650564</v>
      </c>
      <c r="F16" s="33" t="n">
        <f aca="false">C16*$I$3</f>
        <v>72532.8682259601</v>
      </c>
      <c r="G16" s="33" t="n">
        <f aca="false">L15*Annahmen!$B$55/12</f>
        <v>1551.8579316868</v>
      </c>
      <c r="H16" s="33" t="n">
        <f aca="false">M15*Annahmen!$B$56/12</f>
        <v>1780.7569766106</v>
      </c>
      <c r="I16" s="33" t="n">
        <f aca="false">N15*Annahmen!$B$57/12</f>
        <v>4744.54118485586</v>
      </c>
      <c r="J16" s="33" t="n">
        <f aca="false">IF(AND(A16&gt;=Annahmen!$B$62,A16&lt;=Annahmen!$B$59),D16*Annahmen!$B$61/12,0)</f>
        <v>4319.575525</v>
      </c>
      <c r="K16" s="33" t="n">
        <f aca="false">C16*$L$3+G16+H16+I16+J16</f>
        <v>151984.199593804</v>
      </c>
      <c r="L16" s="33" t="n">
        <f aca="false">L15+E16</f>
        <v>820743.172674719</v>
      </c>
      <c r="M16" s="33" t="n">
        <f aca="false">M15+F16</f>
        <v>784835.6588702</v>
      </c>
      <c r="N16" s="33" t="n">
        <f aca="false">N15+K16</f>
        <v>1575346.55505056</v>
      </c>
    </row>
    <row r="17" customFormat="false" ht="15" hidden="false" customHeight="false" outlineLevel="0" collapsed="false">
      <c r="A17" s="28" t="n">
        <v>11</v>
      </c>
      <c r="B17" s="7" t="s">
        <v>336</v>
      </c>
      <c r="C17" s="33" t="n">
        <f aca="false">IF(A17&lt;=Annahmen!$B$59,('Kosten und Finanzierung'!B16-'Kosten und Finanzierung'!B8)/Annahmen!$B$59,0)</f>
        <v>287971.701666667</v>
      </c>
      <c r="D17" s="33" t="n">
        <f aca="false">IF(A17&lt;=Annahmen!$B$59,('Kosten und Finanzierung'!B16-'Kosten und Finanzierung'!B8)*(Annahmen!$B$59-(A17-1))/Annahmen!$B$59,0)</f>
        <v>1439858.50833333</v>
      </c>
      <c r="E17" s="33" t="n">
        <f aca="false">C17*$E$3</f>
        <v>75851.3654650564</v>
      </c>
      <c r="F17" s="33" t="n">
        <f aca="false">C17*$I$3</f>
        <v>72532.8682259601</v>
      </c>
      <c r="G17" s="33" t="n">
        <f aca="false">L16*Annahmen!$B$55/12</f>
        <v>1709.881609739</v>
      </c>
      <c r="H17" s="33" t="n">
        <f aca="false">M16*Annahmen!$B$56/12</f>
        <v>1962.0891471755</v>
      </c>
      <c r="I17" s="33" t="n">
        <f aca="false">N16*Annahmen!$B$57/12</f>
        <v>5251.15518350187</v>
      </c>
      <c r="J17" s="33" t="n">
        <f aca="false">IF(AND(A17&gt;=Annahmen!$B$62,A17&lt;=Annahmen!$B$59),D17*Annahmen!$B$61/12,0)</f>
        <v>3599.64627083333</v>
      </c>
      <c r="K17" s="33" t="n">
        <f aca="false">C17*$L$3+G17+H17+I17+J17</f>
        <v>152110.2401869</v>
      </c>
      <c r="L17" s="33" t="n">
        <f aca="false">L16+E17</f>
        <v>896594.538139775</v>
      </c>
      <c r="M17" s="33" t="n">
        <f aca="false">M16+F17</f>
        <v>857368.52709616</v>
      </c>
      <c r="N17" s="33" t="n">
        <f aca="false">N16+K17</f>
        <v>1727456.79523746</v>
      </c>
    </row>
    <row r="18" customFormat="false" ht="15" hidden="false" customHeight="false" outlineLevel="0" collapsed="false">
      <c r="A18" s="28" t="n">
        <v>12</v>
      </c>
      <c r="B18" s="7" t="s">
        <v>336</v>
      </c>
      <c r="C18" s="33" t="n">
        <f aca="false">IF(A18&lt;=Annahmen!$B$59,('Kosten und Finanzierung'!B16-'Kosten und Finanzierung'!B8)/Annahmen!$B$59,0)</f>
        <v>287971.701666667</v>
      </c>
      <c r="D18" s="33" t="n">
        <f aca="false">IF(A18&lt;=Annahmen!$B$59,('Kosten und Finanzierung'!B16-'Kosten und Finanzierung'!B8)*(Annahmen!$B$59-(A18-1))/Annahmen!$B$59,0)</f>
        <v>1151886.80666667</v>
      </c>
      <c r="E18" s="33" t="n">
        <f aca="false">C18*$E$3</f>
        <v>75851.3654650564</v>
      </c>
      <c r="F18" s="33" t="n">
        <f aca="false">C18*$I$3</f>
        <v>72532.8682259601</v>
      </c>
      <c r="G18" s="33" t="n">
        <f aca="false">L17*Annahmen!$B$55/12</f>
        <v>1867.9052877912</v>
      </c>
      <c r="H18" s="33" t="n">
        <f aca="false">M17*Annahmen!$B$56/12</f>
        <v>2143.4213177404</v>
      </c>
      <c r="I18" s="33" t="n">
        <f aca="false">N17*Annahmen!$B$57/12</f>
        <v>5758.18931745821</v>
      </c>
      <c r="J18" s="33" t="n">
        <f aca="false">IF(AND(A18&gt;=Annahmen!$B$62,A18&lt;=Annahmen!$B$59),D18*Annahmen!$B$61/12,0)</f>
        <v>2879.71701666667</v>
      </c>
      <c r="K18" s="33" t="n">
        <f aca="false">C18*$L$3+G18+H18+I18+J18</f>
        <v>152236.700915307</v>
      </c>
      <c r="L18" s="33" t="n">
        <f aca="false">L17+E18</f>
        <v>972445.903604831</v>
      </c>
      <c r="M18" s="33" t="n">
        <f aca="false">M17+F18</f>
        <v>929901.39532212</v>
      </c>
      <c r="N18" s="33" t="n">
        <f aca="false">N17+K18</f>
        <v>1879693.49615277</v>
      </c>
    </row>
    <row r="19" customFormat="false" ht="15" hidden="false" customHeight="false" outlineLevel="0" collapsed="false">
      <c r="A19" s="28" t="n">
        <v>13</v>
      </c>
      <c r="B19" s="7" t="s">
        <v>336</v>
      </c>
      <c r="C19" s="33" t="n">
        <f aca="false">IF(A19&lt;=Annahmen!$B$59,('Kosten und Finanzierung'!B16-'Kosten und Finanzierung'!B8)/Annahmen!$B$59,0)</f>
        <v>287971.701666667</v>
      </c>
      <c r="D19" s="33" t="n">
        <f aca="false">IF(A19&lt;=Annahmen!$B$59,('Kosten und Finanzierung'!B16-'Kosten und Finanzierung'!B8)*(Annahmen!$B$59-(A19-1))/Annahmen!$B$59,0)</f>
        <v>863915.105</v>
      </c>
      <c r="E19" s="33" t="n">
        <f aca="false">C19*$E$3</f>
        <v>75851.3654650564</v>
      </c>
      <c r="F19" s="33" t="n">
        <f aca="false">C19*$I$3</f>
        <v>72532.8682259601</v>
      </c>
      <c r="G19" s="33" t="n">
        <f aca="false">L18*Annahmen!$B$55/12</f>
        <v>2025.9289658434</v>
      </c>
      <c r="H19" s="33" t="n">
        <f aca="false">M18*Annahmen!$B$56/12</f>
        <v>2324.7534883053</v>
      </c>
      <c r="I19" s="33" t="n">
        <f aca="false">N18*Annahmen!$B$57/12</f>
        <v>6265.6449871759</v>
      </c>
      <c r="J19" s="33" t="n">
        <f aca="false">IF(AND(A19&gt;=Annahmen!$B$62,A19&lt;=Annahmen!$B$59),D19*Annahmen!$B$61/12,0)</f>
        <v>2159.7877625</v>
      </c>
      <c r="K19" s="33" t="n">
        <f aca="false">C19*$L$3+G19+H19+I19+J19</f>
        <v>152363.583179475</v>
      </c>
      <c r="L19" s="33" t="n">
        <f aca="false">L18+E19</f>
        <v>1048297.26906989</v>
      </c>
      <c r="M19" s="33" t="n">
        <f aca="false">M18+F19</f>
        <v>1002434.26354808</v>
      </c>
      <c r="N19" s="33" t="n">
        <f aca="false">N18+K19</f>
        <v>2032057.07933224</v>
      </c>
    </row>
    <row r="20" customFormat="false" ht="15" hidden="false" customHeight="false" outlineLevel="0" collapsed="false">
      <c r="A20" s="28" t="n">
        <v>14</v>
      </c>
      <c r="B20" s="7" t="s">
        <v>336</v>
      </c>
      <c r="C20" s="33" t="n">
        <f aca="false">IF(A20&lt;=Annahmen!$B$59,('Kosten und Finanzierung'!B16-'Kosten und Finanzierung'!B8)/Annahmen!$B$59,0)</f>
        <v>287971.701666667</v>
      </c>
      <c r="D20" s="33" t="n">
        <f aca="false">IF(A20&lt;=Annahmen!$B$59,('Kosten und Finanzierung'!B16-'Kosten und Finanzierung'!B8)*(Annahmen!$B$59-(A20-1))/Annahmen!$B$59,0)</f>
        <v>575943.403333333</v>
      </c>
      <c r="E20" s="33" t="n">
        <f aca="false">C20*$E$3</f>
        <v>75851.3654650564</v>
      </c>
      <c r="F20" s="33" t="n">
        <f aca="false">C20*$I$3</f>
        <v>72532.8682259601</v>
      </c>
      <c r="G20" s="33" t="n">
        <f aca="false">L19*Annahmen!$B$55/12</f>
        <v>2183.9526438956</v>
      </c>
      <c r="H20" s="33" t="n">
        <f aca="false">M19*Annahmen!$B$56/12</f>
        <v>2506.0856588702</v>
      </c>
      <c r="I20" s="33" t="n">
        <f aca="false">N19*Annahmen!$B$57/12</f>
        <v>6773.52359777415</v>
      </c>
      <c r="J20" s="33" t="n">
        <f aca="false">IF(AND(A20&gt;=Annahmen!$B$62,A20&lt;=Annahmen!$B$59),D20*Annahmen!$B$61/12,0)</f>
        <v>1439.85850833333</v>
      </c>
      <c r="K20" s="33" t="n">
        <f aca="false">C20*$L$3+G20+H20+I20+J20</f>
        <v>152490.888384524</v>
      </c>
      <c r="L20" s="33" t="n">
        <f aca="false">L19+E20</f>
        <v>1124148.63453494</v>
      </c>
      <c r="M20" s="33" t="n">
        <f aca="false">M19+F20</f>
        <v>1074967.13177404</v>
      </c>
      <c r="N20" s="33" t="n">
        <f aca="false">N19+K20</f>
        <v>2184547.96771677</v>
      </c>
    </row>
    <row r="21" customFormat="false" ht="15" hidden="false" customHeight="false" outlineLevel="0" collapsed="false">
      <c r="A21" s="28" t="n">
        <v>15</v>
      </c>
      <c r="B21" s="7" t="s">
        <v>336</v>
      </c>
      <c r="C21" s="33" t="n">
        <f aca="false">IF(A21&lt;=Annahmen!$B$59,('Kosten und Finanzierung'!B16-'Kosten und Finanzierung'!B8)/Annahmen!$B$59,0)</f>
        <v>287971.701666667</v>
      </c>
      <c r="D21" s="33" t="n">
        <f aca="false">IF(A21&lt;=Annahmen!$B$59,('Kosten und Finanzierung'!B16-'Kosten und Finanzierung'!B8)*(Annahmen!$B$59-(A21-1))/Annahmen!$B$59,0)</f>
        <v>287971.701666667</v>
      </c>
      <c r="E21" s="33" t="n">
        <f aca="false">C21*$E$3</f>
        <v>75851.3654650564</v>
      </c>
      <c r="F21" s="33" t="n">
        <f aca="false">C21*$I$3</f>
        <v>72532.8682259601</v>
      </c>
      <c r="G21" s="33" t="n">
        <f aca="false">L20*Annahmen!$B$55/12</f>
        <v>2341.9763219478</v>
      </c>
      <c r="H21" s="33" t="n">
        <f aca="false">M20*Annahmen!$B$56/12</f>
        <v>2687.4178294351</v>
      </c>
      <c r="I21" s="33" t="n">
        <f aca="false">N20*Annahmen!$B$57/12</f>
        <v>7281.82655905589</v>
      </c>
      <c r="J21" s="33" t="n">
        <f aca="false">IF(AND(A21&gt;=Annahmen!$B$62,A21&lt;=Annahmen!$B$59),D21*Annahmen!$B$61/12,0)</f>
        <v>719.929254166667</v>
      </c>
      <c r="K21" s="33" t="n">
        <f aca="false">C21*$L$3+G21+H21+I21+J21</f>
        <v>152618.617940256</v>
      </c>
      <c r="L21" s="33" t="n">
        <f aca="false">L20+E21</f>
        <v>1200000</v>
      </c>
      <c r="M21" s="33" t="n">
        <f aca="false">M20+F21</f>
        <v>1147500</v>
      </c>
      <c r="N21" s="33" t="n">
        <f aca="false">N20+K21</f>
        <v>2337166.58565702</v>
      </c>
    </row>
    <row r="22" customFormat="false" ht="15" hidden="false" customHeight="false" outlineLevel="0" collapsed="false">
      <c r="A22" s="28" t="n">
        <v>16</v>
      </c>
      <c r="B22" s="7" t="s">
        <v>337</v>
      </c>
      <c r="C22" s="33" t="n">
        <f aca="false">IF(A22&lt;=Annahmen!$B$59,('Kosten und Finanzierung'!B16-'Kosten und Finanzierung'!B8)/Annahmen!$B$59,0)</f>
        <v>0</v>
      </c>
      <c r="D22" s="33" t="n">
        <f aca="false">IF(A22&lt;=Annahmen!$B$59,('Kosten und Finanzierung'!B16-'Kosten und Finanzierung'!B8)*(Annahmen!$B$59-(A22-1))/Annahmen!$B$59,0)</f>
        <v>0</v>
      </c>
      <c r="E22" s="33" t="n">
        <f aca="false">C22*$E$3</f>
        <v>0</v>
      </c>
      <c r="F22" s="33" t="n">
        <f aca="false">C22*$I$3</f>
        <v>0</v>
      </c>
      <c r="G22" s="33" t="n">
        <f aca="false">L21*Annahmen!$B$55/12</f>
        <v>2500</v>
      </c>
      <c r="H22" s="33" t="n">
        <f aca="false">M21*Annahmen!$B$56/12</f>
        <v>2868.75</v>
      </c>
      <c r="I22" s="33" t="n">
        <f aca="false">N21*Annahmen!$B$57/12</f>
        <v>7790.55528552341</v>
      </c>
      <c r="J22" s="33" t="n">
        <f aca="false">IF(AND(A22&gt;=Annahmen!$B$62,A22&lt;=Annahmen!$B$59),D22*Annahmen!$B$61/12,0)</f>
        <v>0</v>
      </c>
      <c r="K22" s="33" t="n">
        <f aca="false">C22*$L$3+G22+H22+I22+J22</f>
        <v>13159.3052855234</v>
      </c>
      <c r="L22" s="33" t="n">
        <f aca="false">L21+E22</f>
        <v>1200000</v>
      </c>
      <c r="M22" s="33" t="n">
        <f aca="false">M21+F22</f>
        <v>1147500</v>
      </c>
      <c r="N22" s="33" t="n">
        <f aca="false">N21+K22</f>
        <v>2350325.89094255</v>
      </c>
    </row>
    <row r="23" customFormat="false" ht="15" hidden="false" customHeight="false" outlineLevel="0" collapsed="false">
      <c r="A23" s="28" t="n">
        <v>17</v>
      </c>
      <c r="B23" s="7" t="s">
        <v>337</v>
      </c>
      <c r="C23" s="33" t="n">
        <f aca="false">IF(A23&lt;=Annahmen!$B$59,('Kosten und Finanzierung'!B16-'Kosten und Finanzierung'!B8)/Annahmen!$B$59,0)</f>
        <v>0</v>
      </c>
      <c r="D23" s="33" t="n">
        <f aca="false">IF(A23&lt;=Annahmen!$B$59,('Kosten und Finanzierung'!B16-'Kosten und Finanzierung'!B8)*(Annahmen!$B$59-(A23-1))/Annahmen!$B$59,0)</f>
        <v>0</v>
      </c>
      <c r="E23" s="33" t="n">
        <f aca="false">C23*$E$3</f>
        <v>0</v>
      </c>
      <c r="F23" s="33" t="n">
        <f aca="false">C23*$I$3</f>
        <v>0</v>
      </c>
      <c r="G23" s="33" t="n">
        <f aca="false">L22*Annahmen!$B$55/12</f>
        <v>2500</v>
      </c>
      <c r="H23" s="33" t="n">
        <f aca="false">M22*Annahmen!$B$56/12</f>
        <v>2868.75</v>
      </c>
      <c r="I23" s="33" t="n">
        <f aca="false">N22*Annahmen!$B$57/12</f>
        <v>7834.41963647516</v>
      </c>
      <c r="J23" s="33" t="n">
        <f aca="false">IF(AND(A23&gt;=Annahmen!$B$62,A23&lt;=Annahmen!$B$59),D23*Annahmen!$B$61/12,0)</f>
        <v>0</v>
      </c>
      <c r="K23" s="33" t="n">
        <f aca="false">C23*$L$3+G23+H23+I23+J23</f>
        <v>13203.1696364752</v>
      </c>
      <c r="L23" s="33" t="n">
        <f aca="false">L22+E23</f>
        <v>1200000</v>
      </c>
      <c r="M23" s="33" t="n">
        <f aca="false">M22+F23</f>
        <v>1147500</v>
      </c>
      <c r="N23" s="33" t="n">
        <f aca="false">N22+K23</f>
        <v>2363529.06057902</v>
      </c>
    </row>
    <row r="24" customFormat="false" ht="15" hidden="false" customHeight="false" outlineLevel="0" collapsed="false">
      <c r="A24" s="28" t="n">
        <v>18</v>
      </c>
      <c r="B24" s="7" t="s">
        <v>337</v>
      </c>
      <c r="C24" s="33" t="n">
        <f aca="false">IF(A24&lt;=Annahmen!$B$59,('Kosten und Finanzierung'!B16-'Kosten und Finanzierung'!B8)/Annahmen!$B$59,0)</f>
        <v>0</v>
      </c>
      <c r="D24" s="33" t="n">
        <f aca="false">IF(A24&lt;=Annahmen!$B$59,('Kosten und Finanzierung'!B16-'Kosten und Finanzierung'!B8)*(Annahmen!$B$59-(A24-1))/Annahmen!$B$59,0)</f>
        <v>0</v>
      </c>
      <c r="E24" s="33" t="n">
        <f aca="false">C24*$E$3</f>
        <v>0</v>
      </c>
      <c r="F24" s="33" t="n">
        <f aca="false">C24*$I$3</f>
        <v>0</v>
      </c>
      <c r="G24" s="33" t="n">
        <f aca="false">L23*Annahmen!$B$55/12</f>
        <v>2500</v>
      </c>
      <c r="H24" s="33" t="n">
        <f aca="false">M23*Annahmen!$B$56/12</f>
        <v>2868.75</v>
      </c>
      <c r="I24" s="33" t="n">
        <f aca="false">N23*Annahmen!$B$57/12</f>
        <v>7878.43020193007</v>
      </c>
      <c r="J24" s="33" t="n">
        <f aca="false">IF(AND(A24&gt;=Annahmen!$B$62,A24&lt;=Annahmen!$B$59),D24*Annahmen!$B$61/12,0)</f>
        <v>0</v>
      </c>
      <c r="K24" s="33" t="n">
        <f aca="false">C24*$L$3+G24+H24+I24+J24</f>
        <v>13247.1802019301</v>
      </c>
      <c r="L24" s="33" t="n">
        <f aca="false">L23+E24</f>
        <v>1200000</v>
      </c>
      <c r="M24" s="33" t="n">
        <f aca="false">M23+F24</f>
        <v>1147500</v>
      </c>
      <c r="N24" s="33" t="n">
        <f aca="false">N23+K24</f>
        <v>2376776.24078095</v>
      </c>
    </row>
    <row r="25" customFormat="false" ht="15" hidden="false" customHeight="false" outlineLevel="0" collapsed="false">
      <c r="A25" s="28" t="n">
        <v>19</v>
      </c>
      <c r="B25" s="7" t="s">
        <v>337</v>
      </c>
      <c r="C25" s="33" t="n">
        <f aca="false">IF(A25&lt;=Annahmen!$B$59,('Kosten und Finanzierung'!B16-'Kosten und Finanzierung'!B8)/Annahmen!$B$59,0)</f>
        <v>0</v>
      </c>
      <c r="D25" s="33" t="n">
        <f aca="false">IF(A25&lt;=Annahmen!$B$59,('Kosten und Finanzierung'!B16-'Kosten und Finanzierung'!B8)*(Annahmen!$B$59-(A25-1))/Annahmen!$B$59,0)</f>
        <v>0</v>
      </c>
      <c r="E25" s="33" t="n">
        <f aca="false">C25*$E$3</f>
        <v>0</v>
      </c>
      <c r="F25" s="33" t="n">
        <f aca="false">C25*$I$3</f>
        <v>0</v>
      </c>
      <c r="G25" s="33" t="n">
        <f aca="false">L24*Annahmen!$B$55/12</f>
        <v>2500</v>
      </c>
      <c r="H25" s="33" t="n">
        <f aca="false">M24*Annahmen!$B$56/12</f>
        <v>2868.75</v>
      </c>
      <c r="I25" s="33" t="n">
        <f aca="false">N24*Annahmen!$B$57/12</f>
        <v>7922.58746926984</v>
      </c>
      <c r="J25" s="33" t="n">
        <f aca="false">IF(AND(A25&gt;=Annahmen!$B$62,A25&lt;=Annahmen!$B$59),D25*Annahmen!$B$61/12,0)</f>
        <v>0</v>
      </c>
      <c r="K25" s="33" t="n">
        <f aca="false">C25*$L$3+G25+H25+I25+J25</f>
        <v>13291.3374692698</v>
      </c>
      <c r="L25" s="33" t="n">
        <f aca="false">L24+E25</f>
        <v>1200000</v>
      </c>
      <c r="M25" s="33" t="n">
        <f aca="false">M24+F25</f>
        <v>1147500</v>
      </c>
      <c r="N25" s="33" t="n">
        <f aca="false">N24+K25</f>
        <v>2390067.57825022</v>
      </c>
    </row>
    <row r="26" customFormat="false" ht="15" hidden="false" customHeight="false" outlineLevel="0" collapsed="false">
      <c r="A26" s="28" t="n">
        <v>20</v>
      </c>
      <c r="B26" s="7" t="s">
        <v>337</v>
      </c>
      <c r="C26" s="33" t="n">
        <f aca="false">IF(A26&lt;=Annahmen!$B$59,('Kosten und Finanzierung'!B16-'Kosten und Finanzierung'!B8)/Annahmen!$B$59,0)</f>
        <v>0</v>
      </c>
      <c r="D26" s="33" t="n">
        <f aca="false">IF(A26&lt;=Annahmen!$B$59,('Kosten und Finanzierung'!B16-'Kosten und Finanzierung'!B8)*(Annahmen!$B$59-(A26-1))/Annahmen!$B$59,0)</f>
        <v>0</v>
      </c>
      <c r="E26" s="33" t="n">
        <f aca="false">C26*$E$3</f>
        <v>0</v>
      </c>
      <c r="F26" s="33" t="n">
        <f aca="false">C26*$I$3</f>
        <v>0</v>
      </c>
      <c r="G26" s="33" t="n">
        <f aca="false">L25*Annahmen!$B$55/12</f>
        <v>2500</v>
      </c>
      <c r="H26" s="33" t="n">
        <f aca="false">M25*Annahmen!$B$56/12</f>
        <v>2868.75</v>
      </c>
      <c r="I26" s="33" t="n">
        <f aca="false">N25*Annahmen!$B$57/12</f>
        <v>7966.89192750074</v>
      </c>
      <c r="J26" s="33" t="n">
        <f aca="false">IF(AND(A26&gt;=Annahmen!$B$62,A26&lt;=Annahmen!$B$59),D26*Annahmen!$B$61/12,0)</f>
        <v>0</v>
      </c>
      <c r="K26" s="33" t="n">
        <f aca="false">C26*$L$3+G26+H26+I26+J26</f>
        <v>13335.6419275007</v>
      </c>
      <c r="L26" s="33" t="n">
        <f aca="false">L25+E26</f>
        <v>1200000</v>
      </c>
      <c r="M26" s="33" t="n">
        <f aca="false">M25+F26</f>
        <v>1147500</v>
      </c>
      <c r="N26" s="33" t="n">
        <f aca="false">N25+K26</f>
        <v>2403403.22017772</v>
      </c>
    </row>
    <row r="27" customFormat="false" ht="15" hidden="false" customHeight="false" outlineLevel="0" collapsed="false">
      <c r="A27" s="28" t="n">
        <v>21</v>
      </c>
      <c r="B27" s="7" t="s">
        <v>337</v>
      </c>
      <c r="C27" s="33" t="n">
        <f aca="false">IF(A27&lt;=Annahmen!$B$59,('Kosten und Finanzierung'!B16-'Kosten und Finanzierung'!B8)/Annahmen!$B$59,0)</f>
        <v>0</v>
      </c>
      <c r="D27" s="33" t="n">
        <f aca="false">IF(A27&lt;=Annahmen!$B$59,('Kosten und Finanzierung'!B16-'Kosten und Finanzierung'!B8)*(Annahmen!$B$59-(A27-1))/Annahmen!$B$59,0)</f>
        <v>0</v>
      </c>
      <c r="E27" s="33" t="n">
        <f aca="false">C27*$E$3</f>
        <v>0</v>
      </c>
      <c r="F27" s="33" t="n">
        <f aca="false">C27*$I$3</f>
        <v>0</v>
      </c>
      <c r="G27" s="33" t="n">
        <f aca="false">L26*Annahmen!$B$55/12</f>
        <v>2500</v>
      </c>
      <c r="H27" s="33" t="n">
        <f aca="false">M26*Annahmen!$B$56/12</f>
        <v>2868.75</v>
      </c>
      <c r="I27" s="33" t="n">
        <f aca="false">N26*Annahmen!$B$57/12</f>
        <v>8011.34406725908</v>
      </c>
      <c r="J27" s="33" t="n">
        <f aca="false">IF(AND(A27&gt;=Annahmen!$B$62,A27&lt;=Annahmen!$B$59),D27*Annahmen!$B$61/12,0)</f>
        <v>0</v>
      </c>
      <c r="K27" s="33" t="n">
        <f aca="false">C27*$L$3+G27+H27+I27+J27</f>
        <v>13380.0940672591</v>
      </c>
      <c r="L27" s="33" t="n">
        <f aca="false">L26+E27</f>
        <v>1200000</v>
      </c>
      <c r="M27" s="33" t="n">
        <f aca="false">M26+F27</f>
        <v>1147500</v>
      </c>
      <c r="N27" s="33" t="n">
        <f aca="false">N26+K27</f>
        <v>2416783.31424498</v>
      </c>
    </row>
    <row r="28" customFormat="false" ht="15" hidden="false" customHeight="false" outlineLevel="0" collapsed="false">
      <c r="A28" s="28" t="n">
        <v>22</v>
      </c>
      <c r="B28" s="7" t="s">
        <v>337</v>
      </c>
      <c r="C28" s="33" t="n">
        <f aca="false">IF(A28&lt;=Annahmen!$B$59,('Kosten und Finanzierung'!B16-'Kosten und Finanzierung'!B8)/Annahmen!$B$59,0)</f>
        <v>0</v>
      </c>
      <c r="D28" s="33" t="n">
        <f aca="false">IF(A28&lt;=Annahmen!$B$59,('Kosten und Finanzierung'!B16-'Kosten und Finanzierung'!B8)*(Annahmen!$B$59-(A28-1))/Annahmen!$B$59,0)</f>
        <v>0</v>
      </c>
      <c r="E28" s="33" t="n">
        <f aca="false">C28*$E$3</f>
        <v>0</v>
      </c>
      <c r="F28" s="33" t="n">
        <f aca="false">C28*$I$3</f>
        <v>0</v>
      </c>
      <c r="G28" s="33" t="n">
        <f aca="false">L27*Annahmen!$B$55/12</f>
        <v>2500</v>
      </c>
      <c r="H28" s="33" t="n">
        <f aca="false">M27*Annahmen!$B$56/12</f>
        <v>2868.75</v>
      </c>
      <c r="I28" s="33" t="n">
        <f aca="false">N27*Annahmen!$B$57/12</f>
        <v>8055.94438081661</v>
      </c>
      <c r="J28" s="33" t="n">
        <f aca="false">IF(AND(A28&gt;=Annahmen!$B$62,A28&lt;=Annahmen!$B$59),D28*Annahmen!$B$61/12,0)</f>
        <v>0</v>
      </c>
      <c r="K28" s="33" t="n">
        <f aca="false">C28*$L$3+G28+H28+I28+J28</f>
        <v>13424.6943808166</v>
      </c>
      <c r="L28" s="33" t="n">
        <f aca="false">L27+E28</f>
        <v>1200000</v>
      </c>
      <c r="M28" s="33" t="n">
        <f aca="false">M27+F28</f>
        <v>1147500</v>
      </c>
      <c r="N28" s="33" t="n">
        <f aca="false">N27+K28</f>
        <v>2430208.0086258</v>
      </c>
    </row>
    <row r="29" customFormat="false" ht="15" hidden="false" customHeight="false" outlineLevel="0" collapsed="false">
      <c r="A29" s="28" t="n">
        <v>23</v>
      </c>
      <c r="B29" s="7" t="s">
        <v>337</v>
      </c>
      <c r="C29" s="33" t="n">
        <f aca="false">IF(A29&lt;=Annahmen!$B$59,('Kosten und Finanzierung'!B16-'Kosten und Finanzierung'!B8)/Annahmen!$B$59,0)</f>
        <v>0</v>
      </c>
      <c r="D29" s="33" t="n">
        <f aca="false">IF(A29&lt;=Annahmen!$B$59,('Kosten und Finanzierung'!B16-'Kosten und Finanzierung'!B8)*(Annahmen!$B$59-(A29-1))/Annahmen!$B$59,0)</f>
        <v>0</v>
      </c>
      <c r="E29" s="33" t="n">
        <f aca="false">C29*$E$3</f>
        <v>0</v>
      </c>
      <c r="F29" s="33" t="n">
        <f aca="false">C29*$I$3</f>
        <v>0</v>
      </c>
      <c r="G29" s="33" t="n">
        <f aca="false">L28*Annahmen!$B$55/12</f>
        <v>2500</v>
      </c>
      <c r="H29" s="33" t="n">
        <f aca="false">M28*Annahmen!$B$56/12</f>
        <v>2868.75</v>
      </c>
      <c r="I29" s="33" t="n">
        <f aca="false">N28*Annahmen!$B$57/12</f>
        <v>8100.693362086</v>
      </c>
      <c r="J29" s="33" t="n">
        <f aca="false">IF(AND(A29&gt;=Annahmen!$B$62,A29&lt;=Annahmen!$B$59),D29*Annahmen!$B$61/12,0)</f>
        <v>0</v>
      </c>
      <c r="K29" s="33" t="n">
        <f aca="false">C29*$L$3+G29+H29+I29+J29</f>
        <v>13469.443362086</v>
      </c>
      <c r="L29" s="33" t="n">
        <f aca="false">L28+E29</f>
        <v>1200000</v>
      </c>
      <c r="M29" s="33" t="n">
        <f aca="false">M28+F29</f>
        <v>1147500</v>
      </c>
      <c r="N29" s="33" t="n">
        <f aca="false">N28+K29</f>
        <v>2443677.45198788</v>
      </c>
    </row>
    <row r="30" customFormat="false" ht="15" hidden="false" customHeight="false" outlineLevel="0" collapsed="false">
      <c r="A30" s="28" t="n">
        <v>24</v>
      </c>
      <c r="B30" s="7" t="s">
        <v>337</v>
      </c>
      <c r="C30" s="33" t="n">
        <f aca="false">IF(A30&lt;=Annahmen!$B$59,('Kosten und Finanzierung'!B16-'Kosten und Finanzierung'!B8)/Annahmen!$B$59,0)</f>
        <v>0</v>
      </c>
      <c r="D30" s="33" t="n">
        <f aca="false">IF(A30&lt;=Annahmen!$B$59,('Kosten und Finanzierung'!B16-'Kosten und Finanzierung'!B8)*(Annahmen!$B$59-(A30-1))/Annahmen!$B$59,0)</f>
        <v>0</v>
      </c>
      <c r="E30" s="33" t="n">
        <f aca="false">C30*$E$3</f>
        <v>0</v>
      </c>
      <c r="F30" s="33" t="n">
        <f aca="false">C30*$I$3</f>
        <v>0</v>
      </c>
      <c r="G30" s="33" t="n">
        <f aca="false">L29*Annahmen!$B$55/12</f>
        <v>2500</v>
      </c>
      <c r="H30" s="33" t="n">
        <f aca="false">M29*Annahmen!$B$56/12</f>
        <v>2868.75</v>
      </c>
      <c r="I30" s="33" t="n">
        <f aca="false">N29*Annahmen!$B$57/12</f>
        <v>8145.59150662628</v>
      </c>
      <c r="J30" s="33" t="n">
        <f aca="false">IF(AND(A30&gt;=Annahmen!$B$62,A30&lt;=Annahmen!$B$59),D30*Annahmen!$B$61/12,0)</f>
        <v>0</v>
      </c>
      <c r="K30" s="33" t="n">
        <f aca="false">C30*$L$3+G30+H30+I30+J30</f>
        <v>13514.3415066263</v>
      </c>
      <c r="L30" s="33" t="n">
        <f aca="false">L29+E30</f>
        <v>1200000</v>
      </c>
      <c r="M30" s="33" t="n">
        <f aca="false">M29+F30</f>
        <v>1147500</v>
      </c>
      <c r="N30" s="33" t="n">
        <f aca="false">N29+K30</f>
        <v>2457191.79349451</v>
      </c>
    </row>
    <row r="31" customFormat="false" ht="15" hidden="false" customHeight="false" outlineLevel="0" collapsed="false">
      <c r="A31" s="28" t="n">
        <v>25</v>
      </c>
      <c r="B31" s="7" t="s">
        <v>337</v>
      </c>
      <c r="C31" s="33" t="n">
        <f aca="false">IF(A31&lt;=Annahmen!$B$59,('Kosten und Finanzierung'!B16-'Kosten und Finanzierung'!B8)/Annahmen!$B$59,0)</f>
        <v>0</v>
      </c>
      <c r="D31" s="33" t="n">
        <f aca="false">IF(A31&lt;=Annahmen!$B$59,('Kosten und Finanzierung'!B16-'Kosten und Finanzierung'!B8)*(Annahmen!$B$59-(A31-1))/Annahmen!$B$59,0)</f>
        <v>0</v>
      </c>
      <c r="E31" s="33" t="n">
        <f aca="false">C31*$E$3</f>
        <v>0</v>
      </c>
      <c r="F31" s="33" t="n">
        <f aca="false">C31*$I$3</f>
        <v>0</v>
      </c>
      <c r="G31" s="33" t="n">
        <f aca="false">L30*Annahmen!$B$55/12</f>
        <v>2500</v>
      </c>
      <c r="H31" s="33" t="n">
        <f aca="false">M30*Annahmen!$B$56/12</f>
        <v>2868.75</v>
      </c>
      <c r="I31" s="33" t="n">
        <f aca="false">N30*Annahmen!$B$57/12</f>
        <v>8190.63931164837</v>
      </c>
      <c r="J31" s="33" t="n">
        <f aca="false">IF(AND(A31&gt;=Annahmen!$B$62,A31&lt;=Annahmen!$B$59),D31*Annahmen!$B$61/12,0)</f>
        <v>0</v>
      </c>
      <c r="K31" s="33" t="n">
        <f aca="false">C31*$L$3+G31+H31+I31+J31</f>
        <v>13559.3893116484</v>
      </c>
      <c r="L31" s="33" t="n">
        <f aca="false">L30+E31</f>
        <v>1200000</v>
      </c>
      <c r="M31" s="33" t="n">
        <f aca="false">M30+F31</f>
        <v>1147500</v>
      </c>
      <c r="N31" s="33" t="n">
        <f aca="false">N30+K31</f>
        <v>2470751.18280616</v>
      </c>
    </row>
    <row r="32" customFormat="false" ht="15" hidden="false" customHeight="false" outlineLevel="0" collapsed="false">
      <c r="A32" s="28" t="n">
        <v>26</v>
      </c>
      <c r="B32" s="7" t="s">
        <v>337</v>
      </c>
      <c r="C32" s="33" t="n">
        <f aca="false">IF(A32&lt;=Annahmen!$B$59,('Kosten und Finanzierung'!B16-'Kosten und Finanzierung'!B8)/Annahmen!$B$59,0)</f>
        <v>0</v>
      </c>
      <c r="D32" s="33" t="n">
        <f aca="false">IF(A32&lt;=Annahmen!$B$59,('Kosten und Finanzierung'!B16-'Kosten und Finanzierung'!B8)*(Annahmen!$B$59-(A32-1))/Annahmen!$B$59,0)</f>
        <v>0</v>
      </c>
      <c r="E32" s="33" t="n">
        <f aca="false">C32*$E$3</f>
        <v>0</v>
      </c>
      <c r="F32" s="33" t="n">
        <f aca="false">C32*$I$3</f>
        <v>0</v>
      </c>
      <c r="G32" s="33" t="n">
        <f aca="false">L31*Annahmen!$B$55/12</f>
        <v>2500</v>
      </c>
      <c r="H32" s="33" t="n">
        <f aca="false">M31*Annahmen!$B$56/12</f>
        <v>2868.75</v>
      </c>
      <c r="I32" s="33" t="n">
        <f aca="false">N31*Annahmen!$B$57/12</f>
        <v>8235.83727602053</v>
      </c>
      <c r="J32" s="33" t="n">
        <f aca="false">IF(AND(A32&gt;=Annahmen!$B$62,A32&lt;=Annahmen!$B$59),D32*Annahmen!$B$61/12,0)</f>
        <v>0</v>
      </c>
      <c r="K32" s="33" t="n">
        <f aca="false">C32*$L$3+G32+H32+I32+J32</f>
        <v>13604.5872760205</v>
      </c>
      <c r="L32" s="33" t="n">
        <f aca="false">L31+E32</f>
        <v>1200000</v>
      </c>
      <c r="M32" s="33" t="n">
        <f aca="false">M31+F32</f>
        <v>1147500</v>
      </c>
      <c r="N32" s="33" t="n">
        <f aca="false">N31+K32</f>
        <v>2484355.77008218</v>
      </c>
    </row>
    <row r="33" customFormat="false" ht="15" hidden="false" customHeight="false" outlineLevel="0" collapsed="false">
      <c r="A33" s="28" t="n">
        <v>27</v>
      </c>
      <c r="B33" s="29" t="s">
        <v>338</v>
      </c>
      <c r="C33" s="33" t="n">
        <f aca="false">IF(A33&lt;=Annahmen!$B$59,('Kosten und Finanzierung'!B16-'Kosten und Finanzierung'!B8)/Annahmen!$B$59,0)</f>
        <v>0</v>
      </c>
      <c r="D33" s="33" t="n">
        <f aca="false">IF(A33&lt;=Annahmen!$B$59,('Kosten und Finanzierung'!B16-'Kosten und Finanzierung'!B8)*(Annahmen!$B$59-(A33-1))/Annahmen!$B$59,0)</f>
        <v>0</v>
      </c>
      <c r="E33" s="33" t="n">
        <f aca="false">C33*$E$3</f>
        <v>0</v>
      </c>
      <c r="F33" s="33" t="n">
        <f aca="false">C33*$I$3</f>
        <v>0</v>
      </c>
      <c r="G33" s="33" t="n">
        <f aca="false">L32*Annahmen!$B$55/12</f>
        <v>2500</v>
      </c>
      <c r="H33" s="33" t="n">
        <f aca="false">M32*Annahmen!$B$56/12</f>
        <v>2868.75</v>
      </c>
      <c r="I33" s="33" t="n">
        <f aca="false">N32*Annahmen!$B$57/12</f>
        <v>8281.18590027393</v>
      </c>
      <c r="J33" s="33" t="n">
        <f aca="false">IF(AND(A33&gt;=Annahmen!$B$62,A33&lt;=Annahmen!$B$59),D33*Annahmen!$B$61/12,0)</f>
        <v>0</v>
      </c>
      <c r="K33" s="33" t="n">
        <f aca="false">C33*$L$3+G33+H33+I33+J33</f>
        <v>13649.9359002739</v>
      </c>
      <c r="L33" s="33" t="n">
        <f aca="false">L32+E33</f>
        <v>1200000</v>
      </c>
      <c r="M33" s="33" t="n">
        <f aca="false">M32+F33</f>
        <v>1147500</v>
      </c>
      <c r="N33" s="33" t="n">
        <f aca="false">N32+K33</f>
        <v>2498005.70598245</v>
      </c>
    </row>
    <row r="34" customFormat="false" ht="15" hidden="false" customHeight="false" outlineLevel="0" collapsed="false">
      <c r="A34" s="29" t="s">
        <v>204</v>
      </c>
      <c r="B34" s="29" t="s">
        <v>339</v>
      </c>
      <c r="C34" s="35" t="n">
        <f aca="false">SUM(C6:C33)</f>
        <v>4555831.525</v>
      </c>
      <c r="E34" s="35" t="n">
        <f aca="false">SUM(E6:E33)</f>
        <v>1200000</v>
      </c>
      <c r="F34" s="35" t="n">
        <f aca="false">SUM(F6:F33)</f>
        <v>1147500</v>
      </c>
      <c r="G34" s="35" t="n">
        <f aca="false">SUM(G6:G33)</f>
        <v>48537.1586337359</v>
      </c>
      <c r="H34" s="35" t="n">
        <f aca="false">SUM(H6:H33)</f>
        <v>55696.389532212</v>
      </c>
      <c r="I34" s="35" t="n">
        <f aca="false">SUM(I6:I33)</f>
        <v>153043.816379004</v>
      </c>
      <c r="J34" s="35" t="n">
        <f aca="false">SUM(J6:J33)</f>
        <v>32396.8164375</v>
      </c>
      <c r="K34" s="35" t="n">
        <f aca="false">SUM(K6:K33)</f>
        <v>2498005.70598245</v>
      </c>
    </row>
    <row r="36" customFormat="false" ht="15" hidden="false" customHeight="false" outlineLevel="0" collapsed="false">
      <c r="A36" s="43" t="s">
        <v>340</v>
      </c>
      <c r="G36" s="35" t="n">
        <f aca="false">SUM(G34:J34)</f>
        <v>289674.180982452</v>
      </c>
    </row>
    <row r="37" customFormat="false" ht="15" hidden="false" customHeight="false" outlineLevel="0" collapsed="false">
      <c r="A37" s="48" t="s">
        <v>341</v>
      </c>
      <c r="G37" s="33" t="n">
        <f aca="false">ROUND(L33+M33+N33-C34-G36,2)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A45"/>
    <pageSetUpPr fitToPage="tru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6"/>
    <col collapsed="false" customWidth="true" hidden="false" outlineLevel="0" max="6" min="5" style="0" width="18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342</v>
      </c>
    </row>
    <row r="2" customFormat="false" ht="15" hidden="false" customHeight="false" outlineLevel="0" collapsed="false">
      <c r="A2" s="2" t="s">
        <v>343</v>
      </c>
    </row>
    <row r="4" customFormat="false" ht="30" hidden="false" customHeight="true" outlineLevel="0" collapsed="false">
      <c r="A4" s="3" t="s">
        <v>344</v>
      </c>
      <c r="B4" s="4" t="s">
        <v>345</v>
      </c>
      <c r="C4" s="4" t="s">
        <v>346</v>
      </c>
      <c r="D4" s="4" t="s">
        <v>347</v>
      </c>
      <c r="E4" s="4" t="s">
        <v>348</v>
      </c>
      <c r="F4" s="4" t="s">
        <v>349</v>
      </c>
      <c r="G4" s="4" t="s">
        <v>350</v>
      </c>
    </row>
    <row r="5" customFormat="false" ht="15" hidden="false" customHeight="false" outlineLevel="0" collapsed="false">
      <c r="A5" s="28" t="n">
        <v>1</v>
      </c>
      <c r="B5" s="33" t="n">
        <f aca="false">SUMIFS(Tilgungsplan!$L$7:$L$426,Tilgungsplan!$B$7:$B$426,A5)</f>
        <v>163584.570756687</v>
      </c>
      <c r="C5" s="33" t="n">
        <f aca="false">SUMIFS(Tilgungsplan!$M$7:$M$426,Tilgungsplan!$B$7:$B$426,A5)</f>
        <v>49215.714542436</v>
      </c>
      <c r="D5" s="33" t="n">
        <f aca="false">B5+C5</f>
        <v>212800.285299123</v>
      </c>
      <c r="E5" s="33" t="n">
        <f aca="false">INDEX(Tilgungsplan!$O$7:$O$426,A5*12)</f>
        <v>4796289.99144002</v>
      </c>
      <c r="F5" s="33" t="n">
        <f aca="false">INDEX(Tilgungsplan!$E$7:$E$426,A5*12)+INDEX(Tilgungsplan!$H$7:$H$426,A5*12)</f>
        <v>2323727.43712861</v>
      </c>
      <c r="G5" s="7" t="s">
        <v>351</v>
      </c>
    </row>
    <row r="6" customFormat="false" ht="15" hidden="false" customHeight="false" outlineLevel="0" collapsed="false">
      <c r="A6" s="28" t="n">
        <v>2</v>
      </c>
      <c r="B6" s="33" t="n">
        <f aca="false">SUMIFS(Tilgungsplan!$L$7:$L$426,Tilgungsplan!$B$7:$B$426,A6)</f>
        <v>161887.152202326</v>
      </c>
      <c r="C6" s="33" t="n">
        <f aca="false">SUMIFS(Tilgungsplan!$M$7:$M$426,Tilgungsplan!$B$7:$B$426,A6)</f>
        <v>50913.1330967963</v>
      </c>
      <c r="D6" s="33" t="n">
        <f aca="false">B6+C6</f>
        <v>212800.285299123</v>
      </c>
      <c r="E6" s="33" t="n">
        <f aca="false">INDEX(Tilgungsplan!$O$7:$O$426,A6*12)</f>
        <v>4745376.85834322</v>
      </c>
      <c r="F6" s="33" t="n">
        <f aca="false">INDEX(Tilgungsplan!$E$7:$E$426,A6*12)+INDEX(Tilgungsplan!$H$7:$H$426,A6*12)</f>
        <v>2299294.04895867</v>
      </c>
      <c r="G6" s="7" t="s">
        <v>351</v>
      </c>
    </row>
    <row r="7" customFormat="false" ht="15" hidden="false" customHeight="false" outlineLevel="0" collapsed="false">
      <c r="A7" s="28" t="n">
        <v>3</v>
      </c>
      <c r="B7" s="33" t="n">
        <f aca="false">SUMIFS(Tilgungsplan!$L$7:$L$426,Tilgungsplan!$B$7:$B$426,A7)</f>
        <v>160128.975557821</v>
      </c>
      <c r="C7" s="33" t="n">
        <f aca="false">SUMIFS(Tilgungsplan!$M$7:$M$426,Tilgungsplan!$B$7:$B$426,A7)</f>
        <v>52671.3097413015</v>
      </c>
      <c r="D7" s="33" t="n">
        <f aca="false">B7+C7</f>
        <v>212800.285299123</v>
      </c>
      <c r="E7" s="33" t="n">
        <f aca="false">INDEX(Tilgungsplan!$O$7:$O$426,A7*12)</f>
        <v>4692705.54860192</v>
      </c>
      <c r="F7" s="33" t="n">
        <f aca="false">INDEX(Tilgungsplan!$E$7:$E$426,A7*12)+INDEX(Tilgungsplan!$H$7:$H$426,A7*12)</f>
        <v>2274181.30980867</v>
      </c>
      <c r="G7" s="7" t="s">
        <v>351</v>
      </c>
    </row>
    <row r="8" customFormat="false" ht="15" hidden="false" customHeight="false" outlineLevel="0" collapsed="false">
      <c r="A8" s="28" t="n">
        <v>4</v>
      </c>
      <c r="B8" s="33" t="n">
        <f aca="false">SUMIFS(Tilgungsplan!$L$7:$L$426,Tilgungsplan!$B$7:$B$426,A8)</f>
        <v>158307.796536176</v>
      </c>
      <c r="C8" s="33" t="n">
        <f aca="false">SUMIFS(Tilgungsplan!$M$7:$M$426,Tilgungsplan!$B$7:$B$426,A8)</f>
        <v>54492.4887629466</v>
      </c>
      <c r="D8" s="33" t="n">
        <f aca="false">B8+C8</f>
        <v>212800.285299123</v>
      </c>
      <c r="E8" s="33" t="n">
        <f aca="false">INDEX(Tilgungsplan!$O$7:$O$426,A8*12)</f>
        <v>4638213.05983898</v>
      </c>
      <c r="F8" s="33" t="n">
        <f aca="false">INDEX(Tilgungsplan!$E$7:$E$426,A8*12)+INDEX(Tilgungsplan!$H$7:$H$426,A8*12)</f>
        <v>2248370.17032359</v>
      </c>
      <c r="G8" s="7" t="s">
        <v>351</v>
      </c>
    </row>
    <row r="9" customFormat="false" ht="15" hidden="false" customHeight="false" outlineLevel="0" collapsed="false">
      <c r="A9" s="28" t="n">
        <v>5</v>
      </c>
      <c r="B9" s="33" t="n">
        <f aca="false">SUMIFS(Tilgungsplan!$L$7:$L$426,Tilgungsplan!$B$7:$B$426,A9)</f>
        <v>156421.285828469</v>
      </c>
      <c r="C9" s="33" t="n">
        <f aca="false">SUMIFS(Tilgungsplan!$M$7:$M$426,Tilgungsplan!$B$7:$B$426,A9)</f>
        <v>56378.9994706535</v>
      </c>
      <c r="D9" s="33" t="n">
        <f aca="false">B9+C9</f>
        <v>212800.285299123</v>
      </c>
      <c r="E9" s="33" t="n">
        <f aca="false">INDEX(Tilgungsplan!$O$7:$O$426,A9*12)</f>
        <v>4581834.06036832</v>
      </c>
      <c r="F9" s="33" t="n">
        <f aca="false">INDEX(Tilgungsplan!$E$7:$E$426,A9*12)+INDEX(Tilgungsplan!$H$7:$H$426,A9*12)</f>
        <v>2221841.04255339</v>
      </c>
      <c r="G9" s="7" t="s">
        <v>351</v>
      </c>
    </row>
    <row r="10" customFormat="false" ht="15" hidden="false" customHeight="false" outlineLevel="0" collapsed="false">
      <c r="A10" s="28" t="n">
        <v>6</v>
      </c>
      <c r="B10" s="33" t="n">
        <f aca="false">SUMIFS(Tilgungsplan!$L$7:$L$426,Tilgungsplan!$B$7:$B$426,A10)</f>
        <v>154467.025819454</v>
      </c>
      <c r="C10" s="33" t="n">
        <f aca="false">SUMIFS(Tilgungsplan!$M$7:$M$426,Tilgungsplan!$B$7:$B$426,A10)</f>
        <v>58333.2594796684</v>
      </c>
      <c r="D10" s="33" t="n">
        <f aca="false">B10+C10</f>
        <v>212800.285299123</v>
      </c>
      <c r="E10" s="33" t="n">
        <f aca="false">INDEX(Tilgungsplan!$O$7:$O$426,A10*12)</f>
        <v>4523500.80088865</v>
      </c>
      <c r="F10" s="33" t="n">
        <f aca="false">INDEX(Tilgungsplan!$E$7:$E$426,A10*12)+INDEX(Tilgungsplan!$H$7:$H$426,A10*12)</f>
        <v>2194573.78460322</v>
      </c>
      <c r="G10" s="7" t="s">
        <v>351</v>
      </c>
    </row>
    <row r="11" customFormat="false" ht="15" hidden="false" customHeight="false" outlineLevel="0" collapsed="false">
      <c r="A11" s="28" t="n">
        <v>7</v>
      </c>
      <c r="B11" s="33" t="n">
        <f aca="false">SUMIFS(Tilgungsplan!$L$7:$L$426,Tilgungsplan!$B$7:$B$426,A11)</f>
        <v>152442.507174419</v>
      </c>
      <c r="C11" s="33" t="n">
        <f aca="false">SUMIFS(Tilgungsplan!$M$7:$M$426,Tilgungsplan!$B$7:$B$426,A11)</f>
        <v>60357.7781247038</v>
      </c>
      <c r="D11" s="33" t="n">
        <f aca="false">B11+C11</f>
        <v>212800.285299123</v>
      </c>
      <c r="E11" s="33" t="n">
        <f aca="false">INDEX(Tilgungsplan!$O$7:$O$426,A11*12)</f>
        <v>4463143.02276395</v>
      </c>
      <c r="F11" s="33" t="n">
        <f aca="false">INDEX(Tilgungsplan!$E$7:$E$426,A11*12)+INDEX(Tilgungsplan!$H$7:$H$426,A11*12)</f>
        <v>2166547.68484267</v>
      </c>
      <c r="G11" s="7" t="s">
        <v>351</v>
      </c>
    </row>
    <row r="12" customFormat="false" ht="15" hidden="false" customHeight="false" outlineLevel="0" collapsed="false">
      <c r="A12" s="28" t="n">
        <v>8</v>
      </c>
      <c r="B12" s="33" t="n">
        <f aca="false">SUMIFS(Tilgungsplan!$L$7:$L$426,Tilgungsplan!$B$7:$B$426,A12)</f>
        <v>150345.125292198</v>
      </c>
      <c r="C12" s="33" t="n">
        <f aca="false">SUMIFS(Tilgungsplan!$M$7:$M$426,Tilgungsplan!$B$7:$B$426,A12)</f>
        <v>62455.1600069248</v>
      </c>
      <c r="D12" s="33" t="n">
        <f aca="false">B12+C12</f>
        <v>212800.285299123</v>
      </c>
      <c r="E12" s="33" t="n">
        <f aca="false">INDEX(Tilgungsplan!$O$7:$O$426,A12*12)</f>
        <v>4400687.86275702</v>
      </c>
      <c r="F12" s="33" t="n">
        <f aca="false">INDEX(Tilgungsplan!$E$7:$E$426,A12*12)+INDEX(Tilgungsplan!$H$7:$H$426,A12*12)</f>
        <v>2137741.44566164</v>
      </c>
      <c r="G12" s="7" t="s">
        <v>351</v>
      </c>
    </row>
    <row r="13" customFormat="false" ht="15" hidden="false" customHeight="false" outlineLevel="0" collapsed="false">
      <c r="A13" s="28" t="n">
        <v>9</v>
      </c>
      <c r="B13" s="33" t="n">
        <f aca="false">SUMIFS(Tilgungsplan!$L$7:$L$426,Tilgungsplan!$B$7:$B$426,A13)</f>
        <v>148172.176619036</v>
      </c>
      <c r="C13" s="33" t="n">
        <f aca="false">SUMIFS(Tilgungsplan!$M$7:$M$426,Tilgungsplan!$B$7:$B$426,A13)</f>
        <v>64628.1086800867</v>
      </c>
      <c r="D13" s="33" t="n">
        <f aca="false">B13+C13</f>
        <v>212800.285299123</v>
      </c>
      <c r="E13" s="33" t="n">
        <f aca="false">INDEX(Tilgungsplan!$O$7:$O$426,A13*12)</f>
        <v>4336059.75407694</v>
      </c>
      <c r="F13" s="33" t="n">
        <f aca="false">INDEX(Tilgungsplan!$E$7:$E$426,A13*12)+INDEX(Tilgungsplan!$H$7:$H$426,A13*12)</f>
        <v>2108133.16675948</v>
      </c>
      <c r="G13" s="7" t="s">
        <v>351</v>
      </c>
    </row>
    <row r="14" customFormat="false" ht="15" hidden="false" customHeight="false" outlineLevel="0" collapsed="false">
      <c r="A14" s="28" t="n">
        <v>10</v>
      </c>
      <c r="B14" s="33" t="n">
        <f aca="false">SUMIFS(Tilgungsplan!$L$7:$L$426,Tilgungsplan!$B$7:$B$426,A14)</f>
        <v>145920.854817784</v>
      </c>
      <c r="C14" s="33" t="n">
        <f aca="false">SUMIFS(Tilgungsplan!$M$7:$M$426,Tilgungsplan!$B$7:$B$426,A14)</f>
        <v>66879.4304813384</v>
      </c>
      <c r="D14" s="33" t="n">
        <f aca="false">B14+C14</f>
        <v>212800.285299123</v>
      </c>
      <c r="E14" s="33" t="n">
        <f aca="false">INDEX(Tilgungsplan!$O$7:$O$426,A14*12)</f>
        <v>4269180.3235956</v>
      </c>
      <c r="F14" s="33" t="n">
        <f aca="false">INDEX(Tilgungsplan!$E$7:$E$426,A14*12)+INDEX(Tilgungsplan!$H$7:$H$426,A14*12)</f>
        <v>2077700.32795401</v>
      </c>
      <c r="G14" s="7" t="s">
        <v>351</v>
      </c>
    </row>
    <row r="15" customFormat="false" ht="15" hidden="false" customHeight="false" outlineLevel="0" collapsed="false">
      <c r="A15" s="28" t="n">
        <v>11</v>
      </c>
      <c r="B15" s="33" t="n">
        <f aca="false">SUMIFS(Tilgungsplan!$L$7:$L$426,Tilgungsplan!$B$7:$B$426,A15)</f>
        <v>143588.246786693</v>
      </c>
      <c r="C15" s="33" t="n">
        <f aca="false">SUMIFS(Tilgungsplan!$M$7:$M$426,Tilgungsplan!$B$7:$B$426,A15)</f>
        <v>69212.0385124301</v>
      </c>
      <c r="D15" s="33" t="n">
        <f aca="false">B15+C15</f>
        <v>212800.285299123</v>
      </c>
      <c r="E15" s="33" t="n">
        <f aca="false">INDEX(Tilgungsplan!$O$7:$O$426,A15*12)</f>
        <v>4199968.28508317</v>
      </c>
      <c r="F15" s="33" t="n">
        <f aca="false">INDEX(Tilgungsplan!$E$7:$E$426,A15*12)+INDEX(Tilgungsplan!$H$7:$H$426,A15*12)</f>
        <v>2046419.77149649</v>
      </c>
      <c r="G15" s="7" t="s">
        <v>352</v>
      </c>
    </row>
    <row r="16" customFormat="false" ht="15" hidden="false" customHeight="false" outlineLevel="0" collapsed="false">
      <c r="A16" s="28" t="n">
        <v>12</v>
      </c>
      <c r="B16" s="33" t="n">
        <f aca="false">SUMIFS(Tilgungsplan!$L$7:$L$426,Tilgungsplan!$B$7:$B$426,A16)</f>
        <v>141171.328521832</v>
      </c>
      <c r="C16" s="33" t="n">
        <f aca="false">SUMIFS(Tilgungsplan!$M$7:$M$426,Tilgungsplan!$B$7:$B$426,A16)</f>
        <v>71628.9567772906</v>
      </c>
      <c r="D16" s="33" t="n">
        <f aca="false">B16+C16</f>
        <v>212800.285299123</v>
      </c>
      <c r="E16" s="33" t="n">
        <f aca="false">INDEX(Tilgungsplan!$O$7:$O$426,A16*12)</f>
        <v>4128339.32830588</v>
      </c>
      <c r="F16" s="33" t="n">
        <f aca="false">INDEX(Tilgungsplan!$E$7:$E$426,A16*12)+INDEX(Tilgungsplan!$H$7:$H$426,A16*12)</f>
        <v>2014267.68387827</v>
      </c>
      <c r="G16" s="7" t="s">
        <v>352</v>
      </c>
    </row>
    <row r="17" customFormat="false" ht="15" hidden="false" customHeight="false" outlineLevel="0" collapsed="false">
      <c r="A17" s="28" t="n">
        <v>13</v>
      </c>
      <c r="B17" s="33" t="n">
        <f aca="false">SUMIFS(Tilgungsplan!$L$7:$L$426,Tilgungsplan!$B$7:$B$426,A17)</f>
        <v>138666.960816943</v>
      </c>
      <c r="C17" s="33" t="n">
        <f aca="false">SUMIFS(Tilgungsplan!$M$7:$M$426,Tilgungsplan!$B$7:$B$426,A17)</f>
        <v>74133.3244821793</v>
      </c>
      <c r="D17" s="33" t="n">
        <f aca="false">B17+C17</f>
        <v>212800.285299123</v>
      </c>
      <c r="E17" s="33" t="n">
        <f aca="false">INDEX(Tilgungsplan!$O$7:$O$426,A17*12)</f>
        <v>4054206.0038237</v>
      </c>
      <c r="F17" s="33" t="n">
        <f aca="false">INDEX(Tilgungsplan!$E$7:$E$426,A17*12)+INDEX(Tilgungsplan!$H$7:$H$426,A17*12)</f>
        <v>1981219.57711433</v>
      </c>
      <c r="G17" s="7" t="s">
        <v>352</v>
      </c>
    </row>
    <row r="18" customFormat="false" ht="15" hidden="false" customHeight="false" outlineLevel="0" collapsed="false">
      <c r="A18" s="28" t="n">
        <v>14</v>
      </c>
      <c r="B18" s="33" t="n">
        <f aca="false">SUMIFS(Tilgungsplan!$L$7:$L$426,Tilgungsplan!$B$7:$B$426,A18)</f>
        <v>136071.884794257</v>
      </c>
      <c r="C18" s="33" t="n">
        <f aca="false">SUMIFS(Tilgungsplan!$M$7:$M$426,Tilgungsplan!$B$7:$B$426,A18)</f>
        <v>76728.4005048659</v>
      </c>
      <c r="D18" s="33" t="n">
        <f aca="false">B18+C18</f>
        <v>212800.285299123</v>
      </c>
      <c r="E18" s="33" t="n">
        <f aca="false">INDEX(Tilgungsplan!$O$7:$O$426,A18*12)</f>
        <v>3977477.60331883</v>
      </c>
      <c r="F18" s="33" t="n">
        <f aca="false">INDEX(Tilgungsplan!$E$7:$E$426,A18*12)+INDEX(Tilgungsplan!$H$7:$H$426,A18*12)</f>
        <v>1947250.26948875</v>
      </c>
      <c r="G18" s="7" t="s">
        <v>352</v>
      </c>
    </row>
    <row r="19" customFormat="false" ht="15" hidden="false" customHeight="false" outlineLevel="0" collapsed="false">
      <c r="A19" s="28" t="n">
        <v>15</v>
      </c>
      <c r="B19" s="33" t="n">
        <f aca="false">SUMIFS(Tilgungsplan!$L$7:$L$426,Tilgungsplan!$B$7:$B$426,A19)</f>
        <v>133382.717259575</v>
      </c>
      <c r="C19" s="33" t="n">
        <f aca="false">SUMIFS(Tilgungsplan!$M$7:$M$426,Tilgungsplan!$B$7:$B$426,A19)</f>
        <v>79417.5680395477</v>
      </c>
      <c r="D19" s="33" t="n">
        <f aca="false">B19+C19</f>
        <v>212800.285299123</v>
      </c>
      <c r="E19" s="33" t="n">
        <f aca="false">INDEX(Tilgungsplan!$O$7:$O$426,A19*12)</f>
        <v>3898060.03527929</v>
      </c>
      <c r="F19" s="33" t="n">
        <f aca="false">INDEX(Tilgungsplan!$E$7:$E$426,A19*12)+INDEX(Tilgungsplan!$H$7:$H$426,A19*12)</f>
        <v>1912333.86574624</v>
      </c>
      <c r="G19" s="7" t="s">
        <v>352</v>
      </c>
    </row>
    <row r="20" customFormat="false" ht="15" hidden="false" customHeight="false" outlineLevel="0" collapsed="false">
      <c r="A20" s="28" t="n">
        <v>16</v>
      </c>
      <c r="B20" s="33" t="n">
        <f aca="false">SUMIFS(Tilgungsplan!$L$7:$L$426,Tilgungsplan!$B$7:$B$426,A20)</f>
        <v>130595.945874638</v>
      </c>
      <c r="C20" s="33" t="n">
        <f aca="false">SUMIFS(Tilgungsplan!$M$7:$M$426,Tilgungsplan!$B$7:$B$426,A20)</f>
        <v>82204.3394244842</v>
      </c>
      <c r="D20" s="33" t="n">
        <f aca="false">B20+C20</f>
        <v>212800.285299123</v>
      </c>
      <c r="E20" s="33" t="n">
        <f aca="false">INDEX(Tilgungsplan!$O$7:$O$426,A20*12)</f>
        <v>3815855.6958548</v>
      </c>
      <c r="F20" s="33" t="n">
        <f aca="false">INDEX(Tilgungsplan!$E$7:$E$426,A20*12)+INDEX(Tilgungsplan!$H$7:$H$426,A20*12)</f>
        <v>1876443.73671398</v>
      </c>
      <c r="G20" s="7" t="s">
        <v>352</v>
      </c>
    </row>
    <row r="21" customFormat="false" ht="15" hidden="false" customHeight="false" outlineLevel="0" collapsed="false">
      <c r="A21" s="28" t="n">
        <v>17</v>
      </c>
      <c r="B21" s="33" t="n">
        <f aca="false">SUMIFS(Tilgungsplan!$L$7:$L$426,Tilgungsplan!$B$7:$B$426,A21)</f>
        <v>127707.924139516</v>
      </c>
      <c r="C21" s="33" t="n">
        <f aca="false">SUMIFS(Tilgungsplan!$M$7:$M$426,Tilgungsplan!$B$7:$B$426,A21)</f>
        <v>85092.3611596071</v>
      </c>
      <c r="D21" s="33" t="n">
        <f aca="false">B21+C21</f>
        <v>212800.285299123</v>
      </c>
      <c r="E21" s="33" t="n">
        <f aca="false">INDEX(Tilgungsplan!$O$7:$O$426,A21*12)</f>
        <v>3730763.3346952</v>
      </c>
      <c r="F21" s="33" t="n">
        <f aca="false">INDEX(Tilgungsplan!$E$7:$E$426,A21*12)+INDEX(Tilgungsplan!$H$7:$H$426,A21*12)</f>
        <v>1839552.49833709</v>
      </c>
      <c r="G21" s="7" t="s">
        <v>352</v>
      </c>
    </row>
    <row r="22" customFormat="false" ht="15" hidden="false" customHeight="false" outlineLevel="0" collapsed="false">
      <c r="A22" s="28" t="n">
        <v>18</v>
      </c>
      <c r="B22" s="33" t="n">
        <f aca="false">SUMIFS(Tilgungsplan!$L$7:$L$426,Tilgungsplan!$B$7:$B$426,A22)</f>
        <v>124714.866177469</v>
      </c>
      <c r="C22" s="33" t="n">
        <f aca="false">SUMIFS(Tilgungsplan!$M$7:$M$426,Tilgungsplan!$B$7:$B$426,A22)</f>
        <v>88085.4191216538</v>
      </c>
      <c r="D22" s="33" t="n">
        <f aca="false">B22+C22</f>
        <v>212800.285299123</v>
      </c>
      <c r="E22" s="33" t="n">
        <f aca="false">INDEX(Tilgungsplan!$O$7:$O$426,A22*12)</f>
        <v>3642677.91557354</v>
      </c>
      <c r="F22" s="33" t="n">
        <f aca="false">INDEX(Tilgungsplan!$E$7:$E$426,A22*12)+INDEX(Tilgungsplan!$H$7:$H$426,A22*12)</f>
        <v>1801631.99011078</v>
      </c>
      <c r="G22" s="7" t="s">
        <v>352</v>
      </c>
    </row>
    <row r="23" customFormat="false" ht="15" hidden="false" customHeight="false" outlineLevel="0" collapsed="false">
      <c r="A23" s="28" t="n">
        <v>19</v>
      </c>
      <c r="B23" s="33" t="n">
        <f aca="false">SUMIFS(Tilgungsplan!$L$7:$L$426,Tilgungsplan!$B$7:$B$426,A23)</f>
        <v>121612.841314447</v>
      </c>
      <c r="C23" s="33" t="n">
        <f aca="false">SUMIFS(Tilgungsplan!$M$7:$M$426,Tilgungsplan!$B$7:$B$426,A23)</f>
        <v>91187.4439846759</v>
      </c>
      <c r="D23" s="33" t="n">
        <f aca="false">B23+C23</f>
        <v>212800.285299123</v>
      </c>
      <c r="E23" s="33" t="n">
        <f aca="false">INDEX(Tilgungsplan!$O$7:$O$426,A23*12)</f>
        <v>3551490.47158887</v>
      </c>
      <c r="F23" s="33" t="n">
        <f aca="false">INDEX(Tilgungsplan!$E$7:$E$426,A23*12)+INDEX(Tilgungsplan!$H$7:$H$426,A23*12)</f>
        <v>1762653.25289177</v>
      </c>
      <c r="G23" s="7" t="s">
        <v>352</v>
      </c>
    </row>
    <row r="24" customFormat="false" ht="15" hidden="false" customHeight="false" outlineLevel="0" collapsed="false">
      <c r="A24" s="28" t="n">
        <v>20</v>
      </c>
      <c r="B24" s="33" t="n">
        <f aca="false">SUMIFS(Tilgungsplan!$L$7:$L$426,Tilgungsplan!$B$7:$B$426,A24)</f>
        <v>118397.768445036</v>
      </c>
      <c r="C24" s="33" t="n">
        <f aca="false">SUMIFS(Tilgungsplan!$M$7:$M$426,Tilgungsplan!$B$7:$B$426,A24)</f>
        <v>94402.5168540863</v>
      </c>
      <c r="D24" s="33" t="n">
        <f aca="false">B24+C24</f>
        <v>212800.285299123</v>
      </c>
      <c r="E24" s="33" t="n">
        <f aca="false">INDEX(Tilgungsplan!$O$7:$O$426,A24*12)</f>
        <v>3457087.95473478</v>
      </c>
      <c r="F24" s="33" t="n">
        <f aca="false">INDEX(Tilgungsplan!$E$7:$E$426,A24*12)+INDEX(Tilgungsplan!$H$7:$H$426,A24*12)</f>
        <v>1722586.50607082</v>
      </c>
      <c r="G24" s="7" t="s">
        <v>352</v>
      </c>
    </row>
    <row r="25" customFormat="false" ht="15" hidden="false" customHeight="false" outlineLevel="0" collapsed="false">
      <c r="A25" s="28" t="n">
        <v>21</v>
      </c>
      <c r="B25" s="33" t="n">
        <f aca="false">SUMIFS(Tilgungsplan!$L$7:$L$426,Tilgungsplan!$B$7:$B$426,A25)</f>
        <v>115065.410176385</v>
      </c>
      <c r="C25" s="33" t="n">
        <f aca="false">SUMIFS(Tilgungsplan!$M$7:$M$426,Tilgungsplan!$B$7:$B$426,A25)</f>
        <v>97734.8751227378</v>
      </c>
      <c r="D25" s="33" t="n">
        <f aca="false">B25+C25</f>
        <v>212800.285299123</v>
      </c>
      <c r="E25" s="33" t="n">
        <f aca="false">INDEX(Tilgungsplan!$O$7:$O$426,A25*12)</f>
        <v>3359353.07961204</v>
      </c>
      <c r="F25" s="33" t="n">
        <f aca="false">INDEX(Tilgungsplan!$E$7:$E$426,A25*12)+INDEX(Tilgungsplan!$H$7:$H$426,A25*12)</f>
        <v>1681401.12408811</v>
      </c>
      <c r="G25" s="7" t="s">
        <v>352</v>
      </c>
    </row>
    <row r="26" customFormat="false" ht="15" hidden="false" customHeight="false" outlineLevel="0" collapsed="false">
      <c r="A26" s="28" t="n">
        <v>22</v>
      </c>
      <c r="B26" s="33" t="n">
        <f aca="false">SUMIFS(Tilgungsplan!$L$7:$L$426,Tilgungsplan!$B$7:$B$426,A26)</f>
        <v>111611.366741259</v>
      </c>
      <c r="C26" s="33" t="n">
        <f aca="false">SUMIFS(Tilgungsplan!$M$7:$M$426,Tilgungsplan!$B$7:$B$426,A26)</f>
        <v>101188.918557864</v>
      </c>
      <c r="D26" s="33" t="n">
        <f aca="false">B26+C26</f>
        <v>212800.285299123</v>
      </c>
      <c r="E26" s="33" t="n">
        <f aca="false">INDEX(Tilgungsplan!$O$7:$O$426,A26*12)</f>
        <v>3258164.16105418</v>
      </c>
      <c r="F26" s="33" t="n">
        <f aca="false">INDEX(Tilgungsplan!$E$7:$E$426,A26*12)+INDEX(Tilgungsplan!$H$7:$H$426,A26*12)</f>
        <v>1639065.61227213</v>
      </c>
      <c r="G26" s="7" t="s">
        <v>352</v>
      </c>
    </row>
    <row r="27" customFormat="false" ht="15" hidden="false" customHeight="false" outlineLevel="0" collapsed="false">
      <c r="A27" s="28" t="n">
        <v>23</v>
      </c>
      <c r="B27" s="33" t="n">
        <f aca="false">SUMIFS(Tilgungsplan!$L$7:$L$426,Tilgungsplan!$B$7:$B$426,A27)</f>
        <v>108031.069671055</v>
      </c>
      <c r="C27" s="33" t="n">
        <f aca="false">SUMIFS(Tilgungsplan!$M$7:$M$426,Tilgungsplan!$B$7:$B$426,A27)</f>
        <v>104769.215628068</v>
      </c>
      <c r="D27" s="33" t="n">
        <f aca="false">B27+C27</f>
        <v>212800.285299123</v>
      </c>
      <c r="E27" s="33" t="n">
        <f aca="false">INDEX(Tilgungsplan!$O$7:$O$426,A27*12)</f>
        <v>3153394.94542611</v>
      </c>
      <c r="F27" s="33" t="n">
        <f aca="false">INDEX(Tilgungsplan!$E$7:$E$426,A27*12)+INDEX(Tilgungsplan!$H$7:$H$426,A27*12)</f>
        <v>1595547.58198269</v>
      </c>
      <c r="G27" s="7" t="s">
        <v>352</v>
      </c>
    </row>
    <row r="28" customFormat="false" ht="15" hidden="false" customHeight="false" outlineLevel="0" collapsed="false">
      <c r="A28" s="28" t="n">
        <v>24</v>
      </c>
      <c r="B28" s="33" t="n">
        <f aca="false">SUMIFS(Tilgungsplan!$L$7:$L$426,Tilgungsplan!$B$7:$B$426,A28)</f>
        <v>104319.775219212</v>
      </c>
      <c r="C28" s="33" t="n">
        <f aca="false">SUMIFS(Tilgungsplan!$M$7:$M$426,Tilgungsplan!$B$7:$B$426,A28)</f>
        <v>108480.510079911</v>
      </c>
      <c r="D28" s="33" t="n">
        <f aca="false">B28+C28</f>
        <v>212800.285299123</v>
      </c>
      <c r="E28" s="33" t="n">
        <f aca="false">INDEX(Tilgungsplan!$O$7:$O$426,A28*12)</f>
        <v>3044914.4353462</v>
      </c>
      <c r="F28" s="33" t="n">
        <f aca="false">INDEX(Tilgungsplan!$E$7:$E$426,A28*12)+INDEX(Tilgungsplan!$H$7:$H$426,A28*12)</f>
        <v>1550813.72503777</v>
      </c>
      <c r="G28" s="7" t="s">
        <v>352</v>
      </c>
    </row>
    <row r="29" customFormat="false" ht="15" hidden="false" customHeight="false" outlineLevel="0" collapsed="false">
      <c r="A29" s="28" t="n">
        <v>25</v>
      </c>
      <c r="B29" s="33" t="n">
        <f aca="false">SUMIFS(Tilgungsplan!$L$7:$L$426,Tilgungsplan!$B$7:$B$426,A29)</f>
        <v>100472.557525083</v>
      </c>
      <c r="C29" s="33" t="n">
        <f aca="false">SUMIFS(Tilgungsplan!$M$7:$M$426,Tilgungsplan!$B$7:$B$426,A29)</f>
        <v>112327.72777404</v>
      </c>
      <c r="D29" s="33" t="n">
        <f aca="false">B29+C29</f>
        <v>212800.285299123</v>
      </c>
      <c r="E29" s="33" t="n">
        <f aca="false">INDEX(Tilgungsplan!$O$7:$O$426,A29*12)</f>
        <v>2932586.70757216</v>
      </c>
      <c r="F29" s="33" t="n">
        <f aca="false">INDEX(Tilgungsplan!$E$7:$E$426,A29*12)+INDEX(Tilgungsplan!$H$7:$H$426,A29*12)</f>
        <v>1504829.78740342</v>
      </c>
      <c r="G29" s="7" t="s">
        <v>352</v>
      </c>
    </row>
    <row r="30" customFormat="false" ht="15" hidden="false" customHeight="false" outlineLevel="0" collapsed="false">
      <c r="A30" s="28" t="n">
        <v>26</v>
      </c>
      <c r="B30" s="33" t="n">
        <f aca="false">SUMIFS(Tilgungsplan!$L$7:$L$426,Tilgungsplan!$B$7:$B$426,A30)</f>
        <v>96484.3015079408</v>
      </c>
      <c r="C30" s="33" t="n">
        <f aca="false">SUMIFS(Tilgungsplan!$M$7:$M$426,Tilgungsplan!$B$7:$B$426,A30)</f>
        <v>116315.983791182</v>
      </c>
      <c r="D30" s="33" t="n">
        <f aca="false">B30+C30</f>
        <v>212800.285299123</v>
      </c>
      <c r="E30" s="33" t="n">
        <f aca="false">INDEX(Tilgungsplan!$O$7:$O$426,A30*12)</f>
        <v>2816270.72378098</v>
      </c>
      <c r="F30" s="33" t="n">
        <f aca="false">INDEX(Tilgungsplan!$E$7:$E$426,A30*12)+INDEX(Tilgungsplan!$H$7:$H$426,A30*12)</f>
        <v>1457560.54212536</v>
      </c>
      <c r="G30" s="7" t="s">
        <v>352</v>
      </c>
    </row>
    <row r="31" customFormat="false" ht="15" hidden="false" customHeight="false" outlineLevel="0" collapsed="false">
      <c r="A31" s="28" t="n">
        <v>27</v>
      </c>
      <c r="B31" s="33" t="n">
        <f aca="false">SUMIFS(Tilgungsplan!$L$7:$L$426,Tilgungsplan!$B$7:$B$426,A31)</f>
        <v>92349.6954803591</v>
      </c>
      <c r="C31" s="33" t="n">
        <f aca="false">SUMIFS(Tilgungsplan!$M$7:$M$426,Tilgungsplan!$B$7:$B$426,A31)</f>
        <v>120450.589818764</v>
      </c>
      <c r="D31" s="33" t="n">
        <f aca="false">B31+C31</f>
        <v>212800.285299123</v>
      </c>
      <c r="E31" s="33" t="n">
        <f aca="false">INDEX(Tilgungsplan!$O$7:$O$426,A31*12)</f>
        <v>2695820.13396222</v>
      </c>
      <c r="F31" s="33" t="n">
        <f aca="false">INDEX(Tilgungsplan!$E$7:$E$426,A31*12)+INDEX(Tilgungsplan!$H$7:$H$426,A31*12)</f>
        <v>1408969.76148032</v>
      </c>
      <c r="G31" s="7" t="s">
        <v>352</v>
      </c>
    </row>
    <row r="32" customFormat="false" ht="15" hidden="false" customHeight="false" outlineLevel="0" collapsed="false">
      <c r="A32" s="28" t="n">
        <v>28</v>
      </c>
      <c r="B32" s="33" t="n">
        <f aca="false">SUMIFS(Tilgungsplan!$L$7:$L$426,Tilgungsplan!$B$7:$B$426,A32)</f>
        <v>88063.2234698026</v>
      </c>
      <c r="C32" s="33" t="n">
        <f aca="false">SUMIFS(Tilgungsplan!$M$7:$M$426,Tilgungsplan!$B$7:$B$426,A32)</f>
        <v>124737.06182932</v>
      </c>
      <c r="D32" s="33" t="n">
        <f aca="false">B32+C32</f>
        <v>212800.285299123</v>
      </c>
      <c r="E32" s="33" t="n">
        <f aca="false">INDEX(Tilgungsplan!$O$7:$O$426,A32*12)</f>
        <v>2571083.0721329</v>
      </c>
      <c r="F32" s="33" t="n">
        <f aca="false">INDEX(Tilgungsplan!$E$7:$E$426,A32*12)+INDEX(Tilgungsplan!$H$7:$H$426,A32*12)</f>
        <v>1359020.18832439</v>
      </c>
      <c r="G32" s="7" t="s">
        <v>352</v>
      </c>
    </row>
    <row r="33" customFormat="false" ht="15" hidden="false" customHeight="false" outlineLevel="0" collapsed="false">
      <c r="A33" s="28" t="n">
        <v>29</v>
      </c>
      <c r="B33" s="33" t="n">
        <f aca="false">SUMIFS(Tilgungsplan!$L$7:$L$426,Tilgungsplan!$B$7:$B$426,A33)</f>
        <v>83619.1572367885</v>
      </c>
      <c r="C33" s="33" t="n">
        <f aca="false">SUMIFS(Tilgungsplan!$M$7:$M$426,Tilgungsplan!$B$7:$B$426,A33)</f>
        <v>129181.128062334</v>
      </c>
      <c r="D33" s="33" t="n">
        <f aca="false">B33+C33</f>
        <v>212800.285299123</v>
      </c>
      <c r="E33" s="33" t="n">
        <f aca="false">INDEX(Tilgungsplan!$O$7:$O$426,A33*12)</f>
        <v>2441901.94407056</v>
      </c>
      <c r="F33" s="33" t="n">
        <f aca="false">INDEX(Tilgungsplan!$E$7:$E$426,A33*12)+INDEX(Tilgungsplan!$H$7:$H$426,A33*12)</f>
        <v>1307673.50661509</v>
      </c>
      <c r="G33" s="7" t="s">
        <v>352</v>
      </c>
    </row>
    <row r="34" customFormat="false" ht="15" hidden="false" customHeight="false" outlineLevel="0" collapsed="false">
      <c r="A34" s="28" t="n">
        <v>30</v>
      </c>
      <c r="B34" s="33" t="n">
        <f aca="false">SUMIFS(Tilgungsplan!$L$7:$L$426,Tilgungsplan!$B$7:$B$426,A34)</f>
        <v>79011.5479775318</v>
      </c>
      <c r="C34" s="33" t="n">
        <f aca="false">SUMIFS(Tilgungsplan!$M$7:$M$426,Tilgungsplan!$B$7:$B$426,A34)</f>
        <v>133788.737321591</v>
      </c>
      <c r="D34" s="33" t="n">
        <f aca="false">B34+C34</f>
        <v>212800.285299123</v>
      </c>
      <c r="E34" s="33" t="n">
        <f aca="false">INDEX(Tilgungsplan!$O$7:$O$426,A34*12)</f>
        <v>2308113.20674897</v>
      </c>
      <c r="F34" s="33" t="n">
        <f aca="false">INDEX(Tilgungsplan!$E$7:$E$426,A34*12)+INDEX(Tilgungsplan!$H$7:$H$426,A34*12)</f>
        <v>1254890.31108326</v>
      </c>
      <c r="G34" s="7" t="s">
        <v>352</v>
      </c>
    </row>
    <row r="35" customFormat="false" ht="15" hidden="false" customHeight="false" outlineLevel="0" collapsed="false">
      <c r="A35" s="28" t="n">
        <v>31</v>
      </c>
      <c r="B35" s="33" t="n">
        <f aca="false">SUMIFS(Tilgungsplan!$L$7:$L$426,Tilgungsplan!$B$7:$B$426,A35)</f>
        <v>74234.2176984949</v>
      </c>
      <c r="C35" s="33" t="n">
        <f aca="false">SUMIFS(Tilgungsplan!$M$7:$M$426,Tilgungsplan!$B$7:$B$426,A35)</f>
        <v>138566.067600628</v>
      </c>
      <c r="D35" s="33" t="n">
        <f aca="false">B35+C35</f>
        <v>212800.285299123</v>
      </c>
      <c r="E35" s="33" t="n">
        <f aca="false">INDEX(Tilgungsplan!$O$7:$O$426,A35*12)</f>
        <v>2169547.13914834</v>
      </c>
      <c r="F35" s="33" t="n">
        <f aca="false">INDEX(Tilgungsplan!$E$7:$E$426,A35*12)+INDEX(Tilgungsplan!$H$7:$H$426,A35*12)</f>
        <v>1200630.07602997</v>
      </c>
      <c r="G35" s="7" t="s">
        <v>352</v>
      </c>
    </row>
    <row r="36" customFormat="false" ht="15" hidden="false" customHeight="false" outlineLevel="0" collapsed="false">
      <c r="A36" s="28" t="n">
        <v>32</v>
      </c>
      <c r="B36" s="33" t="n">
        <f aca="false">SUMIFS(Tilgungsplan!$L$7:$L$426,Tilgungsplan!$B$7:$B$426,A36)</f>
        <v>69280.7502497593</v>
      </c>
      <c r="C36" s="33" t="n">
        <f aca="false">SUMIFS(Tilgungsplan!$M$7:$M$426,Tilgungsplan!$B$7:$B$426,A36)</f>
        <v>143519.535049363</v>
      </c>
      <c r="D36" s="33" t="n">
        <f aca="false">B36+C36</f>
        <v>212800.285299123</v>
      </c>
      <c r="E36" s="33" t="n">
        <f aca="false">INDEX(Tilgungsplan!$O$7:$O$426,A36*12)</f>
        <v>2026027.60409898</v>
      </c>
      <c r="F36" s="33" t="n">
        <f aca="false">INDEX(Tilgungsplan!$E$7:$E$426,A36*12)+INDEX(Tilgungsplan!$H$7:$H$426,A36*12)</f>
        <v>1144851.12322306</v>
      </c>
      <c r="G36" s="7" t="s">
        <v>352</v>
      </c>
    </row>
    <row r="37" customFormat="false" ht="15" hidden="false" customHeight="false" outlineLevel="0" collapsed="false">
      <c r="A37" s="28" t="n">
        <v>33</v>
      </c>
      <c r="B37" s="33" t="n">
        <f aca="false">SUMIFS(Tilgungsplan!$L$7:$L$426,Tilgungsplan!$B$7:$B$426,A37)</f>
        <v>64144.4820036112</v>
      </c>
      <c r="C37" s="33" t="n">
        <f aca="false">SUMIFS(Tilgungsplan!$M$7:$M$426,Tilgungsplan!$B$7:$B$426,A37)</f>
        <v>148655.803295512</v>
      </c>
      <c r="D37" s="33" t="n">
        <f aca="false">B37+C37</f>
        <v>212800.285299123</v>
      </c>
      <c r="E37" s="33" t="n">
        <f aca="false">INDEX(Tilgungsplan!$O$7:$O$426,A37*12)</f>
        <v>1877371.80080347</v>
      </c>
      <c r="F37" s="33" t="n">
        <f aca="false">INDEX(Tilgungsplan!$E$7:$E$426,A37*12)+INDEX(Tilgungsplan!$H$7:$H$426,A37*12)</f>
        <v>1087510.58886724</v>
      </c>
      <c r="G37" s="7" t="s">
        <v>352</v>
      </c>
    </row>
    <row r="38" customFormat="false" ht="15" hidden="false" customHeight="false" outlineLevel="0" collapsed="false">
      <c r="A38" s="28" t="n">
        <v>34</v>
      </c>
      <c r="B38" s="33" t="n">
        <f aca="false">SUMIFS(Tilgungsplan!$L$7:$L$426,Tilgungsplan!$B$7:$B$426,A38)</f>
        <v>58818.4921641892</v>
      </c>
      <c r="C38" s="33" t="n">
        <f aca="false">SUMIFS(Tilgungsplan!$M$7:$M$426,Tilgungsplan!$B$7:$B$426,A38)</f>
        <v>153981.793134933</v>
      </c>
      <c r="D38" s="33" t="n">
        <f aca="false">B38+C38</f>
        <v>212800.285299123</v>
      </c>
      <c r="E38" s="33" t="n">
        <f aca="false">INDEX(Tilgungsplan!$O$7:$O$426,A38*12)</f>
        <v>1723390.00766853</v>
      </c>
      <c r="F38" s="33" t="n">
        <f aca="false">INDEX(Tilgungsplan!$E$7:$E$426,A38*12)+INDEX(Tilgungsplan!$H$7:$H$426,A38*12)</f>
        <v>1028564.38962073</v>
      </c>
      <c r="G38" s="7" t="s">
        <v>352</v>
      </c>
    </row>
    <row r="39" customFormat="false" ht="15" hidden="false" customHeight="false" outlineLevel="0" collapsed="false">
      <c r="A39" s="28" t="n">
        <v>35</v>
      </c>
      <c r="B39" s="33" t="n">
        <f aca="false">SUMIFS(Tilgungsplan!$L$7:$L$426,Tilgungsplan!$B$7:$B$426,A39)</f>
        <v>53295.5926934712</v>
      </c>
      <c r="C39" s="33" t="n">
        <f aca="false">SUMIFS(Tilgungsplan!$M$7:$M$426,Tilgungsplan!$B$7:$B$426,A39)</f>
        <v>159504.692605651</v>
      </c>
      <c r="D39" s="33" t="n">
        <f aca="false">B39+C39</f>
        <v>212800.285299123</v>
      </c>
      <c r="E39" s="33" t="n">
        <f aca="false">INDEX(Tilgungsplan!$O$7:$O$426,A39*12)</f>
        <v>1563885.31506288</v>
      </c>
      <c r="F39" s="33" t="n">
        <f aca="false">INDEX(Tilgungsplan!$E$7:$E$426,A39*12)+INDEX(Tilgungsplan!$H$7:$H$426,A39*12)</f>
        <v>967967.18763082</v>
      </c>
      <c r="G39" s="7" t="s">
        <v>352</v>
      </c>
    </row>
    <row r="41" customFormat="false" ht="15" hidden="false" customHeight="false" outlineLevel="0" collapsed="false">
      <c r="A41" s="29" t="s">
        <v>204</v>
      </c>
      <c r="B41" s="35" t="n">
        <f aca="false">SUM(B5:B39)</f>
        <v>4166389.59454972</v>
      </c>
      <c r="C41" s="35" t="n">
        <f aca="false">SUM(C5:C39)</f>
        <v>3281620.39091958</v>
      </c>
      <c r="D41" s="35" t="n">
        <f aca="false">SUM(D5:D39)</f>
        <v>7448009.98546929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A45"/>
    <pageSetUpPr fitToPage="true"/>
  </sheetPr>
  <dimension ref="A1:O4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1" min="11" style="0" width="15"/>
    <col collapsed="false" customWidth="true" hidden="false" outlineLevel="0" max="14" min="12" style="0" width="14"/>
    <col collapsed="false" customWidth="true" hidden="false" outlineLevel="0" max="15" min="15" style="0" width="16"/>
  </cols>
  <sheetData>
    <row r="1" customFormat="false" ht="19.7" hidden="false" customHeight="false" outlineLevel="0" collapsed="false">
      <c r="A1" s="1" t="s">
        <v>353</v>
      </c>
    </row>
    <row r="2" customFormat="false" ht="15" hidden="false" customHeight="false" outlineLevel="0" collapsed="false">
      <c r="A2" s="2" t="s">
        <v>354</v>
      </c>
      <c r="C2" s="43" t="s">
        <v>355</v>
      </c>
      <c r="F2" s="43" t="s">
        <v>356</v>
      </c>
      <c r="I2" s="43" t="s">
        <v>357</v>
      </c>
      <c r="N2" s="43" t="s">
        <v>204</v>
      </c>
    </row>
    <row r="3" customFormat="false" ht="15" hidden="false" customHeight="false" outlineLevel="0" collapsed="false">
      <c r="A3" s="43" t="s">
        <v>358</v>
      </c>
      <c r="C3" s="35" t="n">
        <f aca="false">E6*(Annahmen!$B$55+Annahmen!$B$58)/12</f>
        <v>3500</v>
      </c>
      <c r="F3" s="35" t="n">
        <f aca="false">H6*(Annahmen!$B$56+Annahmen!$B$58)/12</f>
        <v>3825</v>
      </c>
      <c r="I3" s="35" t="n">
        <f aca="false">K6*(Annahmen!$B$57+Annahmen!$B$58)/12</f>
        <v>10408.3571082602</v>
      </c>
      <c r="N3" s="46" t="n">
        <f aca="false">C3+F3+I3</f>
        <v>17733.3571082602</v>
      </c>
    </row>
    <row r="5" customFormat="false" ht="42" hidden="false" customHeight="true" outlineLevel="0" collapsed="false">
      <c r="A5" s="3" t="s">
        <v>322</v>
      </c>
      <c r="B5" s="4" t="s">
        <v>344</v>
      </c>
      <c r="C5" s="4" t="s">
        <v>359</v>
      </c>
      <c r="D5" s="4" t="s">
        <v>360</v>
      </c>
      <c r="E5" s="4" t="s">
        <v>361</v>
      </c>
      <c r="F5" s="4" t="s">
        <v>362</v>
      </c>
      <c r="G5" s="4" t="s">
        <v>363</v>
      </c>
      <c r="H5" s="4" t="s">
        <v>364</v>
      </c>
      <c r="I5" s="4" t="s">
        <v>365</v>
      </c>
      <c r="J5" s="4" t="s">
        <v>366</v>
      </c>
      <c r="K5" s="4" t="s">
        <v>367</v>
      </c>
      <c r="L5" s="4" t="s">
        <v>368</v>
      </c>
      <c r="M5" s="4" t="s">
        <v>369</v>
      </c>
      <c r="N5" s="4" t="s">
        <v>370</v>
      </c>
      <c r="O5" s="4" t="s">
        <v>371</v>
      </c>
    </row>
    <row r="6" customFormat="false" ht="15" hidden="false" customHeight="false" outlineLevel="0" collapsed="false">
      <c r="A6" s="28" t="n">
        <v>0</v>
      </c>
      <c r="B6" s="28" t="n">
        <v>0</v>
      </c>
      <c r="E6" s="33" t="n">
        <f aca="false">Bauphase!L33</f>
        <v>1200000</v>
      </c>
      <c r="H6" s="33" t="n">
        <f aca="false">Bauphase!M33</f>
        <v>1147500</v>
      </c>
      <c r="K6" s="33" t="n">
        <f aca="false">Bauphase!N33</f>
        <v>2498005.70598245</v>
      </c>
      <c r="O6" s="33" t="n">
        <f aca="false">E6+H6+K6</f>
        <v>4845505.70598245</v>
      </c>
    </row>
    <row r="7" customFormat="false" ht="15" hidden="false" customHeight="false" outlineLevel="0" collapsed="false">
      <c r="A7" s="48" t="n">
        <v>1</v>
      </c>
      <c r="B7" s="48" t="n">
        <f aca="false">ROUNDUP(A7/12,0)</f>
        <v>1</v>
      </c>
      <c r="C7" s="49" t="n">
        <f aca="false">E6*Annahmen!$B$55/12</f>
        <v>2500</v>
      </c>
      <c r="D7" s="49" t="n">
        <f aca="false">MIN($C$3-C7,E6)</f>
        <v>1000</v>
      </c>
      <c r="E7" s="49" t="n">
        <f aca="false">E6-D7</f>
        <v>1199000</v>
      </c>
      <c r="F7" s="49" t="n">
        <f aca="false">H6*Annahmen!$B$56/12</f>
        <v>2868.75</v>
      </c>
      <c r="G7" s="49" t="n">
        <f aca="false">MIN($F$3-F7,H6)</f>
        <v>956.25</v>
      </c>
      <c r="H7" s="49" t="n">
        <f aca="false">H6-G7</f>
        <v>1146543.75</v>
      </c>
      <c r="I7" s="49" t="n">
        <f aca="false">K6*Annahmen!$B$57/12</f>
        <v>8326.68568660818</v>
      </c>
      <c r="J7" s="49" t="n">
        <f aca="false">MIN($I$3-I7,K6)</f>
        <v>2081.67142165205</v>
      </c>
      <c r="K7" s="49" t="n">
        <f aca="false">K6-J7</f>
        <v>2495924.0345608</v>
      </c>
      <c r="L7" s="49" t="n">
        <f aca="false">C7+F7+I7</f>
        <v>13695.4356866082</v>
      </c>
      <c r="M7" s="49" t="n">
        <f aca="false">D7+G7+J7</f>
        <v>4037.92142165205</v>
      </c>
      <c r="N7" s="49" t="n">
        <f aca="false">L7+M7</f>
        <v>17733.3571082602</v>
      </c>
      <c r="O7" s="49" t="n">
        <f aca="false">E7+H7+K7</f>
        <v>4841467.7845608</v>
      </c>
    </row>
    <row r="8" customFormat="false" ht="15" hidden="false" customHeight="false" outlineLevel="0" collapsed="false">
      <c r="A8" s="48" t="n">
        <v>2</v>
      </c>
      <c r="B8" s="48" t="n">
        <f aca="false">ROUNDUP(A8/12,0)</f>
        <v>1</v>
      </c>
      <c r="C8" s="49" t="n">
        <f aca="false">E7*Annahmen!$B$55/12</f>
        <v>2497.91666666667</v>
      </c>
      <c r="D8" s="49" t="n">
        <f aca="false">MIN($C$3-C8,E7)</f>
        <v>1002.08333333333</v>
      </c>
      <c r="E8" s="49" t="n">
        <f aca="false">E7-D8</f>
        <v>1197997.91666667</v>
      </c>
      <c r="F8" s="49" t="n">
        <f aca="false">H7*Annahmen!$B$56/12</f>
        <v>2866.359375</v>
      </c>
      <c r="G8" s="49" t="n">
        <f aca="false">MIN($F$3-F8,H7)</f>
        <v>958.640625</v>
      </c>
      <c r="H8" s="49" t="n">
        <f aca="false">H7-G8</f>
        <v>1145585.109375</v>
      </c>
      <c r="I8" s="49" t="n">
        <f aca="false">K7*Annahmen!$B$57/12</f>
        <v>8319.74678186934</v>
      </c>
      <c r="J8" s="49" t="n">
        <f aca="false">MIN($I$3-I8,K7)</f>
        <v>2088.61032639088</v>
      </c>
      <c r="K8" s="49" t="n">
        <f aca="false">K7-J8</f>
        <v>2493835.42423441</v>
      </c>
      <c r="L8" s="49" t="n">
        <f aca="false">C8+F8+I8</f>
        <v>13684.022823536</v>
      </c>
      <c r="M8" s="49" t="n">
        <f aca="false">D8+G8+J8</f>
        <v>4049.33428472422</v>
      </c>
      <c r="N8" s="49" t="n">
        <f aca="false">L8+M8</f>
        <v>17733.3571082602</v>
      </c>
      <c r="O8" s="49" t="n">
        <f aca="false">E8+H8+K8</f>
        <v>4837418.45027608</v>
      </c>
    </row>
    <row r="9" customFormat="false" ht="15" hidden="false" customHeight="false" outlineLevel="0" collapsed="false">
      <c r="A9" s="48" t="n">
        <v>3</v>
      </c>
      <c r="B9" s="48" t="n">
        <f aca="false">ROUNDUP(A9/12,0)</f>
        <v>1</v>
      </c>
      <c r="C9" s="49" t="n">
        <f aca="false">E8*Annahmen!$B$55/12</f>
        <v>2495.82899305556</v>
      </c>
      <c r="D9" s="49" t="n">
        <f aca="false">MIN($C$3-C9,E8)</f>
        <v>1004.17100694444</v>
      </c>
      <c r="E9" s="49" t="n">
        <f aca="false">E8-D9</f>
        <v>1196993.74565972</v>
      </c>
      <c r="F9" s="49" t="n">
        <f aca="false">H8*Annahmen!$B$56/12</f>
        <v>2863.9627734375</v>
      </c>
      <c r="G9" s="49" t="n">
        <f aca="false">MIN($F$3-F9,H8)</f>
        <v>961.0372265625</v>
      </c>
      <c r="H9" s="49" t="n">
        <f aca="false">H8-G9</f>
        <v>1144624.07214844</v>
      </c>
      <c r="I9" s="49" t="n">
        <f aca="false">K8*Annahmen!$B$57/12</f>
        <v>8312.78474744804</v>
      </c>
      <c r="J9" s="49" t="n">
        <f aca="false">MIN($I$3-I9,K8)</f>
        <v>2095.57236081219</v>
      </c>
      <c r="K9" s="49" t="n">
        <f aca="false">K8-J9</f>
        <v>2491739.8518736</v>
      </c>
      <c r="L9" s="49" t="n">
        <f aca="false">C9+F9+I9</f>
        <v>13672.5765139411</v>
      </c>
      <c r="M9" s="49" t="n">
        <f aca="false">D9+G9+J9</f>
        <v>4060.78059431913</v>
      </c>
      <c r="N9" s="49" t="n">
        <f aca="false">L9+M9</f>
        <v>17733.3571082602</v>
      </c>
      <c r="O9" s="49" t="n">
        <f aca="false">E9+H9+K9</f>
        <v>4833357.66968176</v>
      </c>
    </row>
    <row r="10" customFormat="false" ht="15" hidden="false" customHeight="false" outlineLevel="0" collapsed="false">
      <c r="A10" s="48" t="n">
        <v>4</v>
      </c>
      <c r="B10" s="48" t="n">
        <f aca="false">ROUNDUP(A10/12,0)</f>
        <v>1</v>
      </c>
      <c r="C10" s="49" t="n">
        <f aca="false">E9*Annahmen!$B$55/12</f>
        <v>2493.73697012442</v>
      </c>
      <c r="D10" s="49" t="n">
        <f aca="false">MIN($C$3-C10,E9)</f>
        <v>1006.26302987558</v>
      </c>
      <c r="E10" s="49" t="n">
        <f aca="false">E9-D10</f>
        <v>1195987.48262985</v>
      </c>
      <c r="F10" s="49" t="n">
        <f aca="false">H9*Annahmen!$B$56/12</f>
        <v>2861.56018037109</v>
      </c>
      <c r="G10" s="49" t="n">
        <f aca="false">MIN($F$3-F10,H9)</f>
        <v>963.439819628906</v>
      </c>
      <c r="H10" s="49" t="n">
        <f aca="false">H9-G10</f>
        <v>1143660.63232881</v>
      </c>
      <c r="I10" s="49" t="n">
        <f aca="false">K9*Annahmen!$B$57/12</f>
        <v>8305.79950624533</v>
      </c>
      <c r="J10" s="49" t="n">
        <f aca="false">MIN($I$3-I10,K9)</f>
        <v>2102.55760201489</v>
      </c>
      <c r="K10" s="49" t="n">
        <f aca="false">K9-J10</f>
        <v>2489637.29427158</v>
      </c>
      <c r="L10" s="49" t="n">
        <f aca="false">C10+F10+I10</f>
        <v>13661.0966567408</v>
      </c>
      <c r="M10" s="49" t="n">
        <f aca="false">D10+G10+J10</f>
        <v>4072.26045151938</v>
      </c>
      <c r="N10" s="49" t="n">
        <f aca="false">L10+M10</f>
        <v>17733.3571082602</v>
      </c>
      <c r="O10" s="49" t="n">
        <f aca="false">E10+H10+K10</f>
        <v>4829285.40923024</v>
      </c>
    </row>
    <row r="11" customFormat="false" ht="15" hidden="false" customHeight="false" outlineLevel="0" collapsed="false">
      <c r="A11" s="48" t="n">
        <v>5</v>
      </c>
      <c r="B11" s="48" t="n">
        <f aca="false">ROUNDUP(A11/12,0)</f>
        <v>1</v>
      </c>
      <c r="C11" s="49" t="n">
        <f aca="false">E10*Annahmen!$B$55/12</f>
        <v>2491.64058881218</v>
      </c>
      <c r="D11" s="49" t="n">
        <f aca="false">MIN($C$3-C11,E10)</f>
        <v>1008.35941118782</v>
      </c>
      <c r="E11" s="49" t="n">
        <f aca="false">E10-D11</f>
        <v>1194979.12321866</v>
      </c>
      <c r="F11" s="49" t="n">
        <f aca="false">H10*Annahmen!$B$56/12</f>
        <v>2859.15158082202</v>
      </c>
      <c r="G11" s="49" t="n">
        <f aca="false">MIN($F$3-F11,H10)</f>
        <v>965.848419177978</v>
      </c>
      <c r="H11" s="49" t="n">
        <f aca="false">H10-G11</f>
        <v>1142694.78390963</v>
      </c>
      <c r="I11" s="49" t="n">
        <f aca="false">K10*Annahmen!$B$57/12</f>
        <v>8298.79098090528</v>
      </c>
      <c r="J11" s="49" t="n">
        <f aca="false">MIN($I$3-I11,K10)</f>
        <v>2109.56612735495</v>
      </c>
      <c r="K11" s="49" t="n">
        <f aca="false">K10-J11</f>
        <v>2487527.72814423</v>
      </c>
      <c r="L11" s="49" t="n">
        <f aca="false">C11+F11+I11</f>
        <v>13649.5831505395</v>
      </c>
      <c r="M11" s="49" t="n">
        <f aca="false">D11+G11+J11</f>
        <v>4083.77395772074</v>
      </c>
      <c r="N11" s="49" t="n">
        <f aca="false">L11+M11</f>
        <v>17733.3571082602</v>
      </c>
      <c r="O11" s="49" t="n">
        <f aca="false">E11+H11+K11</f>
        <v>4825201.63527252</v>
      </c>
    </row>
    <row r="12" customFormat="false" ht="15" hidden="false" customHeight="false" outlineLevel="0" collapsed="false">
      <c r="A12" s="48" t="n">
        <v>6</v>
      </c>
      <c r="B12" s="48" t="n">
        <f aca="false">ROUNDUP(A12/12,0)</f>
        <v>1</v>
      </c>
      <c r="C12" s="49" t="n">
        <f aca="false">E11*Annahmen!$B$55/12</f>
        <v>2489.53984003887</v>
      </c>
      <c r="D12" s="49" t="n">
        <f aca="false">MIN($C$3-C12,E11)</f>
        <v>1010.46015996113</v>
      </c>
      <c r="E12" s="49" t="n">
        <f aca="false">E11-D12</f>
        <v>1193968.6630587</v>
      </c>
      <c r="F12" s="49" t="n">
        <f aca="false">H11*Annahmen!$B$56/12</f>
        <v>2856.73695977408</v>
      </c>
      <c r="G12" s="49" t="n">
        <f aca="false">MIN($F$3-F12,H11)</f>
        <v>968.263040225923</v>
      </c>
      <c r="H12" s="49" t="n">
        <f aca="false">H11-G12</f>
        <v>1141726.52086941</v>
      </c>
      <c r="I12" s="49" t="n">
        <f aca="false">K11*Annahmen!$B$57/12</f>
        <v>8291.7590938141</v>
      </c>
      <c r="J12" s="49" t="n">
        <f aca="false">MIN($I$3-I12,K11)</f>
        <v>2116.59801444613</v>
      </c>
      <c r="K12" s="49" t="n">
        <f aca="false">K11-J12</f>
        <v>2485411.13012978</v>
      </c>
      <c r="L12" s="49" t="n">
        <f aca="false">C12+F12+I12</f>
        <v>13638.035893627</v>
      </c>
      <c r="M12" s="49" t="n">
        <f aca="false">D12+G12+J12</f>
        <v>4095.32121463318</v>
      </c>
      <c r="N12" s="49" t="n">
        <f aca="false">L12+M12</f>
        <v>17733.3571082602</v>
      </c>
      <c r="O12" s="49" t="n">
        <f aca="false">E12+H12+K12</f>
        <v>4821106.31405789</v>
      </c>
    </row>
    <row r="13" customFormat="false" ht="15" hidden="false" customHeight="false" outlineLevel="0" collapsed="false">
      <c r="A13" s="48" t="n">
        <v>7</v>
      </c>
      <c r="B13" s="48" t="n">
        <f aca="false">ROUNDUP(A13/12,0)</f>
        <v>1</v>
      </c>
      <c r="C13" s="49" t="n">
        <f aca="false">E12*Annahmen!$B$55/12</f>
        <v>2487.43471470562</v>
      </c>
      <c r="D13" s="49" t="n">
        <f aca="false">MIN($C$3-C13,E12)</f>
        <v>1012.56528529438</v>
      </c>
      <c r="E13" s="49" t="n">
        <f aca="false">E12-D13</f>
        <v>1192956.0977734</v>
      </c>
      <c r="F13" s="49" t="n">
        <f aca="false">H12*Annahmen!$B$56/12</f>
        <v>2854.31630217351</v>
      </c>
      <c r="G13" s="49" t="n">
        <f aca="false">MIN($F$3-F13,H12)</f>
        <v>970.683697826488</v>
      </c>
      <c r="H13" s="49" t="n">
        <f aca="false">H12-G13</f>
        <v>1140755.83717158</v>
      </c>
      <c r="I13" s="49" t="n">
        <f aca="false">K12*Annahmen!$B$57/12</f>
        <v>8284.70376709928</v>
      </c>
      <c r="J13" s="49" t="n">
        <f aca="false">MIN($I$3-I13,K12)</f>
        <v>2123.65334116095</v>
      </c>
      <c r="K13" s="49" t="n">
        <f aca="false">K12-J13</f>
        <v>2483287.47678862</v>
      </c>
      <c r="L13" s="49" t="n">
        <f aca="false">C13+F13+I13</f>
        <v>13626.4547839784</v>
      </c>
      <c r="M13" s="49" t="n">
        <f aca="false">D13+G13+J13</f>
        <v>4106.90232428181</v>
      </c>
      <c r="N13" s="49" t="n">
        <f aca="false">L13+M13</f>
        <v>17733.3571082602</v>
      </c>
      <c r="O13" s="49" t="n">
        <f aca="false">E13+H13+K13</f>
        <v>4816999.41173361</v>
      </c>
    </row>
    <row r="14" customFormat="false" ht="15" hidden="false" customHeight="false" outlineLevel="0" collapsed="false">
      <c r="A14" s="48" t="n">
        <v>8</v>
      </c>
      <c r="B14" s="48" t="n">
        <f aca="false">ROUNDUP(A14/12,0)</f>
        <v>1</v>
      </c>
      <c r="C14" s="49" t="n">
        <f aca="false">E13*Annahmen!$B$55/12</f>
        <v>2485.32520369459</v>
      </c>
      <c r="D14" s="49" t="n">
        <f aca="false">MIN($C$3-C14,E13)</f>
        <v>1014.67479630541</v>
      </c>
      <c r="E14" s="49" t="n">
        <f aca="false">E13-D14</f>
        <v>1191941.4229771</v>
      </c>
      <c r="F14" s="49" t="n">
        <f aca="false">H13*Annahmen!$B$56/12</f>
        <v>2851.88959292895</v>
      </c>
      <c r="G14" s="49" t="n">
        <f aca="false">MIN($F$3-F14,H13)</f>
        <v>973.110407071054</v>
      </c>
      <c r="H14" s="49" t="n">
        <f aca="false">H13-G14</f>
        <v>1139782.72676451</v>
      </c>
      <c r="I14" s="49" t="n">
        <f aca="false">K13*Annahmen!$B$57/12</f>
        <v>8277.62492262874</v>
      </c>
      <c r="J14" s="49" t="n">
        <f aca="false">MIN($I$3-I14,K13)</f>
        <v>2130.73218563148</v>
      </c>
      <c r="K14" s="49" t="n">
        <f aca="false">K13-J14</f>
        <v>2481156.74460299</v>
      </c>
      <c r="L14" s="49" t="n">
        <f aca="false">C14+F14+I14</f>
        <v>13614.8397192523</v>
      </c>
      <c r="M14" s="49" t="n">
        <f aca="false">D14+G14+J14</f>
        <v>4118.51738900795</v>
      </c>
      <c r="N14" s="49" t="n">
        <f aca="false">L14+M14</f>
        <v>17733.3571082602</v>
      </c>
      <c r="O14" s="49" t="n">
        <f aca="false">E14+H14+K14</f>
        <v>4812880.8943446</v>
      </c>
    </row>
    <row r="15" customFormat="false" ht="15" hidden="false" customHeight="false" outlineLevel="0" collapsed="false">
      <c r="A15" s="48" t="n">
        <v>9</v>
      </c>
      <c r="B15" s="48" t="n">
        <f aca="false">ROUNDUP(A15/12,0)</f>
        <v>1</v>
      </c>
      <c r="C15" s="49" t="n">
        <f aca="false">E14*Annahmen!$B$55/12</f>
        <v>2483.21129786896</v>
      </c>
      <c r="D15" s="49" t="n">
        <f aca="false">MIN($C$3-C15,E14)</f>
        <v>1016.78870213105</v>
      </c>
      <c r="E15" s="49" t="n">
        <f aca="false">E14-D15</f>
        <v>1190924.63427497</v>
      </c>
      <c r="F15" s="49" t="n">
        <f aca="false">H14*Annahmen!$B$56/12</f>
        <v>2849.45681691127</v>
      </c>
      <c r="G15" s="49" t="n">
        <f aca="false">MIN($F$3-F15,H14)</f>
        <v>975.543183088732</v>
      </c>
      <c r="H15" s="49" t="n">
        <f aca="false">H14-G15</f>
        <v>1138807.18358142</v>
      </c>
      <c r="I15" s="49" t="n">
        <f aca="false">K14*Annahmen!$B$57/12</f>
        <v>8270.52248200997</v>
      </c>
      <c r="J15" s="49" t="n">
        <f aca="false">MIN($I$3-I15,K14)</f>
        <v>2137.83462625025</v>
      </c>
      <c r="K15" s="49" t="n">
        <f aca="false">K14-J15</f>
        <v>2479018.90997674</v>
      </c>
      <c r="L15" s="49" t="n">
        <f aca="false">C15+F15+I15</f>
        <v>13603.1905967902</v>
      </c>
      <c r="M15" s="49" t="n">
        <f aca="false">D15+G15+J15</f>
        <v>4130.16651147003</v>
      </c>
      <c r="N15" s="49" t="n">
        <f aca="false">L15+M15</f>
        <v>17733.3571082602</v>
      </c>
      <c r="O15" s="49" t="n">
        <f aca="false">E15+H15+K15</f>
        <v>4808750.72783313</v>
      </c>
    </row>
    <row r="16" customFormat="false" ht="15" hidden="false" customHeight="false" outlineLevel="0" collapsed="false">
      <c r="A16" s="48" t="n">
        <v>10</v>
      </c>
      <c r="B16" s="48" t="n">
        <f aca="false">ROUNDUP(A16/12,0)</f>
        <v>1</v>
      </c>
      <c r="C16" s="49" t="n">
        <f aca="false">E15*Annahmen!$B$55/12</f>
        <v>2481.09298807285</v>
      </c>
      <c r="D16" s="49" t="n">
        <f aca="false">MIN($C$3-C16,E15)</f>
        <v>1018.90701192715</v>
      </c>
      <c r="E16" s="49" t="n">
        <f aca="false">E15-D16</f>
        <v>1189905.72726304</v>
      </c>
      <c r="F16" s="49" t="n">
        <f aca="false">H15*Annahmen!$B$56/12</f>
        <v>2847.01795895355</v>
      </c>
      <c r="G16" s="49" t="n">
        <f aca="false">MIN($F$3-F16,H15)</f>
        <v>977.982041046454</v>
      </c>
      <c r="H16" s="49" t="n">
        <f aca="false">H15-G16</f>
        <v>1137829.20154037</v>
      </c>
      <c r="I16" s="49" t="n">
        <f aca="false">K15*Annahmen!$B$57/12</f>
        <v>8263.39636658913</v>
      </c>
      <c r="J16" s="49" t="n">
        <f aca="false">MIN($I$3-I16,K15)</f>
        <v>2144.96074167109</v>
      </c>
      <c r="K16" s="49" t="n">
        <f aca="false">K15-J16</f>
        <v>2476873.94923507</v>
      </c>
      <c r="L16" s="49" t="n">
        <f aca="false">C16+F16+I16</f>
        <v>13591.5073136155</v>
      </c>
      <c r="M16" s="49" t="n">
        <f aca="false">D16+G16+J16</f>
        <v>4141.8497946447</v>
      </c>
      <c r="N16" s="49" t="n">
        <f aca="false">L16+M16</f>
        <v>17733.3571082602</v>
      </c>
      <c r="O16" s="49" t="n">
        <f aca="false">E16+H16+K16</f>
        <v>4804608.87803848</v>
      </c>
    </row>
    <row r="17" customFormat="false" ht="15" hidden="false" customHeight="false" outlineLevel="0" collapsed="false">
      <c r="A17" s="48" t="n">
        <v>11</v>
      </c>
      <c r="B17" s="48" t="n">
        <f aca="false">ROUNDUP(A17/12,0)</f>
        <v>1</v>
      </c>
      <c r="C17" s="49" t="n">
        <f aca="false">E16*Annahmen!$B$55/12</f>
        <v>2478.97026513133</v>
      </c>
      <c r="D17" s="49" t="n">
        <f aca="false">MIN($C$3-C17,E16)</f>
        <v>1021.02973486867</v>
      </c>
      <c r="E17" s="49" t="n">
        <f aca="false">E16-D17</f>
        <v>1188884.69752817</v>
      </c>
      <c r="F17" s="49" t="n">
        <f aca="false">H16*Annahmen!$B$56/12</f>
        <v>2844.57300385093</v>
      </c>
      <c r="G17" s="49" t="n">
        <f aca="false">MIN($F$3-F17,H16)</f>
        <v>980.42699614907</v>
      </c>
      <c r="H17" s="49" t="n">
        <f aca="false">H16-G17</f>
        <v>1136848.77454422</v>
      </c>
      <c r="I17" s="49" t="n">
        <f aca="false">K16*Annahmen!$B$57/12</f>
        <v>8256.24649745023</v>
      </c>
      <c r="J17" s="49" t="n">
        <f aca="false">MIN($I$3-I17,K16)</f>
        <v>2152.11061080999</v>
      </c>
      <c r="K17" s="49" t="n">
        <f aca="false">K16-J17</f>
        <v>2474721.83862426</v>
      </c>
      <c r="L17" s="49" t="n">
        <f aca="false">C17+F17+I17</f>
        <v>13579.7897664325</v>
      </c>
      <c r="M17" s="49" t="n">
        <f aca="false">D17+G17+J17</f>
        <v>4153.56734182773</v>
      </c>
      <c r="N17" s="49" t="n">
        <f aca="false">L17+M17</f>
        <v>17733.3571082602</v>
      </c>
      <c r="O17" s="49" t="n">
        <f aca="false">E17+H17+K17</f>
        <v>4800455.31069665</v>
      </c>
    </row>
    <row r="18" customFormat="false" ht="15" hidden="false" customHeight="false" outlineLevel="0" collapsed="false">
      <c r="A18" s="48" t="n">
        <v>12</v>
      </c>
      <c r="B18" s="48" t="n">
        <f aca="false">ROUNDUP(A18/12,0)</f>
        <v>1</v>
      </c>
      <c r="C18" s="49" t="n">
        <f aca="false">E17*Annahmen!$B$55/12</f>
        <v>2476.84311985036</v>
      </c>
      <c r="D18" s="49" t="n">
        <f aca="false">MIN($C$3-C18,E17)</f>
        <v>1023.15688014964</v>
      </c>
      <c r="E18" s="49" t="n">
        <f aca="false">E17-D18</f>
        <v>1187861.54064802</v>
      </c>
      <c r="F18" s="49" t="n">
        <f aca="false">H17*Annahmen!$B$56/12</f>
        <v>2842.12193636056</v>
      </c>
      <c r="G18" s="49" t="n">
        <f aca="false">MIN($F$3-F18,H17)</f>
        <v>982.878063639443</v>
      </c>
      <c r="H18" s="49" t="n">
        <f aca="false">H17-G18</f>
        <v>1135865.89648058</v>
      </c>
      <c r="I18" s="49" t="n">
        <f aca="false">K17*Annahmen!$B$57/12</f>
        <v>8249.0727954142</v>
      </c>
      <c r="J18" s="49" t="n">
        <f aca="false">MIN($I$3-I18,K17)</f>
        <v>2159.28431284603</v>
      </c>
      <c r="K18" s="49" t="n">
        <f aca="false">K17-J18</f>
        <v>2472562.55431141</v>
      </c>
      <c r="L18" s="49" t="n">
        <f aca="false">C18+F18+I18</f>
        <v>13568.0378516251</v>
      </c>
      <c r="M18" s="49" t="n">
        <f aca="false">D18+G18+J18</f>
        <v>4165.31925663511</v>
      </c>
      <c r="N18" s="49" t="n">
        <f aca="false">L18+M18</f>
        <v>17733.3571082602</v>
      </c>
      <c r="O18" s="49" t="n">
        <f aca="false">E18+H18+K18</f>
        <v>4796289.99144002</v>
      </c>
    </row>
    <row r="19" customFormat="false" ht="15" hidden="false" customHeight="false" outlineLevel="0" collapsed="false">
      <c r="A19" s="48" t="n">
        <v>13</v>
      </c>
      <c r="B19" s="48" t="n">
        <f aca="false">ROUNDUP(A19/12,0)</f>
        <v>2</v>
      </c>
      <c r="C19" s="49" t="n">
        <f aca="false">E18*Annahmen!$B$55/12</f>
        <v>2474.71154301671</v>
      </c>
      <c r="D19" s="49" t="n">
        <f aca="false">MIN($C$3-C19,E18)</f>
        <v>1025.28845698329</v>
      </c>
      <c r="E19" s="49" t="n">
        <f aca="false">E18-D19</f>
        <v>1186836.25219104</v>
      </c>
      <c r="F19" s="49" t="n">
        <f aca="false">H18*Annahmen!$B$56/12</f>
        <v>2839.66474120146</v>
      </c>
      <c r="G19" s="49" t="n">
        <f aca="false">MIN($F$3-F19,H18)</f>
        <v>985.335258798541</v>
      </c>
      <c r="H19" s="49" t="n">
        <f aca="false">H18-G19</f>
        <v>1134880.56122179</v>
      </c>
      <c r="I19" s="49" t="n">
        <f aca="false">K18*Annahmen!$B$57/12</f>
        <v>8241.87518103804</v>
      </c>
      <c r="J19" s="49" t="n">
        <f aca="false">MIN($I$3-I19,K18)</f>
        <v>2166.48192722218</v>
      </c>
      <c r="K19" s="49" t="n">
        <f aca="false">K18-J19</f>
        <v>2470396.07238419</v>
      </c>
      <c r="L19" s="49" t="n">
        <f aca="false">C19+F19+I19</f>
        <v>13556.2514652562</v>
      </c>
      <c r="M19" s="49" t="n">
        <f aca="false">D19+G19+J19</f>
        <v>4177.10564300401</v>
      </c>
      <c r="N19" s="49" t="n">
        <f aca="false">L19+M19</f>
        <v>17733.3571082602</v>
      </c>
      <c r="O19" s="49" t="n">
        <f aca="false">E19+H19+K19</f>
        <v>4792112.88579701</v>
      </c>
    </row>
    <row r="20" customFormat="false" ht="15" hidden="false" customHeight="false" outlineLevel="0" collapsed="false">
      <c r="A20" s="48" t="n">
        <v>14</v>
      </c>
      <c r="B20" s="48" t="n">
        <f aca="false">ROUNDUP(A20/12,0)</f>
        <v>2</v>
      </c>
      <c r="C20" s="49" t="n">
        <f aca="false">E19*Annahmen!$B$55/12</f>
        <v>2472.575525398</v>
      </c>
      <c r="D20" s="49" t="n">
        <f aca="false">MIN($C$3-C20,E19)</f>
        <v>1027.424474602</v>
      </c>
      <c r="E20" s="49" t="n">
        <f aca="false">E19-D20</f>
        <v>1185808.82771644</v>
      </c>
      <c r="F20" s="49" t="n">
        <f aca="false">H19*Annahmen!$B$56/12</f>
        <v>2837.20140305446</v>
      </c>
      <c r="G20" s="49" t="n">
        <f aca="false">MIN($F$3-F20,H19)</f>
        <v>987.798596945537</v>
      </c>
      <c r="H20" s="49" t="n">
        <f aca="false">H19-G20</f>
        <v>1133892.76262484</v>
      </c>
      <c r="I20" s="49" t="n">
        <f aca="false">K19*Annahmen!$B$57/12</f>
        <v>8234.65357461397</v>
      </c>
      <c r="J20" s="49" t="n">
        <f aca="false">MIN($I$3-I20,K19)</f>
        <v>2173.70353364625</v>
      </c>
      <c r="K20" s="49" t="n">
        <f aca="false">K19-J20</f>
        <v>2468222.36885054</v>
      </c>
      <c r="L20" s="49" t="n">
        <f aca="false">C20+F20+I20</f>
        <v>13544.4305030664</v>
      </c>
      <c r="M20" s="49" t="n">
        <f aca="false">D20+G20+J20</f>
        <v>4188.9266051938</v>
      </c>
      <c r="N20" s="49" t="n">
        <f aca="false">L20+M20</f>
        <v>17733.3571082602</v>
      </c>
      <c r="O20" s="49" t="n">
        <f aca="false">E20+H20+K20</f>
        <v>4787923.95919182</v>
      </c>
    </row>
    <row r="21" customFormat="false" ht="15" hidden="false" customHeight="false" outlineLevel="0" collapsed="false">
      <c r="A21" s="48" t="n">
        <v>15</v>
      </c>
      <c r="B21" s="48" t="n">
        <f aca="false">ROUNDUP(A21/12,0)</f>
        <v>2</v>
      </c>
      <c r="C21" s="49" t="n">
        <f aca="false">E20*Annahmen!$B$55/12</f>
        <v>2470.43505774258</v>
      </c>
      <c r="D21" s="49" t="n">
        <f aca="false">MIN($C$3-C21,E20)</f>
        <v>1029.56494225743</v>
      </c>
      <c r="E21" s="49" t="n">
        <f aca="false">E20-D21</f>
        <v>1184779.26277418</v>
      </c>
      <c r="F21" s="49" t="n">
        <f aca="false">H20*Annahmen!$B$56/12</f>
        <v>2834.7319065621</v>
      </c>
      <c r="G21" s="49" t="n">
        <f aca="false">MIN($F$3-F21,H20)</f>
        <v>990.268093437901</v>
      </c>
      <c r="H21" s="49" t="n">
        <f aca="false">H20-G21</f>
        <v>1132902.4945314</v>
      </c>
      <c r="I21" s="49" t="n">
        <f aca="false">K20*Annahmen!$B$57/12</f>
        <v>8227.40789616848</v>
      </c>
      <c r="J21" s="49" t="n">
        <f aca="false">MIN($I$3-I21,K20)</f>
        <v>2180.94921209174</v>
      </c>
      <c r="K21" s="49" t="n">
        <f aca="false">K20-J21</f>
        <v>2466041.41963845</v>
      </c>
      <c r="L21" s="49" t="n">
        <f aca="false">C21+F21+I21</f>
        <v>13532.5748604732</v>
      </c>
      <c r="M21" s="49" t="n">
        <f aca="false">D21+G21+J21</f>
        <v>4200.78224778707</v>
      </c>
      <c r="N21" s="49" t="n">
        <f aca="false">L21+M21</f>
        <v>17733.3571082602</v>
      </c>
      <c r="O21" s="49" t="n">
        <f aca="false">E21+H21+K21</f>
        <v>4783723.17694403</v>
      </c>
    </row>
    <row r="22" customFormat="false" ht="15" hidden="false" customHeight="false" outlineLevel="0" collapsed="false">
      <c r="A22" s="48" t="n">
        <v>16</v>
      </c>
      <c r="B22" s="48" t="n">
        <f aca="false">ROUNDUP(A22/12,0)</f>
        <v>2</v>
      </c>
      <c r="C22" s="49" t="n">
        <f aca="false">E21*Annahmen!$B$55/12</f>
        <v>2468.29013077954</v>
      </c>
      <c r="D22" s="49" t="n">
        <f aca="false">MIN($C$3-C22,E21)</f>
        <v>1031.70986922046</v>
      </c>
      <c r="E22" s="49" t="n">
        <f aca="false">E21-D22</f>
        <v>1183747.55290496</v>
      </c>
      <c r="F22" s="49" t="n">
        <f aca="false">H21*Annahmen!$B$56/12</f>
        <v>2832.2562363285</v>
      </c>
      <c r="G22" s="49" t="n">
        <f aca="false">MIN($F$3-F22,H21)</f>
        <v>992.743763671496</v>
      </c>
      <c r="H22" s="49" t="n">
        <f aca="false">H21-G22</f>
        <v>1131909.75076773</v>
      </c>
      <c r="I22" s="49" t="n">
        <f aca="false">K21*Annahmen!$B$57/12</f>
        <v>8220.13806546151</v>
      </c>
      <c r="J22" s="49" t="n">
        <f aca="false">MIN($I$3-I22,K21)</f>
        <v>2188.21904279872</v>
      </c>
      <c r="K22" s="49" t="n">
        <f aca="false">K21-J22</f>
        <v>2463853.20059565</v>
      </c>
      <c r="L22" s="49" t="n">
        <f aca="false">C22+F22+I22</f>
        <v>13520.6844325696</v>
      </c>
      <c r="M22" s="49" t="n">
        <f aca="false">D22+G22+J22</f>
        <v>4212.67267569067</v>
      </c>
      <c r="N22" s="49" t="n">
        <f aca="false">L22+M22</f>
        <v>17733.3571082602</v>
      </c>
      <c r="O22" s="49" t="n">
        <f aca="false">E22+H22+K22</f>
        <v>4779510.50426834</v>
      </c>
    </row>
    <row r="23" customFormat="false" ht="15" hidden="false" customHeight="false" outlineLevel="0" collapsed="false">
      <c r="A23" s="48" t="n">
        <v>17</v>
      </c>
      <c r="B23" s="48" t="n">
        <f aca="false">ROUNDUP(A23/12,0)</f>
        <v>2</v>
      </c>
      <c r="C23" s="49" t="n">
        <f aca="false">E22*Annahmen!$B$55/12</f>
        <v>2466.14073521866</v>
      </c>
      <c r="D23" s="49" t="n">
        <f aca="false">MIN($C$3-C23,E22)</f>
        <v>1033.85926478134</v>
      </c>
      <c r="E23" s="49" t="n">
        <f aca="false">E22-D23</f>
        <v>1182713.69364018</v>
      </c>
      <c r="F23" s="49" t="n">
        <f aca="false">H22*Annahmen!$B$56/12</f>
        <v>2829.77437691933</v>
      </c>
      <c r="G23" s="49" t="n">
        <f aca="false">MIN($F$3-F23,H22)</f>
        <v>995.225623080675</v>
      </c>
      <c r="H23" s="49" t="n">
        <f aca="false">H22-G23</f>
        <v>1130914.52514465</v>
      </c>
      <c r="I23" s="49" t="n">
        <f aca="false">K22*Annahmen!$B$57/12</f>
        <v>8212.84400198551</v>
      </c>
      <c r="J23" s="49" t="n">
        <f aca="false">MIN($I$3-I23,K22)</f>
        <v>2195.51310627471</v>
      </c>
      <c r="K23" s="49" t="n">
        <f aca="false">K22-J23</f>
        <v>2461657.68748938</v>
      </c>
      <c r="L23" s="49" t="n">
        <f aca="false">C23+F23+I23</f>
        <v>13508.7591141235</v>
      </c>
      <c r="M23" s="49" t="n">
        <f aca="false">D23+G23+J23</f>
        <v>4224.59799413672</v>
      </c>
      <c r="N23" s="49" t="n">
        <f aca="false">L23+M23</f>
        <v>17733.3571082602</v>
      </c>
      <c r="O23" s="49" t="n">
        <f aca="false">E23+H23+K23</f>
        <v>4775285.90627421</v>
      </c>
    </row>
    <row r="24" customFormat="false" ht="15" hidden="false" customHeight="false" outlineLevel="0" collapsed="false">
      <c r="A24" s="48" t="n">
        <v>18</v>
      </c>
      <c r="B24" s="48" t="n">
        <f aca="false">ROUNDUP(A24/12,0)</f>
        <v>2</v>
      </c>
      <c r="C24" s="49" t="n">
        <f aca="false">E23*Annahmen!$B$55/12</f>
        <v>2463.98686175037</v>
      </c>
      <c r="D24" s="49" t="n">
        <f aca="false">MIN($C$3-C24,E23)</f>
        <v>1036.01313824963</v>
      </c>
      <c r="E24" s="49" t="n">
        <f aca="false">E23-D24</f>
        <v>1181677.68050193</v>
      </c>
      <c r="F24" s="49" t="n">
        <f aca="false">H23*Annahmen!$B$56/12</f>
        <v>2827.28631286162</v>
      </c>
      <c r="G24" s="49" t="n">
        <f aca="false">MIN($F$3-F24,H23)</f>
        <v>997.713687138376</v>
      </c>
      <c r="H24" s="49" t="n">
        <f aca="false">H23-G24</f>
        <v>1129916.81145751</v>
      </c>
      <c r="I24" s="49" t="n">
        <f aca="false">K23*Annahmen!$B$57/12</f>
        <v>8205.5256249646</v>
      </c>
      <c r="J24" s="49" t="n">
        <f aca="false">MIN($I$3-I24,K23)</f>
        <v>2202.83148329563</v>
      </c>
      <c r="K24" s="49" t="n">
        <f aca="false">K23-J24</f>
        <v>2459454.85600608</v>
      </c>
      <c r="L24" s="49" t="n">
        <f aca="false">C24+F24+I24</f>
        <v>13496.7987995766</v>
      </c>
      <c r="M24" s="49" t="n">
        <f aca="false">D24+G24+J24</f>
        <v>4236.55830868364</v>
      </c>
      <c r="N24" s="49" t="n">
        <f aca="false">L24+M24</f>
        <v>17733.3571082602</v>
      </c>
      <c r="O24" s="49" t="n">
        <f aca="false">E24+H24+K24</f>
        <v>4771049.34796552</v>
      </c>
    </row>
    <row r="25" customFormat="false" ht="15" hidden="false" customHeight="false" outlineLevel="0" collapsed="false">
      <c r="A25" s="48" t="n">
        <v>19</v>
      </c>
      <c r="B25" s="48" t="n">
        <f aca="false">ROUNDUP(A25/12,0)</f>
        <v>2</v>
      </c>
      <c r="C25" s="49" t="n">
        <f aca="false">E24*Annahmen!$B$55/12</f>
        <v>2461.82850104568</v>
      </c>
      <c r="D25" s="49" t="n">
        <f aca="false">MIN($C$3-C25,E24)</f>
        <v>1038.17149895432</v>
      </c>
      <c r="E25" s="49" t="n">
        <f aca="false">E24-D25</f>
        <v>1180639.50900297</v>
      </c>
      <c r="F25" s="49" t="n">
        <f aca="false">H24*Annahmen!$B$56/12</f>
        <v>2824.79202864378</v>
      </c>
      <c r="G25" s="49" t="n">
        <f aca="false">MIN($F$3-F25,H24)</f>
        <v>1000.20797135622</v>
      </c>
      <c r="H25" s="49" t="n">
        <f aca="false">H24-G25</f>
        <v>1128916.60348616</v>
      </c>
      <c r="I25" s="49" t="n">
        <f aca="false">K24*Annahmen!$B$57/12</f>
        <v>8198.18285335361</v>
      </c>
      <c r="J25" s="49" t="n">
        <f aca="false">MIN($I$3-I25,K24)</f>
        <v>2210.17425490661</v>
      </c>
      <c r="K25" s="49" t="n">
        <f aca="false">K24-J25</f>
        <v>2457244.68175118</v>
      </c>
      <c r="L25" s="49" t="n">
        <f aca="false">C25+F25+I25</f>
        <v>13484.8033830431</v>
      </c>
      <c r="M25" s="49" t="n">
        <f aca="false">D25+G25+J25</f>
        <v>4248.55372521715</v>
      </c>
      <c r="N25" s="49" t="n">
        <f aca="false">L25+M25</f>
        <v>17733.3571082602</v>
      </c>
      <c r="O25" s="49" t="n">
        <f aca="false">E25+H25+K25</f>
        <v>4766800.79424031</v>
      </c>
    </row>
    <row r="26" customFormat="false" ht="15" hidden="false" customHeight="false" outlineLevel="0" collapsed="false">
      <c r="A26" s="48" t="n">
        <v>20</v>
      </c>
      <c r="B26" s="48" t="n">
        <f aca="false">ROUNDUP(A26/12,0)</f>
        <v>2</v>
      </c>
      <c r="C26" s="49" t="n">
        <f aca="false">E25*Annahmen!$B$55/12</f>
        <v>2459.6656437562</v>
      </c>
      <c r="D26" s="49" t="n">
        <f aca="false">MIN($C$3-C26,E25)</f>
        <v>1040.33435624381</v>
      </c>
      <c r="E26" s="49" t="n">
        <f aca="false">E25-D26</f>
        <v>1179599.17464673</v>
      </c>
      <c r="F26" s="49" t="n">
        <f aca="false">H25*Annahmen!$B$56/12</f>
        <v>2822.29150871539</v>
      </c>
      <c r="G26" s="49" t="n">
        <f aca="false">MIN($F$3-F26,H25)</f>
        <v>1002.70849128461</v>
      </c>
      <c r="H26" s="49" t="n">
        <f aca="false">H25-G26</f>
        <v>1127913.89499487</v>
      </c>
      <c r="I26" s="49" t="n">
        <f aca="false">K25*Annahmen!$B$57/12</f>
        <v>8190.81560583725</v>
      </c>
      <c r="J26" s="49" t="n">
        <f aca="false">MIN($I$3-I26,K25)</f>
        <v>2217.54150242297</v>
      </c>
      <c r="K26" s="49" t="n">
        <f aca="false">K25-J26</f>
        <v>2455027.14024875</v>
      </c>
      <c r="L26" s="49" t="n">
        <f aca="false">C26+F26+I26</f>
        <v>13472.7727583088</v>
      </c>
      <c r="M26" s="49" t="n">
        <f aca="false">D26+G26+J26</f>
        <v>4260.58434995139</v>
      </c>
      <c r="N26" s="49" t="n">
        <f aca="false">L26+M26</f>
        <v>17733.3571082602</v>
      </c>
      <c r="O26" s="49" t="n">
        <f aca="false">E26+H26+K26</f>
        <v>4762540.20989035</v>
      </c>
    </row>
    <row r="27" customFormat="false" ht="15" hidden="false" customHeight="false" outlineLevel="0" collapsed="false">
      <c r="A27" s="48" t="n">
        <v>21</v>
      </c>
      <c r="B27" s="48" t="n">
        <f aca="false">ROUNDUP(A27/12,0)</f>
        <v>2</v>
      </c>
      <c r="C27" s="49" t="n">
        <f aca="false">E26*Annahmen!$B$55/12</f>
        <v>2457.49828051402</v>
      </c>
      <c r="D27" s="49" t="n">
        <f aca="false">MIN($C$3-C27,E26)</f>
        <v>1042.50171948598</v>
      </c>
      <c r="E27" s="49" t="n">
        <f aca="false">E26-D27</f>
        <v>1178556.67292724</v>
      </c>
      <c r="F27" s="49" t="n">
        <f aca="false">H26*Annahmen!$B$56/12</f>
        <v>2819.78473748718</v>
      </c>
      <c r="G27" s="49" t="n">
        <f aca="false">MIN($F$3-F27,H26)</f>
        <v>1005.21526251282</v>
      </c>
      <c r="H27" s="49" t="n">
        <f aca="false">H26-G27</f>
        <v>1126908.67973236</v>
      </c>
      <c r="I27" s="49" t="n">
        <f aca="false">K26*Annahmen!$B$57/12</f>
        <v>8183.42380082918</v>
      </c>
      <c r="J27" s="49" t="n">
        <f aca="false">MIN($I$3-I27,K26)</f>
        <v>2224.93330743105</v>
      </c>
      <c r="K27" s="49" t="n">
        <f aca="false">K26-J27</f>
        <v>2452802.20694132</v>
      </c>
      <c r="L27" s="49" t="n">
        <f aca="false">C27+F27+I27</f>
        <v>13460.7068188304</v>
      </c>
      <c r="M27" s="49" t="n">
        <f aca="false">D27+G27+J27</f>
        <v>4272.65028942985</v>
      </c>
      <c r="N27" s="49" t="n">
        <f aca="false">L27+M27</f>
        <v>17733.3571082602</v>
      </c>
      <c r="O27" s="49" t="n">
        <f aca="false">E27+H27+K27</f>
        <v>4758267.55960092</v>
      </c>
    </row>
    <row r="28" customFormat="false" ht="15" hidden="false" customHeight="false" outlineLevel="0" collapsed="false">
      <c r="A28" s="48" t="n">
        <v>22</v>
      </c>
      <c r="B28" s="48" t="n">
        <f aca="false">ROUNDUP(A28/12,0)</f>
        <v>2</v>
      </c>
      <c r="C28" s="49" t="n">
        <f aca="false">E27*Annahmen!$B$55/12</f>
        <v>2455.32640193176</v>
      </c>
      <c r="D28" s="49" t="n">
        <f aca="false">MIN($C$3-C28,E27)</f>
        <v>1044.67359806824</v>
      </c>
      <c r="E28" s="49" t="n">
        <f aca="false">E27-D28</f>
        <v>1177511.99932918</v>
      </c>
      <c r="F28" s="49" t="n">
        <f aca="false">H27*Annahmen!$B$56/12</f>
        <v>2817.27169933089</v>
      </c>
      <c r="G28" s="49" t="n">
        <f aca="false">MIN($F$3-F28,H27)</f>
        <v>1007.72830066911</v>
      </c>
      <c r="H28" s="49" t="n">
        <f aca="false">H27-G28</f>
        <v>1125900.95143169</v>
      </c>
      <c r="I28" s="49" t="n">
        <f aca="false">K27*Annahmen!$B$57/12</f>
        <v>8176.00735647107</v>
      </c>
      <c r="J28" s="49" t="n">
        <f aca="false">MIN($I$3-I28,K27)</f>
        <v>2232.34975178915</v>
      </c>
      <c r="K28" s="49" t="n">
        <f aca="false">K27-J28</f>
        <v>2450569.85718953</v>
      </c>
      <c r="L28" s="49" t="n">
        <f aca="false">C28+F28+I28</f>
        <v>13448.6054577337</v>
      </c>
      <c r="M28" s="49" t="n">
        <f aca="false">D28+G28+J28</f>
        <v>4284.7516505265</v>
      </c>
      <c r="N28" s="49" t="n">
        <f aca="false">L28+M28</f>
        <v>17733.3571082602</v>
      </c>
      <c r="O28" s="49" t="n">
        <f aca="false">E28+H28+K28</f>
        <v>4753982.8079504</v>
      </c>
    </row>
    <row r="29" customFormat="false" ht="15" hidden="false" customHeight="false" outlineLevel="0" collapsed="false">
      <c r="A29" s="48" t="n">
        <v>23</v>
      </c>
      <c r="B29" s="48" t="n">
        <f aca="false">ROUNDUP(A29/12,0)</f>
        <v>2</v>
      </c>
      <c r="C29" s="49" t="n">
        <f aca="false">E28*Annahmen!$B$55/12</f>
        <v>2453.14999860245</v>
      </c>
      <c r="D29" s="49" t="n">
        <f aca="false">MIN($C$3-C29,E28)</f>
        <v>1046.85000139755</v>
      </c>
      <c r="E29" s="49" t="n">
        <f aca="false">E28-D29</f>
        <v>1176465.14932778</v>
      </c>
      <c r="F29" s="49" t="n">
        <f aca="false">H28*Annahmen!$B$56/12</f>
        <v>2814.75237857922</v>
      </c>
      <c r="G29" s="49" t="n">
        <f aca="false">MIN($F$3-F29,H28)</f>
        <v>1010.24762142078</v>
      </c>
      <c r="H29" s="49" t="n">
        <f aca="false">H28-G29</f>
        <v>1124890.70381027</v>
      </c>
      <c r="I29" s="49" t="n">
        <f aca="false">K28*Annahmen!$B$57/12</f>
        <v>8168.56619063178</v>
      </c>
      <c r="J29" s="49" t="n">
        <f aca="false">MIN($I$3-I29,K28)</f>
        <v>2239.79091762845</v>
      </c>
      <c r="K29" s="49" t="n">
        <f aca="false">K28-J29</f>
        <v>2448330.0662719</v>
      </c>
      <c r="L29" s="49" t="n">
        <f aca="false">C29+F29+I29</f>
        <v>13436.4685678134</v>
      </c>
      <c r="M29" s="49" t="n">
        <f aca="false">D29+G29+J29</f>
        <v>4296.88854044678</v>
      </c>
      <c r="N29" s="49" t="n">
        <f aca="false">L29+M29</f>
        <v>17733.3571082602</v>
      </c>
      <c r="O29" s="49" t="n">
        <f aca="false">E29+H29+K29</f>
        <v>4749685.91940995</v>
      </c>
    </row>
    <row r="30" customFormat="false" ht="15" hidden="false" customHeight="false" outlineLevel="0" collapsed="false">
      <c r="A30" s="48" t="n">
        <v>24</v>
      </c>
      <c r="B30" s="48" t="n">
        <f aca="false">ROUNDUP(A30/12,0)</f>
        <v>2</v>
      </c>
      <c r="C30" s="49" t="n">
        <f aca="false">E29*Annahmen!$B$55/12</f>
        <v>2450.96906109954</v>
      </c>
      <c r="D30" s="49" t="n">
        <f aca="false">MIN($C$3-C30,E29)</f>
        <v>1049.03093890046</v>
      </c>
      <c r="E30" s="49" t="n">
        <f aca="false">E29-D30</f>
        <v>1175416.11838888</v>
      </c>
      <c r="F30" s="49" t="n">
        <f aca="false">H29*Annahmen!$B$56/12</f>
        <v>2812.22675952567</v>
      </c>
      <c r="G30" s="49" t="n">
        <f aca="false">MIN($F$3-F30,H29)</f>
        <v>1012.77324047433</v>
      </c>
      <c r="H30" s="49" t="n">
        <f aca="false">H29-G30</f>
        <v>1123877.93056979</v>
      </c>
      <c r="I30" s="49" t="n">
        <f aca="false">K29*Annahmen!$B$57/12</f>
        <v>8161.10022090635</v>
      </c>
      <c r="J30" s="49" t="n">
        <f aca="false">MIN($I$3-I30,K29)</f>
        <v>2247.25688735388</v>
      </c>
      <c r="K30" s="49" t="n">
        <f aca="false">K29-J30</f>
        <v>2446082.80938455</v>
      </c>
      <c r="L30" s="49" t="n">
        <f aca="false">C30+F30+I30</f>
        <v>13424.2960415316</v>
      </c>
      <c r="M30" s="49" t="n">
        <f aca="false">D30+G30+J30</f>
        <v>4309.06106672867</v>
      </c>
      <c r="N30" s="49" t="n">
        <f aca="false">L30+M30</f>
        <v>17733.3571082602</v>
      </c>
      <c r="O30" s="49" t="n">
        <f aca="false">E30+H30+K30</f>
        <v>4745376.85834322</v>
      </c>
    </row>
    <row r="31" customFormat="false" ht="15" hidden="false" customHeight="false" outlineLevel="0" collapsed="false">
      <c r="A31" s="48" t="n">
        <v>25</v>
      </c>
      <c r="B31" s="48" t="n">
        <f aca="false">ROUNDUP(A31/12,0)</f>
        <v>3</v>
      </c>
      <c r="C31" s="49" t="n">
        <f aca="false">E30*Annahmen!$B$55/12</f>
        <v>2448.78357997683</v>
      </c>
      <c r="D31" s="49" t="n">
        <f aca="false">MIN($C$3-C31,E30)</f>
        <v>1051.21642002317</v>
      </c>
      <c r="E31" s="49" t="n">
        <f aca="false">E30-D31</f>
        <v>1174364.90196885</v>
      </c>
      <c r="F31" s="49" t="n">
        <f aca="false">H30*Annahmen!$B$56/12</f>
        <v>2809.69482642448</v>
      </c>
      <c r="G31" s="49" t="n">
        <f aca="false">MIN($F$3-F31,H30)</f>
        <v>1015.30517357552</v>
      </c>
      <c r="H31" s="49" t="n">
        <f aca="false">H30-G31</f>
        <v>1122862.62539622</v>
      </c>
      <c r="I31" s="49" t="n">
        <f aca="false">K30*Annahmen!$B$57/12</f>
        <v>8153.60936461517</v>
      </c>
      <c r="J31" s="49" t="n">
        <f aca="false">MIN($I$3-I31,K30)</f>
        <v>2254.74774364505</v>
      </c>
      <c r="K31" s="49" t="n">
        <f aca="false">K30-J31</f>
        <v>2443828.06164091</v>
      </c>
      <c r="L31" s="49" t="n">
        <f aca="false">C31+F31+I31</f>
        <v>13412.0877710165</v>
      </c>
      <c r="M31" s="49" t="n">
        <f aca="false">D31+G31+J31</f>
        <v>4321.26933724374</v>
      </c>
      <c r="N31" s="49" t="n">
        <f aca="false">L31+M31</f>
        <v>17733.3571082602</v>
      </c>
      <c r="O31" s="49" t="n">
        <f aca="false">E31+H31+K31</f>
        <v>4741055.58900598</v>
      </c>
    </row>
    <row r="32" customFormat="false" ht="15" hidden="false" customHeight="false" outlineLevel="0" collapsed="false">
      <c r="A32" s="48" t="n">
        <v>26</v>
      </c>
      <c r="B32" s="48" t="n">
        <f aca="false">ROUNDUP(A32/12,0)</f>
        <v>3</v>
      </c>
      <c r="C32" s="49" t="n">
        <f aca="false">E31*Annahmen!$B$55/12</f>
        <v>2446.59354576845</v>
      </c>
      <c r="D32" s="49" t="n">
        <f aca="false">MIN($C$3-C32,E31)</f>
        <v>1053.40645423156</v>
      </c>
      <c r="E32" s="49" t="n">
        <f aca="false">E31-D32</f>
        <v>1173311.49551462</v>
      </c>
      <c r="F32" s="49" t="n">
        <f aca="false">H31*Annahmen!$B$56/12</f>
        <v>2807.15656349055</v>
      </c>
      <c r="G32" s="49" t="n">
        <f aca="false">MIN($F$3-F32,H31)</f>
        <v>1017.84343650945</v>
      </c>
      <c r="H32" s="49" t="n">
        <f aca="false">H31-G32</f>
        <v>1121844.78195971</v>
      </c>
      <c r="I32" s="49" t="n">
        <f aca="false">K31*Annahmen!$B$57/12</f>
        <v>8146.09353880302</v>
      </c>
      <c r="J32" s="49" t="n">
        <f aca="false">MIN($I$3-I32,K31)</f>
        <v>2262.2635694572</v>
      </c>
      <c r="K32" s="49" t="n">
        <f aca="false">K31-J32</f>
        <v>2441565.79807145</v>
      </c>
      <c r="L32" s="49" t="n">
        <f aca="false">C32+F32+I32</f>
        <v>13399.843648062</v>
      </c>
      <c r="M32" s="49" t="n">
        <f aca="false">D32+G32+J32</f>
        <v>4333.51346019821</v>
      </c>
      <c r="N32" s="49" t="n">
        <f aca="false">L32+M32</f>
        <v>17733.3571082602</v>
      </c>
      <c r="O32" s="49" t="n">
        <f aca="false">E32+H32+K32</f>
        <v>4736722.07554578</v>
      </c>
    </row>
    <row r="33" customFormat="false" ht="15" hidden="false" customHeight="false" outlineLevel="0" collapsed="false">
      <c r="A33" s="48" t="n">
        <v>27</v>
      </c>
      <c r="B33" s="48" t="n">
        <f aca="false">ROUNDUP(A33/12,0)</f>
        <v>3</v>
      </c>
      <c r="C33" s="49" t="n">
        <f aca="false">E32*Annahmen!$B$55/12</f>
        <v>2444.3989489888</v>
      </c>
      <c r="D33" s="49" t="n">
        <f aca="false">MIN($C$3-C33,E32)</f>
        <v>1055.6010510112</v>
      </c>
      <c r="E33" s="49" t="n">
        <f aca="false">E32-D33</f>
        <v>1172255.89446361</v>
      </c>
      <c r="F33" s="49" t="n">
        <f aca="false">H32*Annahmen!$B$56/12</f>
        <v>2804.61195489927</v>
      </c>
      <c r="G33" s="49" t="n">
        <f aca="false">MIN($F$3-F33,H32)</f>
        <v>1020.38804510073</v>
      </c>
      <c r="H33" s="49" t="n">
        <f aca="false">H32-G33</f>
        <v>1120824.39391461</v>
      </c>
      <c r="I33" s="49" t="n">
        <f aca="false">K32*Annahmen!$B$57/12</f>
        <v>8138.55266023816</v>
      </c>
      <c r="J33" s="49" t="n">
        <f aca="false">MIN($I$3-I33,K32)</f>
        <v>2269.80444802206</v>
      </c>
      <c r="K33" s="49" t="n">
        <f aca="false">K32-J33</f>
        <v>2439295.99362343</v>
      </c>
      <c r="L33" s="49" t="n">
        <f aca="false">C33+F33+I33</f>
        <v>13387.5635641262</v>
      </c>
      <c r="M33" s="49" t="n">
        <f aca="false">D33+G33+J33</f>
        <v>4345.79354413399</v>
      </c>
      <c r="N33" s="49" t="n">
        <f aca="false">L33+M33</f>
        <v>17733.3571082602</v>
      </c>
      <c r="O33" s="49" t="n">
        <f aca="false">E33+H33+K33</f>
        <v>4732376.28200165</v>
      </c>
    </row>
    <row r="34" customFormat="false" ht="15" hidden="false" customHeight="false" outlineLevel="0" collapsed="false">
      <c r="A34" s="48" t="n">
        <v>28</v>
      </c>
      <c r="B34" s="48" t="n">
        <f aca="false">ROUNDUP(A34/12,0)</f>
        <v>3</v>
      </c>
      <c r="C34" s="49" t="n">
        <f aca="false">E33*Annahmen!$B$55/12</f>
        <v>2442.19978013252</v>
      </c>
      <c r="D34" s="49" t="n">
        <f aca="false">MIN($C$3-C34,E33)</f>
        <v>1057.80021986748</v>
      </c>
      <c r="E34" s="49" t="n">
        <f aca="false">E33-D34</f>
        <v>1171198.09424374</v>
      </c>
      <c r="F34" s="49" t="n">
        <f aca="false">H33*Annahmen!$B$56/12</f>
        <v>2802.06098478652</v>
      </c>
      <c r="G34" s="49" t="n">
        <f aca="false">MIN($F$3-F34,H33)</f>
        <v>1022.93901521348</v>
      </c>
      <c r="H34" s="49" t="n">
        <f aca="false">H33-G34</f>
        <v>1119801.45489939</v>
      </c>
      <c r="I34" s="49" t="n">
        <f aca="false">K33*Annahmen!$B$57/12</f>
        <v>8130.98664541142</v>
      </c>
      <c r="J34" s="49" t="n">
        <f aca="false">MIN($I$3-I34,K33)</f>
        <v>2277.3704628488</v>
      </c>
      <c r="K34" s="49" t="n">
        <f aca="false">K33-J34</f>
        <v>2437018.62316058</v>
      </c>
      <c r="L34" s="49" t="n">
        <f aca="false">C34+F34+I34</f>
        <v>13375.2474103305</v>
      </c>
      <c r="M34" s="49" t="n">
        <f aca="false">D34+G34+J34</f>
        <v>4358.10969792976</v>
      </c>
      <c r="N34" s="49" t="n">
        <f aca="false">L34+M34</f>
        <v>17733.3571082602</v>
      </c>
      <c r="O34" s="49" t="n">
        <f aca="false">E34+H34+K34</f>
        <v>4728018.17230372</v>
      </c>
    </row>
    <row r="35" customFormat="false" ht="15" hidden="false" customHeight="false" outlineLevel="0" collapsed="false">
      <c r="A35" s="48" t="n">
        <v>29</v>
      </c>
      <c r="B35" s="48" t="n">
        <f aca="false">ROUNDUP(A35/12,0)</f>
        <v>3</v>
      </c>
      <c r="C35" s="49" t="n">
        <f aca="false">E34*Annahmen!$B$55/12</f>
        <v>2439.99602967447</v>
      </c>
      <c r="D35" s="49" t="n">
        <f aca="false">MIN($C$3-C35,E34)</f>
        <v>1060.00397032553</v>
      </c>
      <c r="E35" s="49" t="n">
        <f aca="false">E34-D35</f>
        <v>1170138.09027342</v>
      </c>
      <c r="F35" s="49" t="n">
        <f aca="false">H34*Annahmen!$B$56/12</f>
        <v>2799.50363724849</v>
      </c>
      <c r="G35" s="49" t="n">
        <f aca="false">MIN($F$3-F35,H34)</f>
        <v>1025.49636275151</v>
      </c>
      <c r="H35" s="49" t="n">
        <f aca="false">H34-G35</f>
        <v>1118775.95853664</v>
      </c>
      <c r="I35" s="49" t="n">
        <f aca="false">K34*Annahmen!$B$57/12</f>
        <v>8123.39541053526</v>
      </c>
      <c r="J35" s="49" t="n">
        <f aca="false">MIN($I$3-I35,K34)</f>
        <v>2284.96169772497</v>
      </c>
      <c r="K35" s="49" t="n">
        <f aca="false">K34-J35</f>
        <v>2434733.66146285</v>
      </c>
      <c r="L35" s="49" t="n">
        <f aca="false">C35+F35+I35</f>
        <v>13362.8950774582</v>
      </c>
      <c r="M35" s="49" t="n">
        <f aca="false">D35+G35+J35</f>
        <v>4370.46203080201</v>
      </c>
      <c r="N35" s="49" t="n">
        <f aca="false">L35+M35</f>
        <v>17733.3571082602</v>
      </c>
      <c r="O35" s="49" t="n">
        <f aca="false">E35+H35+K35</f>
        <v>4723647.71027291</v>
      </c>
    </row>
    <row r="36" customFormat="false" ht="15" hidden="false" customHeight="false" outlineLevel="0" collapsed="false">
      <c r="A36" s="48" t="n">
        <v>30</v>
      </c>
      <c r="B36" s="48" t="n">
        <f aca="false">ROUNDUP(A36/12,0)</f>
        <v>3</v>
      </c>
      <c r="C36" s="49" t="n">
        <f aca="false">E35*Annahmen!$B$55/12</f>
        <v>2437.78768806962</v>
      </c>
      <c r="D36" s="49" t="n">
        <f aca="false">MIN($C$3-C36,E35)</f>
        <v>1062.21231193038</v>
      </c>
      <c r="E36" s="49" t="n">
        <f aca="false">E35-D36</f>
        <v>1169075.87796149</v>
      </c>
      <c r="F36" s="49" t="n">
        <f aca="false">H35*Annahmen!$B$56/12</f>
        <v>2796.93989634161</v>
      </c>
      <c r="G36" s="49" t="n">
        <f aca="false">MIN($F$3-F36,H35)</f>
        <v>1028.06010365839</v>
      </c>
      <c r="H36" s="49" t="n">
        <f aca="false">H35-G36</f>
        <v>1117747.89843298</v>
      </c>
      <c r="I36" s="49" t="n">
        <f aca="false">K35*Annahmen!$B$57/12</f>
        <v>8115.77887154284</v>
      </c>
      <c r="J36" s="49" t="n">
        <f aca="false">MIN($I$3-I36,K35)</f>
        <v>2292.57823671738</v>
      </c>
      <c r="K36" s="49" t="n">
        <f aca="false">K35-J36</f>
        <v>2432441.08322614</v>
      </c>
      <c r="L36" s="49" t="n">
        <f aca="false">C36+F36+I36</f>
        <v>13350.5064559541</v>
      </c>
      <c r="M36" s="49" t="n">
        <f aca="false">D36+G36+J36</f>
        <v>4382.85065230616</v>
      </c>
      <c r="N36" s="49" t="n">
        <f aca="false">L36+M36</f>
        <v>17733.3571082602</v>
      </c>
      <c r="O36" s="49" t="n">
        <f aca="false">E36+H36+K36</f>
        <v>4719264.85962061</v>
      </c>
    </row>
    <row r="37" customFormat="false" ht="15" hidden="false" customHeight="false" outlineLevel="0" collapsed="false">
      <c r="A37" s="48" t="n">
        <v>31</v>
      </c>
      <c r="B37" s="48" t="n">
        <f aca="false">ROUNDUP(A37/12,0)</f>
        <v>3</v>
      </c>
      <c r="C37" s="49" t="n">
        <f aca="false">E36*Annahmen!$B$55/12</f>
        <v>2435.5747457531</v>
      </c>
      <c r="D37" s="49" t="n">
        <f aca="false">MIN($C$3-C37,E36)</f>
        <v>1064.4252542469</v>
      </c>
      <c r="E37" s="49" t="n">
        <f aca="false">E36-D37</f>
        <v>1168011.45270724</v>
      </c>
      <c r="F37" s="49" t="n">
        <f aca="false">H36*Annahmen!$B$56/12</f>
        <v>2794.36974608246</v>
      </c>
      <c r="G37" s="49" t="n">
        <f aca="false">MIN($F$3-F37,H36)</f>
        <v>1030.63025391754</v>
      </c>
      <c r="H37" s="49" t="n">
        <f aca="false">H36-G37</f>
        <v>1116717.26817907</v>
      </c>
      <c r="I37" s="49" t="n">
        <f aca="false">K36*Annahmen!$B$57/12</f>
        <v>8108.13694408712</v>
      </c>
      <c r="J37" s="49" t="n">
        <f aca="false">MIN($I$3-I37,K36)</f>
        <v>2300.22016417311</v>
      </c>
      <c r="K37" s="49" t="n">
        <f aca="false">K36-J37</f>
        <v>2430140.86306196</v>
      </c>
      <c r="L37" s="49" t="n">
        <f aca="false">C37+F37+I37</f>
        <v>13338.0814359227</v>
      </c>
      <c r="M37" s="49" t="n">
        <f aca="false">D37+G37+J37</f>
        <v>4395.27567233755</v>
      </c>
      <c r="N37" s="49" t="n">
        <f aca="false">L37+M37</f>
        <v>17733.3571082602</v>
      </c>
      <c r="O37" s="49" t="n">
        <f aca="false">E37+H37+K37</f>
        <v>4714869.58394827</v>
      </c>
    </row>
    <row r="38" customFormat="false" ht="15" hidden="false" customHeight="false" outlineLevel="0" collapsed="false">
      <c r="A38" s="48" t="n">
        <v>32</v>
      </c>
      <c r="B38" s="48" t="n">
        <f aca="false">ROUNDUP(A38/12,0)</f>
        <v>3</v>
      </c>
      <c r="C38" s="49" t="n">
        <f aca="false">E37*Annahmen!$B$55/12</f>
        <v>2433.35719314009</v>
      </c>
      <c r="D38" s="49" t="n">
        <f aca="false">MIN($C$3-C38,E37)</f>
        <v>1066.64280685992</v>
      </c>
      <c r="E38" s="49" t="n">
        <f aca="false">E37-D38</f>
        <v>1166944.80990038</v>
      </c>
      <c r="F38" s="49" t="n">
        <f aca="false">H37*Annahmen!$B$56/12</f>
        <v>2791.79317044767</v>
      </c>
      <c r="G38" s="49" t="n">
        <f aca="false">MIN($F$3-F38,H37)</f>
        <v>1033.20682955233</v>
      </c>
      <c r="H38" s="49" t="n">
        <f aca="false">H37-G38</f>
        <v>1115684.06134951</v>
      </c>
      <c r="I38" s="49" t="n">
        <f aca="false">K37*Annahmen!$B$57/12</f>
        <v>8100.46954353987</v>
      </c>
      <c r="J38" s="49" t="n">
        <f aca="false">MIN($I$3-I38,K37)</f>
        <v>2307.88756472035</v>
      </c>
      <c r="K38" s="49" t="n">
        <f aca="false">K37-J38</f>
        <v>2427832.97549724</v>
      </c>
      <c r="L38" s="49" t="n">
        <f aca="false">C38+F38+I38</f>
        <v>13325.6199071276</v>
      </c>
      <c r="M38" s="49" t="n">
        <f aca="false">D38+G38+J38</f>
        <v>4407.7372011326</v>
      </c>
      <c r="N38" s="49" t="n">
        <f aca="false">L38+M38</f>
        <v>17733.3571082602</v>
      </c>
      <c r="O38" s="49" t="n">
        <f aca="false">E38+H38+K38</f>
        <v>4710461.84674714</v>
      </c>
    </row>
    <row r="39" customFormat="false" ht="15" hidden="false" customHeight="false" outlineLevel="0" collapsed="false">
      <c r="A39" s="48" t="n">
        <v>33</v>
      </c>
      <c r="B39" s="48" t="n">
        <f aca="false">ROUNDUP(A39/12,0)</f>
        <v>3</v>
      </c>
      <c r="C39" s="49" t="n">
        <f aca="false">E38*Annahmen!$B$55/12</f>
        <v>2431.1350206258</v>
      </c>
      <c r="D39" s="49" t="n">
        <f aca="false">MIN($C$3-C39,E38)</f>
        <v>1068.86497937421</v>
      </c>
      <c r="E39" s="49" t="n">
        <f aca="false">E38-D39</f>
        <v>1165875.94492101</v>
      </c>
      <c r="F39" s="49" t="n">
        <f aca="false">H38*Annahmen!$B$56/12</f>
        <v>2789.21015337379</v>
      </c>
      <c r="G39" s="49" t="n">
        <f aca="false">MIN($F$3-F39,H38)</f>
        <v>1035.78984662621</v>
      </c>
      <c r="H39" s="49" t="n">
        <f aca="false">H38-G39</f>
        <v>1114648.27150289</v>
      </c>
      <c r="I39" s="49" t="n">
        <f aca="false">K38*Annahmen!$B$57/12</f>
        <v>8092.77658499081</v>
      </c>
      <c r="J39" s="49" t="n">
        <f aca="false">MIN($I$3-I39,K38)</f>
        <v>2315.58052326942</v>
      </c>
      <c r="K39" s="49" t="n">
        <f aca="false">K38-J39</f>
        <v>2425517.39497397</v>
      </c>
      <c r="L39" s="49" t="n">
        <f aca="false">C39+F39+I39</f>
        <v>13313.1217589904</v>
      </c>
      <c r="M39" s="49" t="n">
        <f aca="false">D39+G39+J39</f>
        <v>4420.23534926984</v>
      </c>
      <c r="N39" s="49" t="n">
        <f aca="false">L39+M39</f>
        <v>17733.3571082602</v>
      </c>
      <c r="O39" s="49" t="n">
        <f aca="false">E39+H39+K39</f>
        <v>4706041.61139787</v>
      </c>
    </row>
    <row r="40" customFormat="false" ht="15" hidden="false" customHeight="false" outlineLevel="0" collapsed="false">
      <c r="A40" s="48" t="n">
        <v>34</v>
      </c>
      <c r="B40" s="48" t="n">
        <f aca="false">ROUNDUP(A40/12,0)</f>
        <v>3</v>
      </c>
      <c r="C40" s="49" t="n">
        <f aca="false">E39*Annahmen!$B$55/12</f>
        <v>2428.90821858543</v>
      </c>
      <c r="D40" s="49" t="n">
        <f aca="false">MIN($C$3-C40,E39)</f>
        <v>1071.09178141457</v>
      </c>
      <c r="E40" s="49" t="n">
        <f aca="false">E39-D40</f>
        <v>1164804.85313959</v>
      </c>
      <c r="F40" s="49" t="n">
        <f aca="false">H39*Annahmen!$B$56/12</f>
        <v>2786.62067875722</v>
      </c>
      <c r="G40" s="49" t="n">
        <f aca="false">MIN($F$3-F40,H39)</f>
        <v>1038.37932124278</v>
      </c>
      <c r="H40" s="49" t="n">
        <f aca="false">H39-G40</f>
        <v>1113609.89218165</v>
      </c>
      <c r="I40" s="49" t="n">
        <f aca="false">K39*Annahmen!$B$57/12</f>
        <v>8085.05798324658</v>
      </c>
      <c r="J40" s="49" t="n">
        <f aca="false">MIN($I$3-I40,K39)</f>
        <v>2323.29912501365</v>
      </c>
      <c r="K40" s="49" t="n">
        <f aca="false">K39-J40</f>
        <v>2423194.09584896</v>
      </c>
      <c r="L40" s="49" t="n">
        <f aca="false">C40+F40+I40</f>
        <v>13300.5868805892</v>
      </c>
      <c r="M40" s="49" t="n">
        <f aca="false">D40+G40+J40</f>
        <v>4432.770227671</v>
      </c>
      <c r="N40" s="49" t="n">
        <f aca="false">L40+M40</f>
        <v>17733.3571082602</v>
      </c>
      <c r="O40" s="49" t="n">
        <f aca="false">E40+H40+K40</f>
        <v>4701608.8411702</v>
      </c>
    </row>
    <row r="41" customFormat="false" ht="15" hidden="false" customHeight="false" outlineLevel="0" collapsed="false">
      <c r="A41" s="48" t="n">
        <v>35</v>
      </c>
      <c r="B41" s="48" t="n">
        <f aca="false">ROUNDUP(A41/12,0)</f>
        <v>3</v>
      </c>
      <c r="C41" s="49" t="n">
        <f aca="false">E40*Annahmen!$B$55/12</f>
        <v>2426.67677737415</v>
      </c>
      <c r="D41" s="49" t="n">
        <f aca="false">MIN($C$3-C41,E40)</f>
        <v>1073.32322262585</v>
      </c>
      <c r="E41" s="49" t="n">
        <f aca="false">E40-D41</f>
        <v>1163731.52991697</v>
      </c>
      <c r="F41" s="49" t="n">
        <f aca="false">H40*Annahmen!$B$56/12</f>
        <v>2784.02473045412</v>
      </c>
      <c r="G41" s="49" t="n">
        <f aca="false">MIN($F$3-F41,H40)</f>
        <v>1040.97526954589</v>
      </c>
      <c r="H41" s="49" t="n">
        <f aca="false">H40-G41</f>
        <v>1112568.9169121</v>
      </c>
      <c r="I41" s="49" t="n">
        <f aca="false">K40*Annahmen!$B$57/12</f>
        <v>8077.31365282986</v>
      </c>
      <c r="J41" s="49" t="n">
        <f aca="false">MIN($I$3-I41,K40)</f>
        <v>2331.04345543036</v>
      </c>
      <c r="K41" s="49" t="n">
        <f aca="false">K40-J41</f>
        <v>2420863.05239353</v>
      </c>
      <c r="L41" s="49" t="n">
        <f aca="false">C41+F41+I41</f>
        <v>13288.0151606581</v>
      </c>
      <c r="M41" s="49" t="n">
        <f aca="false">D41+G41+J41</f>
        <v>4445.3419476021</v>
      </c>
      <c r="N41" s="49" t="n">
        <f aca="false">L41+M41</f>
        <v>17733.3571082602</v>
      </c>
      <c r="O41" s="49" t="n">
        <f aca="false">E41+H41+K41</f>
        <v>4697163.4992226</v>
      </c>
    </row>
    <row r="42" customFormat="false" ht="15" hidden="false" customHeight="false" outlineLevel="0" collapsed="false">
      <c r="A42" s="48" t="n">
        <v>36</v>
      </c>
      <c r="B42" s="48" t="n">
        <f aca="false">ROUNDUP(A42/12,0)</f>
        <v>3</v>
      </c>
      <c r="C42" s="49" t="n">
        <f aca="false">E41*Annahmen!$B$55/12</f>
        <v>2424.44068732702</v>
      </c>
      <c r="D42" s="49" t="n">
        <f aca="false">MIN($C$3-C42,E41)</f>
        <v>1075.55931267299</v>
      </c>
      <c r="E42" s="49" t="n">
        <f aca="false">E41-D42</f>
        <v>1162655.97060429</v>
      </c>
      <c r="F42" s="49" t="n">
        <f aca="false">H41*Annahmen!$B$56/12</f>
        <v>2781.42229228025</v>
      </c>
      <c r="G42" s="49" t="n">
        <f aca="false">MIN($F$3-F42,H41)</f>
        <v>1043.57770771975</v>
      </c>
      <c r="H42" s="49" t="n">
        <f aca="false">H41-G42</f>
        <v>1111525.33920438</v>
      </c>
      <c r="I42" s="49" t="n">
        <f aca="false">K41*Annahmen!$B$57/12</f>
        <v>8069.54350797843</v>
      </c>
      <c r="J42" s="49" t="n">
        <f aca="false">MIN($I$3-I42,K41)</f>
        <v>2338.8136002818</v>
      </c>
      <c r="K42" s="49" t="n">
        <f aca="false">K41-J42</f>
        <v>2418524.23879325</v>
      </c>
      <c r="L42" s="49" t="n">
        <f aca="false">C42+F42+I42</f>
        <v>13275.4064875857</v>
      </c>
      <c r="M42" s="49" t="n">
        <f aca="false">D42+G42+J42</f>
        <v>4457.95062067453</v>
      </c>
      <c r="N42" s="49" t="n">
        <f aca="false">L42+M42</f>
        <v>17733.3571082602</v>
      </c>
      <c r="O42" s="49" t="n">
        <f aca="false">E42+H42+K42</f>
        <v>4692705.54860192</v>
      </c>
    </row>
    <row r="43" customFormat="false" ht="15" hidden="false" customHeight="false" outlineLevel="0" collapsed="false">
      <c r="A43" s="48" t="n">
        <v>37</v>
      </c>
      <c r="B43" s="48" t="n">
        <f aca="false">ROUNDUP(A43/12,0)</f>
        <v>4</v>
      </c>
      <c r="C43" s="49" t="n">
        <f aca="false">E42*Annahmen!$B$55/12</f>
        <v>2422.19993875895</v>
      </c>
      <c r="D43" s="49" t="n">
        <f aca="false">MIN($C$3-C43,E42)</f>
        <v>1077.80006124106</v>
      </c>
      <c r="E43" s="49" t="n">
        <f aca="false">E42-D43</f>
        <v>1161578.17054305</v>
      </c>
      <c r="F43" s="49" t="n">
        <f aca="false">H42*Annahmen!$B$56/12</f>
        <v>2778.81334801095</v>
      </c>
      <c r="G43" s="49" t="n">
        <f aca="false">MIN($F$3-F43,H42)</f>
        <v>1046.18665198905</v>
      </c>
      <c r="H43" s="49" t="n">
        <f aca="false">H42-G43</f>
        <v>1110479.15255239</v>
      </c>
      <c r="I43" s="49" t="n">
        <f aca="false">K42*Annahmen!$B$57/12</f>
        <v>8061.74746264415</v>
      </c>
      <c r="J43" s="49" t="n">
        <f aca="false">MIN($I$3-I43,K42)</f>
        <v>2346.60964561607</v>
      </c>
      <c r="K43" s="49" t="n">
        <f aca="false">K42-J43</f>
        <v>2416177.62914763</v>
      </c>
      <c r="L43" s="49" t="n">
        <f aca="false">C43+F43+I43</f>
        <v>13262.7607494141</v>
      </c>
      <c r="M43" s="49" t="n">
        <f aca="false">D43+G43+J43</f>
        <v>4470.59635884617</v>
      </c>
      <c r="N43" s="49" t="n">
        <f aca="false">L43+M43</f>
        <v>17733.3571082602</v>
      </c>
      <c r="O43" s="49" t="n">
        <f aca="false">E43+H43+K43</f>
        <v>4688234.95224308</v>
      </c>
    </row>
    <row r="44" customFormat="false" ht="15" hidden="false" customHeight="false" outlineLevel="0" collapsed="false">
      <c r="A44" s="48" t="n">
        <v>38</v>
      </c>
      <c r="B44" s="48" t="n">
        <f aca="false">ROUNDUP(A44/12,0)</f>
        <v>4</v>
      </c>
      <c r="C44" s="49" t="n">
        <f aca="false">E43*Annahmen!$B$55/12</f>
        <v>2419.95452196469</v>
      </c>
      <c r="D44" s="49" t="n">
        <f aca="false">MIN($C$3-C44,E43)</f>
        <v>1080.04547803531</v>
      </c>
      <c r="E44" s="49" t="n">
        <f aca="false">E43-D44</f>
        <v>1160498.12506502</v>
      </c>
      <c r="F44" s="49" t="n">
        <f aca="false">H43*Annahmen!$B$56/12</f>
        <v>2776.19788138098</v>
      </c>
      <c r="G44" s="49" t="n">
        <f aca="false">MIN($F$3-F44,H43)</f>
        <v>1048.80211861902</v>
      </c>
      <c r="H44" s="49" t="n">
        <f aca="false">H43-G44</f>
        <v>1109430.35043377</v>
      </c>
      <c r="I44" s="49" t="n">
        <f aca="false">K43*Annahmen!$B$57/12</f>
        <v>8053.9254304921</v>
      </c>
      <c r="J44" s="49" t="n">
        <f aca="false">MIN($I$3-I44,K43)</f>
        <v>2354.43167776812</v>
      </c>
      <c r="K44" s="49" t="n">
        <f aca="false">K43-J44</f>
        <v>2413823.19746986</v>
      </c>
      <c r="L44" s="49" t="n">
        <f aca="false">C44+F44+I44</f>
        <v>13250.0778338378</v>
      </c>
      <c r="M44" s="49" t="n">
        <f aca="false">D44+G44+J44</f>
        <v>4483.27927442245</v>
      </c>
      <c r="N44" s="49" t="n">
        <f aca="false">L44+M44</f>
        <v>17733.3571082602</v>
      </c>
      <c r="O44" s="49" t="n">
        <f aca="false">E44+H44+K44</f>
        <v>4683751.67296865</v>
      </c>
    </row>
    <row r="45" customFormat="false" ht="15" hidden="false" customHeight="false" outlineLevel="0" collapsed="false">
      <c r="A45" s="48" t="n">
        <v>39</v>
      </c>
      <c r="B45" s="48" t="n">
        <f aca="false">ROUNDUP(A45/12,0)</f>
        <v>4</v>
      </c>
      <c r="C45" s="49" t="n">
        <f aca="false">E44*Annahmen!$B$55/12</f>
        <v>2417.70442721879</v>
      </c>
      <c r="D45" s="49" t="n">
        <f aca="false">MIN($C$3-C45,E44)</f>
        <v>1082.29557278121</v>
      </c>
      <c r="E45" s="49" t="n">
        <f aca="false">E44-D45</f>
        <v>1159415.82949224</v>
      </c>
      <c r="F45" s="49" t="n">
        <f aca="false">H44*Annahmen!$B$56/12</f>
        <v>2773.57587608443</v>
      </c>
      <c r="G45" s="49" t="n">
        <f aca="false">MIN($F$3-F45,H44)</f>
        <v>1051.42412391557</v>
      </c>
      <c r="H45" s="49" t="n">
        <f aca="false">H44-G45</f>
        <v>1108378.92630986</v>
      </c>
      <c r="I45" s="49" t="n">
        <f aca="false">K44*Annahmen!$B$57/12</f>
        <v>8046.07732489954</v>
      </c>
      <c r="J45" s="49" t="n">
        <f aca="false">MIN($I$3-I45,K44)</f>
        <v>2362.27978336068</v>
      </c>
      <c r="K45" s="49" t="n">
        <f aca="false">K44-J45</f>
        <v>2411460.9176865</v>
      </c>
      <c r="L45" s="49" t="n">
        <f aca="false">C45+F45+I45</f>
        <v>13237.3576282028</v>
      </c>
      <c r="M45" s="49" t="n">
        <f aca="false">D45+G45+J45</f>
        <v>4495.99948005747</v>
      </c>
      <c r="N45" s="49" t="n">
        <f aca="false">L45+M45</f>
        <v>17733.3571082602</v>
      </c>
      <c r="O45" s="49" t="n">
        <f aca="false">E45+H45+K45</f>
        <v>4679255.6734886</v>
      </c>
    </row>
    <row r="46" customFormat="false" ht="15" hidden="false" customHeight="false" outlineLevel="0" collapsed="false">
      <c r="A46" s="48" t="n">
        <v>40</v>
      </c>
      <c r="B46" s="48" t="n">
        <f aca="false">ROUNDUP(A46/12,0)</f>
        <v>4</v>
      </c>
      <c r="C46" s="49" t="n">
        <f aca="false">E45*Annahmen!$B$55/12</f>
        <v>2415.44964477549</v>
      </c>
      <c r="D46" s="49" t="n">
        <f aca="false">MIN($C$3-C46,E45)</f>
        <v>1084.55035522451</v>
      </c>
      <c r="E46" s="49" t="n">
        <f aca="false">E45-D46</f>
        <v>1158331.27913701</v>
      </c>
      <c r="F46" s="49" t="n">
        <f aca="false">H45*Annahmen!$B$56/12</f>
        <v>2770.94731577464</v>
      </c>
      <c r="G46" s="49" t="n">
        <f aca="false">MIN($F$3-F46,H45)</f>
        <v>1054.05268422536</v>
      </c>
      <c r="H46" s="49" t="n">
        <f aca="false">H45-G46</f>
        <v>1107324.87362563</v>
      </c>
      <c r="I46" s="49" t="n">
        <f aca="false">K45*Annahmen!$B$57/12</f>
        <v>8038.20305895501</v>
      </c>
      <c r="J46" s="49" t="n">
        <f aca="false">MIN($I$3-I46,K45)</f>
        <v>2370.15404930522</v>
      </c>
      <c r="K46" s="49" t="n">
        <f aca="false">K45-J46</f>
        <v>2409090.7636372</v>
      </c>
      <c r="L46" s="49" t="n">
        <f aca="false">C46+F46+I46</f>
        <v>13224.6000195051</v>
      </c>
      <c r="M46" s="49" t="n">
        <f aca="false">D46+G46+J46</f>
        <v>4508.75708875509</v>
      </c>
      <c r="N46" s="49" t="n">
        <f aca="false">L46+M46</f>
        <v>17733.3571082602</v>
      </c>
      <c r="O46" s="49" t="n">
        <f aca="false">E46+H46+K46</f>
        <v>4674746.91639984</v>
      </c>
    </row>
    <row r="47" customFormat="false" ht="15" hidden="false" customHeight="false" outlineLevel="0" collapsed="false">
      <c r="A47" s="48" t="n">
        <v>41</v>
      </c>
      <c r="B47" s="48" t="n">
        <f aca="false">ROUNDUP(A47/12,0)</f>
        <v>4</v>
      </c>
      <c r="C47" s="49" t="n">
        <f aca="false">E46*Annahmen!$B$55/12</f>
        <v>2413.19016486878</v>
      </c>
      <c r="D47" s="49" t="n">
        <f aca="false">MIN($C$3-C47,E46)</f>
        <v>1086.80983513123</v>
      </c>
      <c r="E47" s="49" t="n">
        <f aca="false">E46-D47</f>
        <v>1157244.46930188</v>
      </c>
      <c r="F47" s="49" t="n">
        <f aca="false">H46*Annahmen!$B$56/12</f>
        <v>2768.31218406408</v>
      </c>
      <c r="G47" s="49" t="n">
        <f aca="false">MIN($F$3-F47,H46)</f>
        <v>1056.68781593592</v>
      </c>
      <c r="H47" s="49" t="n">
        <f aca="false">H46-G47</f>
        <v>1106268.1858097</v>
      </c>
      <c r="I47" s="49" t="n">
        <f aca="false">K46*Annahmen!$B$57/12</f>
        <v>8030.30254545732</v>
      </c>
      <c r="J47" s="49" t="n">
        <f aca="false">MIN($I$3-I47,K46)</f>
        <v>2378.0545628029</v>
      </c>
      <c r="K47" s="49" t="n">
        <f aca="false">K46-J47</f>
        <v>2406712.70907439</v>
      </c>
      <c r="L47" s="49" t="n">
        <f aca="false">C47+F47+I47</f>
        <v>13211.8048943902</v>
      </c>
      <c r="M47" s="49" t="n">
        <f aca="false">D47+G47+J47</f>
        <v>4521.55221387005</v>
      </c>
      <c r="N47" s="49" t="n">
        <f aca="false">L47+M47</f>
        <v>17733.3571082602</v>
      </c>
      <c r="O47" s="49" t="n">
        <f aca="false">E47+H47+K47</f>
        <v>4670225.36418597</v>
      </c>
    </row>
    <row r="48" customFormat="false" ht="15" hidden="false" customHeight="false" outlineLevel="0" collapsed="false">
      <c r="A48" s="48" t="n">
        <v>42</v>
      </c>
      <c r="B48" s="48" t="n">
        <f aca="false">ROUNDUP(A48/12,0)</f>
        <v>4</v>
      </c>
      <c r="C48" s="49" t="n">
        <f aca="false">E47*Annahmen!$B$55/12</f>
        <v>2410.92597771225</v>
      </c>
      <c r="D48" s="49" t="n">
        <f aca="false">MIN($C$3-C48,E47)</f>
        <v>1089.07402228775</v>
      </c>
      <c r="E48" s="49" t="n">
        <f aca="false">E47-D48</f>
        <v>1156155.39527959</v>
      </c>
      <c r="F48" s="49" t="n">
        <f aca="false">H47*Annahmen!$B$56/12</f>
        <v>2765.67046452424</v>
      </c>
      <c r="G48" s="49" t="n">
        <f aca="false">MIN($F$3-F48,H47)</f>
        <v>1059.32953547576</v>
      </c>
      <c r="H48" s="49" t="n">
        <f aca="false">H47-G48</f>
        <v>1105208.85627422</v>
      </c>
      <c r="I48" s="49" t="n">
        <f aca="false">K47*Annahmen!$B$57/12</f>
        <v>8022.37569691465</v>
      </c>
      <c r="J48" s="49" t="n">
        <f aca="false">MIN($I$3-I48,K47)</f>
        <v>2385.98141134558</v>
      </c>
      <c r="K48" s="49" t="n">
        <f aca="false">K47-J48</f>
        <v>2404326.72766305</v>
      </c>
      <c r="L48" s="49" t="n">
        <f aca="false">C48+F48+I48</f>
        <v>13198.9721391511</v>
      </c>
      <c r="M48" s="49" t="n">
        <f aca="false">D48+G48+J48</f>
        <v>4534.38496910909</v>
      </c>
      <c r="N48" s="49" t="n">
        <f aca="false">L48+M48</f>
        <v>17733.3571082602</v>
      </c>
      <c r="O48" s="49" t="n">
        <f aca="false">E48+H48+K48</f>
        <v>4665690.97921686</v>
      </c>
    </row>
    <row r="49" customFormat="false" ht="15" hidden="false" customHeight="false" outlineLevel="0" collapsed="false">
      <c r="A49" s="48" t="n">
        <v>43</v>
      </c>
      <c r="B49" s="48" t="n">
        <f aca="false">ROUNDUP(A49/12,0)</f>
        <v>4</v>
      </c>
      <c r="C49" s="49" t="n">
        <f aca="false">E48*Annahmen!$B$55/12</f>
        <v>2408.65707349915</v>
      </c>
      <c r="D49" s="49" t="n">
        <f aca="false">MIN($C$3-C49,E48)</f>
        <v>1091.34292650085</v>
      </c>
      <c r="E49" s="49" t="n">
        <f aca="false">E48-D49</f>
        <v>1155064.05235309</v>
      </c>
      <c r="F49" s="49" t="n">
        <f aca="false">H48*Annahmen!$B$56/12</f>
        <v>2763.02214068555</v>
      </c>
      <c r="G49" s="49" t="n">
        <f aca="false">MIN($F$3-F49,H48)</f>
        <v>1061.97785931445</v>
      </c>
      <c r="H49" s="49" t="n">
        <f aca="false">H48-G49</f>
        <v>1104146.87841491</v>
      </c>
      <c r="I49" s="49" t="n">
        <f aca="false">K48*Annahmen!$B$57/12</f>
        <v>8014.42242554349</v>
      </c>
      <c r="J49" s="49" t="n">
        <f aca="false">MIN($I$3-I49,K48)</f>
        <v>2393.93468271673</v>
      </c>
      <c r="K49" s="49" t="n">
        <f aca="false">K48-J49</f>
        <v>2401932.79298033</v>
      </c>
      <c r="L49" s="49" t="n">
        <f aca="false">C49+F49+I49</f>
        <v>13186.1016397282</v>
      </c>
      <c r="M49" s="49" t="n">
        <f aca="false">D49+G49+J49</f>
        <v>4547.25546853203</v>
      </c>
      <c r="N49" s="49" t="n">
        <f aca="false">L49+M49</f>
        <v>17733.3571082602</v>
      </c>
      <c r="O49" s="49" t="n">
        <f aca="false">E49+H49+K49</f>
        <v>4661143.72374833</v>
      </c>
    </row>
    <row r="50" customFormat="false" ht="15" hidden="false" customHeight="false" outlineLevel="0" collapsed="false">
      <c r="A50" s="48" t="n">
        <v>44</v>
      </c>
      <c r="B50" s="48" t="n">
        <f aca="false">ROUNDUP(A50/12,0)</f>
        <v>4</v>
      </c>
      <c r="C50" s="49" t="n">
        <f aca="false">E49*Annahmen!$B$55/12</f>
        <v>2406.38344240228</v>
      </c>
      <c r="D50" s="49" t="n">
        <f aca="false">MIN($C$3-C50,E49)</f>
        <v>1093.61655759773</v>
      </c>
      <c r="E50" s="49" t="n">
        <f aca="false">E49-D50</f>
        <v>1153970.43579549</v>
      </c>
      <c r="F50" s="49" t="n">
        <f aca="false">H49*Annahmen!$B$56/12</f>
        <v>2760.36719603726</v>
      </c>
      <c r="G50" s="49" t="n">
        <f aca="false">MIN($F$3-F50,H49)</f>
        <v>1064.63280396274</v>
      </c>
      <c r="H50" s="49" t="n">
        <f aca="false">H49-G50</f>
        <v>1103082.24561094</v>
      </c>
      <c r="I50" s="49" t="n">
        <f aca="false">K49*Annahmen!$B$57/12</f>
        <v>8006.44264326777</v>
      </c>
      <c r="J50" s="49" t="n">
        <f aca="false">MIN($I$3-I50,K49)</f>
        <v>2401.91446499245</v>
      </c>
      <c r="K50" s="49" t="n">
        <f aca="false">K49-J50</f>
        <v>2399530.87851534</v>
      </c>
      <c r="L50" s="49" t="n">
        <f aca="false">C50+F50+I50</f>
        <v>13173.1932817073</v>
      </c>
      <c r="M50" s="49" t="n">
        <f aca="false">D50+G50+J50</f>
        <v>4560.16382655291</v>
      </c>
      <c r="N50" s="49" t="n">
        <f aca="false">L50+M50</f>
        <v>17733.3571082602</v>
      </c>
      <c r="O50" s="49" t="n">
        <f aca="false">E50+H50+K50</f>
        <v>4656583.55992178</v>
      </c>
    </row>
    <row r="51" customFormat="false" ht="15" hidden="false" customHeight="false" outlineLevel="0" collapsed="false">
      <c r="A51" s="48" t="n">
        <v>45</v>
      </c>
      <c r="B51" s="48" t="n">
        <f aca="false">ROUNDUP(A51/12,0)</f>
        <v>4</v>
      </c>
      <c r="C51" s="49" t="n">
        <f aca="false">E50*Annahmen!$B$55/12</f>
        <v>2404.10507457395</v>
      </c>
      <c r="D51" s="49" t="n">
        <f aca="false">MIN($C$3-C51,E50)</f>
        <v>1095.89492542605</v>
      </c>
      <c r="E51" s="49" t="n">
        <f aca="false">E50-D51</f>
        <v>1152874.54087007</v>
      </c>
      <c r="F51" s="49" t="n">
        <f aca="false">H50*Annahmen!$B$56/12</f>
        <v>2757.70561402736</v>
      </c>
      <c r="G51" s="49" t="n">
        <f aca="false">MIN($F$3-F51,H50)</f>
        <v>1067.29438597264</v>
      </c>
      <c r="H51" s="49" t="n">
        <f aca="false">H50-G51</f>
        <v>1102014.95122497</v>
      </c>
      <c r="I51" s="49" t="n">
        <f aca="false">K50*Annahmen!$B$57/12</f>
        <v>7998.4362617178</v>
      </c>
      <c r="J51" s="49" t="n">
        <f aca="false">MIN($I$3-I51,K50)</f>
        <v>2409.92084654243</v>
      </c>
      <c r="K51" s="49" t="n">
        <f aca="false">K50-J51</f>
        <v>2397120.9576688</v>
      </c>
      <c r="L51" s="49" t="n">
        <f aca="false">C51+F51+I51</f>
        <v>13160.2469503191</v>
      </c>
      <c r="M51" s="49" t="n">
        <f aca="false">D51+G51+J51</f>
        <v>4573.11015794113</v>
      </c>
      <c r="N51" s="49" t="n">
        <f aca="false">L51+M51</f>
        <v>17733.3571082602</v>
      </c>
      <c r="O51" s="49" t="n">
        <f aca="false">E51+H51+K51</f>
        <v>4652010.44976383</v>
      </c>
    </row>
    <row r="52" customFormat="false" ht="15" hidden="false" customHeight="false" outlineLevel="0" collapsed="false">
      <c r="A52" s="48" t="n">
        <v>46</v>
      </c>
      <c r="B52" s="48" t="n">
        <f aca="false">ROUNDUP(A52/12,0)</f>
        <v>4</v>
      </c>
      <c r="C52" s="49" t="n">
        <f aca="false">E51*Annahmen!$B$55/12</f>
        <v>2401.82196014598</v>
      </c>
      <c r="D52" s="49" t="n">
        <f aca="false">MIN($C$3-C52,E51)</f>
        <v>1098.17803985403</v>
      </c>
      <c r="E52" s="49" t="n">
        <f aca="false">E51-D52</f>
        <v>1151776.36283021</v>
      </c>
      <c r="F52" s="49" t="n">
        <f aca="false">H51*Annahmen!$B$56/12</f>
        <v>2755.03737806243</v>
      </c>
      <c r="G52" s="49" t="n">
        <f aca="false">MIN($F$3-F52,H51)</f>
        <v>1069.96262193758</v>
      </c>
      <c r="H52" s="49" t="n">
        <f aca="false">H51-G52</f>
        <v>1100944.98860303</v>
      </c>
      <c r="I52" s="49" t="n">
        <f aca="false">K51*Annahmen!$B$57/12</f>
        <v>7990.40319222932</v>
      </c>
      <c r="J52" s="49" t="n">
        <f aca="false">MIN($I$3-I52,K51)</f>
        <v>2417.9539160309</v>
      </c>
      <c r="K52" s="49" t="n">
        <f aca="false">K51-J52</f>
        <v>2394703.00375277</v>
      </c>
      <c r="L52" s="49" t="n">
        <f aca="false">C52+F52+I52</f>
        <v>13147.2625304377</v>
      </c>
      <c r="M52" s="49" t="n">
        <f aca="false">D52+G52+J52</f>
        <v>4586.0945778225</v>
      </c>
      <c r="N52" s="49" t="n">
        <f aca="false">L52+M52</f>
        <v>17733.3571082602</v>
      </c>
      <c r="O52" s="49" t="n">
        <f aca="false">E52+H52+K52</f>
        <v>4647424.35518601</v>
      </c>
    </row>
    <row r="53" customFormat="false" ht="15" hidden="false" customHeight="false" outlineLevel="0" collapsed="false">
      <c r="A53" s="48" t="n">
        <v>47</v>
      </c>
      <c r="B53" s="48" t="n">
        <f aca="false">ROUNDUP(A53/12,0)</f>
        <v>4</v>
      </c>
      <c r="C53" s="49" t="n">
        <f aca="false">E52*Annahmen!$B$55/12</f>
        <v>2399.53408922961</v>
      </c>
      <c r="D53" s="49" t="n">
        <f aca="false">MIN($C$3-C53,E52)</f>
        <v>1100.46591077039</v>
      </c>
      <c r="E53" s="49" t="n">
        <f aca="false">E52-D53</f>
        <v>1150675.89691944</v>
      </c>
      <c r="F53" s="49" t="n">
        <f aca="false">H52*Annahmen!$B$56/12</f>
        <v>2752.36247150758</v>
      </c>
      <c r="G53" s="49" t="n">
        <f aca="false">MIN($F$3-F53,H52)</f>
        <v>1072.63752849242</v>
      </c>
      <c r="H53" s="49" t="n">
        <f aca="false">H52-G53</f>
        <v>1099872.35107454</v>
      </c>
      <c r="I53" s="49" t="n">
        <f aca="false">K52*Annahmen!$B$57/12</f>
        <v>7982.34334584255</v>
      </c>
      <c r="J53" s="49" t="n">
        <f aca="false">MIN($I$3-I53,K52)</f>
        <v>2426.01376241767</v>
      </c>
      <c r="K53" s="49" t="n">
        <f aca="false">K52-J53</f>
        <v>2392276.98999035</v>
      </c>
      <c r="L53" s="49" t="n">
        <f aca="false">C53+F53+I53</f>
        <v>13134.2399065797</v>
      </c>
      <c r="M53" s="49" t="n">
        <f aca="false">D53+G53+J53</f>
        <v>4599.11720168048</v>
      </c>
      <c r="N53" s="49" t="n">
        <f aca="false">L53+M53</f>
        <v>17733.3571082602</v>
      </c>
      <c r="O53" s="49" t="n">
        <f aca="false">E53+H53+K53</f>
        <v>4642825.23798433</v>
      </c>
    </row>
    <row r="54" customFormat="false" ht="15" hidden="false" customHeight="false" outlineLevel="0" collapsed="false">
      <c r="A54" s="48" t="n">
        <v>48</v>
      </c>
      <c r="B54" s="48" t="n">
        <f aca="false">ROUNDUP(A54/12,0)</f>
        <v>4</v>
      </c>
      <c r="C54" s="49" t="n">
        <f aca="false">E53*Annahmen!$B$55/12</f>
        <v>2397.24145191551</v>
      </c>
      <c r="D54" s="49" t="n">
        <f aca="false">MIN($C$3-C54,E53)</f>
        <v>1102.75854808449</v>
      </c>
      <c r="E54" s="49" t="n">
        <f aca="false">E53-D54</f>
        <v>1149573.13837136</v>
      </c>
      <c r="F54" s="49" t="n">
        <f aca="false">H53*Annahmen!$B$56/12</f>
        <v>2749.68087768635</v>
      </c>
      <c r="G54" s="49" t="n">
        <f aca="false">MIN($F$3-F54,H53)</f>
        <v>1075.31912231365</v>
      </c>
      <c r="H54" s="49" t="n">
        <f aca="false">H53-G54</f>
        <v>1098797.03195223</v>
      </c>
      <c r="I54" s="49" t="n">
        <f aca="false">K53*Annahmen!$B$57/12</f>
        <v>7974.25663330116</v>
      </c>
      <c r="J54" s="49" t="n">
        <f aca="false">MIN($I$3-I54,K53)</f>
        <v>2434.10047495906</v>
      </c>
      <c r="K54" s="49" t="n">
        <f aca="false">K53-J54</f>
        <v>2389842.88951539</v>
      </c>
      <c r="L54" s="49" t="n">
        <f aca="false">C54+F54+I54</f>
        <v>13121.178962903</v>
      </c>
      <c r="M54" s="49" t="n">
        <f aca="false">D54+G54+J54</f>
        <v>4612.17814535721</v>
      </c>
      <c r="N54" s="49" t="n">
        <f aca="false">L54+M54</f>
        <v>17733.3571082602</v>
      </c>
      <c r="O54" s="49" t="n">
        <f aca="false">E54+H54+K54</f>
        <v>4638213.05983898</v>
      </c>
    </row>
    <row r="55" customFormat="false" ht="15" hidden="false" customHeight="false" outlineLevel="0" collapsed="false">
      <c r="A55" s="48" t="n">
        <v>49</v>
      </c>
      <c r="B55" s="48" t="n">
        <f aca="false">ROUNDUP(A55/12,0)</f>
        <v>5</v>
      </c>
      <c r="C55" s="49" t="n">
        <f aca="false">E54*Annahmen!$B$55/12</f>
        <v>2394.94403827367</v>
      </c>
      <c r="D55" s="49" t="n">
        <f aca="false">MIN($C$3-C55,E54)</f>
        <v>1105.05596172634</v>
      </c>
      <c r="E55" s="49" t="n">
        <f aca="false">E54-D55</f>
        <v>1148468.08240963</v>
      </c>
      <c r="F55" s="49" t="n">
        <f aca="false">H54*Annahmen!$B$56/12</f>
        <v>2746.99257988057</v>
      </c>
      <c r="G55" s="49" t="n">
        <f aca="false">MIN($F$3-F55,H54)</f>
        <v>1078.00742011943</v>
      </c>
      <c r="H55" s="49" t="n">
        <f aca="false">H54-G55</f>
        <v>1097719.02453211</v>
      </c>
      <c r="I55" s="49" t="n">
        <f aca="false">K54*Annahmen!$B$57/12</f>
        <v>7966.1429650513</v>
      </c>
      <c r="J55" s="49" t="n">
        <f aca="false">MIN($I$3-I55,K54)</f>
        <v>2442.21414320893</v>
      </c>
      <c r="K55" s="49" t="n">
        <f aca="false">K54-J55</f>
        <v>2387400.67537218</v>
      </c>
      <c r="L55" s="49" t="n">
        <f aca="false">C55+F55+I55</f>
        <v>13108.0795832055</v>
      </c>
      <c r="M55" s="49" t="n">
        <f aca="false">D55+G55+J55</f>
        <v>4625.2775250547</v>
      </c>
      <c r="N55" s="49" t="n">
        <f aca="false">L55+M55</f>
        <v>17733.3571082602</v>
      </c>
      <c r="O55" s="49" t="n">
        <f aca="false">E55+H55+K55</f>
        <v>4633587.78231392</v>
      </c>
    </row>
    <row r="56" customFormat="false" ht="15" hidden="false" customHeight="false" outlineLevel="0" collapsed="false">
      <c r="A56" s="48" t="n">
        <v>50</v>
      </c>
      <c r="B56" s="48" t="n">
        <f aca="false">ROUNDUP(A56/12,0)</f>
        <v>5</v>
      </c>
      <c r="C56" s="49" t="n">
        <f aca="false">E55*Annahmen!$B$55/12</f>
        <v>2392.6418383534</v>
      </c>
      <c r="D56" s="49" t="n">
        <f aca="false">MIN($C$3-C56,E55)</f>
        <v>1107.3581616466</v>
      </c>
      <c r="E56" s="49" t="n">
        <f aca="false">E55-D56</f>
        <v>1147360.72424799</v>
      </c>
      <c r="F56" s="49" t="n">
        <f aca="false">H55*Annahmen!$B$56/12</f>
        <v>2744.29756133027</v>
      </c>
      <c r="G56" s="49" t="n">
        <f aca="false">MIN($F$3-F56,H55)</f>
        <v>1080.70243866973</v>
      </c>
      <c r="H56" s="49" t="n">
        <f aca="false">H55-G56</f>
        <v>1096638.32209344</v>
      </c>
      <c r="I56" s="49" t="n">
        <f aca="false">K55*Annahmen!$B$57/12</f>
        <v>7958.0022512406</v>
      </c>
      <c r="J56" s="49" t="n">
        <f aca="false">MIN($I$3-I56,K55)</f>
        <v>2450.35485701963</v>
      </c>
      <c r="K56" s="49" t="n">
        <f aca="false">K55-J56</f>
        <v>2384950.32051516</v>
      </c>
      <c r="L56" s="49" t="n">
        <f aca="false">C56+F56+I56</f>
        <v>13094.9416509243</v>
      </c>
      <c r="M56" s="49" t="n">
        <f aca="false">D56+G56+J56</f>
        <v>4638.41545733596</v>
      </c>
      <c r="N56" s="49" t="n">
        <f aca="false">L56+M56</f>
        <v>17733.3571082602</v>
      </c>
      <c r="O56" s="49" t="n">
        <f aca="false">E56+H56+K56</f>
        <v>4628949.36685658</v>
      </c>
    </row>
    <row r="57" customFormat="false" ht="15" hidden="false" customHeight="false" outlineLevel="0" collapsed="false">
      <c r="A57" s="48" t="n">
        <v>51</v>
      </c>
      <c r="B57" s="48" t="n">
        <f aca="false">ROUNDUP(A57/12,0)</f>
        <v>5</v>
      </c>
      <c r="C57" s="49" t="n">
        <f aca="false">E56*Annahmen!$B$55/12</f>
        <v>2390.33484218331</v>
      </c>
      <c r="D57" s="49" t="n">
        <f aca="false">MIN($C$3-C57,E56)</f>
        <v>1109.6651578167</v>
      </c>
      <c r="E57" s="49" t="n">
        <f aca="false">E56-D57</f>
        <v>1146251.05909017</v>
      </c>
      <c r="F57" s="49" t="n">
        <f aca="false">H56*Annahmen!$B$56/12</f>
        <v>2741.59580523359</v>
      </c>
      <c r="G57" s="49" t="n">
        <f aca="false">MIN($F$3-F57,H56)</f>
        <v>1083.40419476641</v>
      </c>
      <c r="H57" s="49" t="n">
        <f aca="false">H56-G57</f>
        <v>1095554.91789867</v>
      </c>
      <c r="I57" s="49" t="n">
        <f aca="false">K56*Annahmen!$B$57/12</f>
        <v>7949.8344017172</v>
      </c>
      <c r="J57" s="49" t="n">
        <f aca="false">MIN($I$3-I57,K56)</f>
        <v>2458.52270654302</v>
      </c>
      <c r="K57" s="49" t="n">
        <f aca="false">K56-J57</f>
        <v>2382491.79780862</v>
      </c>
      <c r="L57" s="49" t="n">
        <f aca="false">C57+F57+I57</f>
        <v>13081.7650491341</v>
      </c>
      <c r="M57" s="49" t="n">
        <f aca="false">D57+G57+J57</f>
        <v>4651.59205912613</v>
      </c>
      <c r="N57" s="49" t="n">
        <f aca="false">L57+M57</f>
        <v>17733.3571082602</v>
      </c>
      <c r="O57" s="49" t="n">
        <f aca="false">E57+H57+K57</f>
        <v>4624297.77479746</v>
      </c>
    </row>
    <row r="58" customFormat="false" ht="15" hidden="false" customHeight="false" outlineLevel="0" collapsed="false">
      <c r="A58" s="48" t="n">
        <v>52</v>
      </c>
      <c r="B58" s="48" t="n">
        <f aca="false">ROUNDUP(A58/12,0)</f>
        <v>5</v>
      </c>
      <c r="C58" s="49" t="n">
        <f aca="false">E57*Annahmen!$B$55/12</f>
        <v>2388.02303977119</v>
      </c>
      <c r="D58" s="49" t="n">
        <f aca="false">MIN($C$3-C58,E57)</f>
        <v>1111.97696022881</v>
      </c>
      <c r="E58" s="49" t="n">
        <f aca="false">E57-D58</f>
        <v>1145139.08212994</v>
      </c>
      <c r="F58" s="49" t="n">
        <f aca="false">H57*Annahmen!$B$56/12</f>
        <v>2738.88729474668</v>
      </c>
      <c r="G58" s="49" t="n">
        <f aca="false">MIN($F$3-F58,H57)</f>
        <v>1086.11270525332</v>
      </c>
      <c r="H58" s="49" t="n">
        <f aca="false">H57-G58</f>
        <v>1094468.80519342</v>
      </c>
      <c r="I58" s="49" t="n">
        <f aca="false">K57*Annahmen!$B$57/12</f>
        <v>7941.63932602872</v>
      </c>
      <c r="J58" s="49" t="n">
        <f aca="false">MIN($I$3-I58,K57)</f>
        <v>2466.7177822315</v>
      </c>
      <c r="K58" s="49" t="n">
        <f aca="false">K57-J58</f>
        <v>2380025.08002639</v>
      </c>
      <c r="L58" s="49" t="n">
        <f aca="false">C58+F58+I58</f>
        <v>13068.5496605466</v>
      </c>
      <c r="M58" s="49" t="n">
        <f aca="false">D58+G58+J58</f>
        <v>4664.80744771364</v>
      </c>
      <c r="N58" s="49" t="n">
        <f aca="false">L58+M58</f>
        <v>17733.3571082602</v>
      </c>
      <c r="O58" s="49" t="n">
        <f aca="false">E58+H58+K58</f>
        <v>4619632.96734974</v>
      </c>
    </row>
    <row r="59" customFormat="false" ht="15" hidden="false" customHeight="false" outlineLevel="0" collapsed="false">
      <c r="A59" s="48" t="n">
        <v>53</v>
      </c>
      <c r="B59" s="48" t="n">
        <f aca="false">ROUNDUP(A59/12,0)</f>
        <v>5</v>
      </c>
      <c r="C59" s="49" t="n">
        <f aca="false">E58*Annahmen!$B$55/12</f>
        <v>2385.70642110405</v>
      </c>
      <c r="D59" s="49" t="n">
        <f aca="false">MIN($C$3-C59,E58)</f>
        <v>1114.29357889596</v>
      </c>
      <c r="E59" s="49" t="n">
        <f aca="false">E58-D59</f>
        <v>1144024.78855105</v>
      </c>
      <c r="F59" s="49" t="n">
        <f aca="false">H58*Annahmen!$B$56/12</f>
        <v>2736.17201298354</v>
      </c>
      <c r="G59" s="49" t="n">
        <f aca="false">MIN($F$3-F59,H58)</f>
        <v>1088.82798701646</v>
      </c>
      <c r="H59" s="49" t="n">
        <f aca="false">H58-G59</f>
        <v>1093379.9772064</v>
      </c>
      <c r="I59" s="49" t="n">
        <f aca="false">K58*Annahmen!$B$57/12</f>
        <v>7933.41693342128</v>
      </c>
      <c r="J59" s="49" t="n">
        <f aca="false">MIN($I$3-I59,K58)</f>
        <v>2474.94017483894</v>
      </c>
      <c r="K59" s="49" t="n">
        <f aca="false">K58-J59</f>
        <v>2377550.13985155</v>
      </c>
      <c r="L59" s="49" t="n">
        <f aca="false">C59+F59+I59</f>
        <v>13055.2953675089</v>
      </c>
      <c r="M59" s="49" t="n">
        <f aca="false">D59+G59+J59</f>
        <v>4678.06174075135</v>
      </c>
      <c r="N59" s="49" t="n">
        <f aca="false">L59+M59</f>
        <v>17733.3571082602</v>
      </c>
      <c r="O59" s="49" t="n">
        <f aca="false">E59+H59+K59</f>
        <v>4614954.90560899</v>
      </c>
    </row>
    <row r="60" customFormat="false" ht="15" hidden="false" customHeight="false" outlineLevel="0" collapsed="false">
      <c r="A60" s="48" t="n">
        <v>54</v>
      </c>
      <c r="B60" s="48" t="n">
        <f aca="false">ROUNDUP(A60/12,0)</f>
        <v>5</v>
      </c>
      <c r="C60" s="49" t="n">
        <f aca="false">E59*Annahmen!$B$55/12</f>
        <v>2383.38497614801</v>
      </c>
      <c r="D60" s="49" t="n">
        <f aca="false">MIN($C$3-C60,E59)</f>
        <v>1116.61502385199</v>
      </c>
      <c r="E60" s="49" t="n">
        <f aca="false">E59-D60</f>
        <v>1142908.17352719</v>
      </c>
      <c r="F60" s="49" t="n">
        <f aca="false">H59*Annahmen!$B$56/12</f>
        <v>2733.449943016</v>
      </c>
      <c r="G60" s="49" t="n">
        <f aca="false">MIN($F$3-F60,H59)</f>
        <v>1091.550056984</v>
      </c>
      <c r="H60" s="49" t="n">
        <f aca="false">H59-G60</f>
        <v>1092288.42714942</v>
      </c>
      <c r="I60" s="49" t="n">
        <f aca="false">K59*Annahmen!$B$57/12</f>
        <v>7925.16713283849</v>
      </c>
      <c r="J60" s="49" t="n">
        <f aca="false">MIN($I$3-I60,K59)</f>
        <v>2483.18997542174</v>
      </c>
      <c r="K60" s="49" t="n">
        <f aca="false">K59-J60</f>
        <v>2375066.94987612</v>
      </c>
      <c r="L60" s="49" t="n">
        <f aca="false">C60+F60+I60</f>
        <v>13042.0020520025</v>
      </c>
      <c r="M60" s="49" t="n">
        <f aca="false">D60+G60+J60</f>
        <v>4691.35505625772</v>
      </c>
      <c r="N60" s="49" t="n">
        <f aca="false">L60+M60</f>
        <v>17733.3571082602</v>
      </c>
      <c r="O60" s="49" t="n">
        <f aca="false">E60+H60+K60</f>
        <v>4610263.55055274</v>
      </c>
    </row>
    <row r="61" customFormat="false" ht="15" hidden="false" customHeight="false" outlineLevel="0" collapsed="false">
      <c r="A61" s="48" t="n">
        <v>55</v>
      </c>
      <c r="B61" s="48" t="n">
        <f aca="false">ROUNDUP(A61/12,0)</f>
        <v>5</v>
      </c>
      <c r="C61" s="49" t="n">
        <f aca="false">E60*Annahmen!$B$55/12</f>
        <v>2381.05869484832</v>
      </c>
      <c r="D61" s="49" t="n">
        <f aca="false">MIN($C$3-C61,E60)</f>
        <v>1118.94130515168</v>
      </c>
      <c r="E61" s="49" t="n">
        <f aca="false">E60-D61</f>
        <v>1141789.23222204</v>
      </c>
      <c r="F61" s="49" t="n">
        <f aca="false">H60*Annahmen!$B$56/12</f>
        <v>2730.72106787354</v>
      </c>
      <c r="G61" s="49" t="n">
        <f aca="false">MIN($F$3-F61,H60)</f>
        <v>1094.27893212646</v>
      </c>
      <c r="H61" s="49" t="n">
        <f aca="false">H60-G61</f>
        <v>1091194.14821729</v>
      </c>
      <c r="I61" s="49" t="n">
        <f aca="false">K60*Annahmen!$B$57/12</f>
        <v>7916.88983292041</v>
      </c>
      <c r="J61" s="49" t="n">
        <f aca="false">MIN($I$3-I61,K60)</f>
        <v>2491.46727533981</v>
      </c>
      <c r="K61" s="49" t="n">
        <f aca="false">K60-J61</f>
        <v>2372575.48260078</v>
      </c>
      <c r="L61" s="49" t="n">
        <f aca="false">C61+F61+I61</f>
        <v>13028.6695956423</v>
      </c>
      <c r="M61" s="49" t="n">
        <f aca="false">D61+G61+J61</f>
        <v>4704.68751261795</v>
      </c>
      <c r="N61" s="49" t="n">
        <f aca="false">L61+M61</f>
        <v>17733.3571082602</v>
      </c>
      <c r="O61" s="49" t="n">
        <f aca="false">E61+H61+K61</f>
        <v>4605558.86304012</v>
      </c>
    </row>
    <row r="62" customFormat="false" ht="15" hidden="false" customHeight="false" outlineLevel="0" collapsed="false">
      <c r="A62" s="48" t="n">
        <v>56</v>
      </c>
      <c r="B62" s="48" t="n">
        <f aca="false">ROUNDUP(A62/12,0)</f>
        <v>5</v>
      </c>
      <c r="C62" s="49" t="n">
        <f aca="false">E61*Annahmen!$B$55/12</f>
        <v>2378.72756712925</v>
      </c>
      <c r="D62" s="49" t="n">
        <f aca="false">MIN($C$3-C62,E61)</f>
        <v>1121.27243287075</v>
      </c>
      <c r="E62" s="49" t="n">
        <f aca="false">E61-D62</f>
        <v>1140667.95978917</v>
      </c>
      <c r="F62" s="49" t="n">
        <f aca="false">H61*Annahmen!$B$56/12</f>
        <v>2727.98537054323</v>
      </c>
      <c r="G62" s="49" t="n">
        <f aca="false">MIN($F$3-F62,H61)</f>
        <v>1097.01462945677</v>
      </c>
      <c r="H62" s="49" t="n">
        <f aca="false">H61-G62</f>
        <v>1090097.13358783</v>
      </c>
      <c r="I62" s="49" t="n">
        <f aca="false">K61*Annahmen!$B$57/12</f>
        <v>7908.58494200261</v>
      </c>
      <c r="J62" s="49" t="n">
        <f aca="false">MIN($I$3-I62,K61)</f>
        <v>2499.77216625761</v>
      </c>
      <c r="K62" s="49" t="n">
        <f aca="false">K61-J62</f>
        <v>2370075.71043453</v>
      </c>
      <c r="L62" s="49" t="n">
        <f aca="false">C62+F62+I62</f>
        <v>13015.2978796751</v>
      </c>
      <c r="M62" s="49" t="n">
        <f aca="false">D62+G62+J62</f>
        <v>4718.05922858513</v>
      </c>
      <c r="N62" s="49" t="n">
        <f aca="false">L62+M62</f>
        <v>17733.3571082602</v>
      </c>
      <c r="O62" s="49" t="n">
        <f aca="false">E62+H62+K62</f>
        <v>4600840.80381153</v>
      </c>
    </row>
    <row r="63" customFormat="false" ht="15" hidden="false" customHeight="false" outlineLevel="0" collapsed="false">
      <c r="A63" s="48" t="n">
        <v>57</v>
      </c>
      <c r="B63" s="48" t="n">
        <f aca="false">ROUNDUP(A63/12,0)</f>
        <v>5</v>
      </c>
      <c r="C63" s="49" t="n">
        <f aca="false">E62*Annahmen!$B$55/12</f>
        <v>2376.39158289411</v>
      </c>
      <c r="D63" s="49" t="n">
        <f aca="false">MIN($C$3-C63,E62)</f>
        <v>1123.6084171059</v>
      </c>
      <c r="E63" s="49" t="n">
        <f aca="false">E62-D63</f>
        <v>1139544.35137207</v>
      </c>
      <c r="F63" s="49" t="n">
        <f aca="false">H62*Annahmen!$B$56/12</f>
        <v>2725.24283396959</v>
      </c>
      <c r="G63" s="49" t="n">
        <f aca="false">MIN($F$3-F63,H62)</f>
        <v>1099.75716603042</v>
      </c>
      <c r="H63" s="49" t="n">
        <f aca="false">H62-G63</f>
        <v>1088997.3764218</v>
      </c>
      <c r="I63" s="49" t="n">
        <f aca="false">K62*Annahmen!$B$57/12</f>
        <v>7900.25236811509</v>
      </c>
      <c r="J63" s="49" t="n">
        <f aca="false">MIN($I$3-I63,K62)</f>
        <v>2508.10474014513</v>
      </c>
      <c r="K63" s="49" t="n">
        <f aca="false">K62-J63</f>
        <v>2367567.60569438</v>
      </c>
      <c r="L63" s="49" t="n">
        <f aca="false">C63+F63+I63</f>
        <v>13001.8867849788</v>
      </c>
      <c r="M63" s="49" t="n">
        <f aca="false">D63+G63+J63</f>
        <v>4731.47032328144</v>
      </c>
      <c r="N63" s="49" t="n">
        <f aca="false">L63+M63</f>
        <v>17733.3571082602</v>
      </c>
      <c r="O63" s="49" t="n">
        <f aca="false">E63+H63+K63</f>
        <v>4596109.33348825</v>
      </c>
    </row>
    <row r="64" customFormat="false" ht="15" hidden="false" customHeight="false" outlineLevel="0" collapsed="false">
      <c r="A64" s="48" t="n">
        <v>58</v>
      </c>
      <c r="B64" s="48" t="n">
        <f aca="false">ROUNDUP(A64/12,0)</f>
        <v>5</v>
      </c>
      <c r="C64" s="49" t="n">
        <f aca="false">E63*Annahmen!$B$55/12</f>
        <v>2374.05073202514</v>
      </c>
      <c r="D64" s="49" t="n">
        <f aca="false">MIN($C$3-C64,E63)</f>
        <v>1125.94926797487</v>
      </c>
      <c r="E64" s="49" t="n">
        <f aca="false">E63-D64</f>
        <v>1138418.40210409</v>
      </c>
      <c r="F64" s="49" t="n">
        <f aca="false">H63*Annahmen!$B$56/12</f>
        <v>2722.49344105451</v>
      </c>
      <c r="G64" s="49" t="n">
        <f aca="false">MIN($F$3-F64,H63)</f>
        <v>1102.50655894549</v>
      </c>
      <c r="H64" s="49" t="n">
        <f aca="false">H63-G64</f>
        <v>1087894.86986286</v>
      </c>
      <c r="I64" s="49" t="n">
        <f aca="false">K63*Annahmen!$B$57/12</f>
        <v>7891.89201898127</v>
      </c>
      <c r="J64" s="49" t="n">
        <f aca="false">MIN($I$3-I64,K63)</f>
        <v>2516.46508927895</v>
      </c>
      <c r="K64" s="49" t="n">
        <f aca="false">K63-J64</f>
        <v>2365051.1406051</v>
      </c>
      <c r="L64" s="49" t="n">
        <f aca="false">C64+F64+I64</f>
        <v>12988.4361920609</v>
      </c>
      <c r="M64" s="49" t="n">
        <f aca="false">D64+G64+J64</f>
        <v>4744.92091619931</v>
      </c>
      <c r="N64" s="49" t="n">
        <f aca="false">L64+M64</f>
        <v>17733.3571082602</v>
      </c>
      <c r="O64" s="49" t="n">
        <f aca="false">E64+H64+K64</f>
        <v>4591364.41257205</v>
      </c>
    </row>
    <row r="65" customFormat="false" ht="15" hidden="false" customHeight="false" outlineLevel="0" collapsed="false">
      <c r="A65" s="48" t="n">
        <v>59</v>
      </c>
      <c r="B65" s="48" t="n">
        <f aca="false">ROUNDUP(A65/12,0)</f>
        <v>5</v>
      </c>
      <c r="C65" s="49" t="n">
        <f aca="false">E64*Annahmen!$B$55/12</f>
        <v>2371.70500438352</v>
      </c>
      <c r="D65" s="49" t="n">
        <f aca="false">MIN($C$3-C65,E64)</f>
        <v>1128.29499561648</v>
      </c>
      <c r="E65" s="49" t="n">
        <f aca="false">E64-D65</f>
        <v>1137290.10710847</v>
      </c>
      <c r="F65" s="49" t="n">
        <f aca="false">H64*Annahmen!$B$56/12</f>
        <v>2719.73717465715</v>
      </c>
      <c r="G65" s="49" t="n">
        <f aca="false">MIN($F$3-F65,H64)</f>
        <v>1105.26282534285</v>
      </c>
      <c r="H65" s="49" t="n">
        <f aca="false">H64-G65</f>
        <v>1086789.60703752</v>
      </c>
      <c r="I65" s="49" t="n">
        <f aca="false">K64*Annahmen!$B$57/12</f>
        <v>7883.50380201701</v>
      </c>
      <c r="J65" s="49" t="n">
        <f aca="false">MIN($I$3-I65,K64)</f>
        <v>2524.85330624321</v>
      </c>
      <c r="K65" s="49" t="n">
        <f aca="false">K64-J65</f>
        <v>2362526.28729886</v>
      </c>
      <c r="L65" s="49" t="n">
        <f aca="false">C65+F65+I65</f>
        <v>12974.9459810577</v>
      </c>
      <c r="M65" s="49" t="n">
        <f aca="false">D65+G65+J65</f>
        <v>4758.41112720255</v>
      </c>
      <c r="N65" s="49" t="n">
        <f aca="false">L65+M65</f>
        <v>17733.3571082602</v>
      </c>
      <c r="O65" s="49" t="n">
        <f aca="false">E65+H65+K65</f>
        <v>4586606.00144485</v>
      </c>
    </row>
    <row r="66" customFormat="false" ht="15" hidden="false" customHeight="false" outlineLevel="0" collapsed="false">
      <c r="A66" s="48" t="n">
        <v>60</v>
      </c>
      <c r="B66" s="48" t="n">
        <f aca="false">ROUNDUP(A66/12,0)</f>
        <v>5</v>
      </c>
      <c r="C66" s="49" t="n">
        <f aca="false">E65*Annahmen!$B$55/12</f>
        <v>2369.35438980932</v>
      </c>
      <c r="D66" s="49" t="n">
        <f aca="false">MIN($C$3-C66,E65)</f>
        <v>1130.64561019068</v>
      </c>
      <c r="E66" s="49" t="n">
        <f aca="false">E65-D66</f>
        <v>1136159.46149828</v>
      </c>
      <c r="F66" s="49" t="n">
        <f aca="false">H65*Annahmen!$B$56/12</f>
        <v>2716.97401759379</v>
      </c>
      <c r="G66" s="49" t="n">
        <f aca="false">MIN($F$3-F66,H65)</f>
        <v>1108.02598240621</v>
      </c>
      <c r="H66" s="49" t="n">
        <f aca="false">H65-G66</f>
        <v>1085681.58105511</v>
      </c>
      <c r="I66" s="49" t="n">
        <f aca="false">K65*Annahmen!$B$57/12</f>
        <v>7875.08762432953</v>
      </c>
      <c r="J66" s="49" t="n">
        <f aca="false">MIN($I$3-I66,K65)</f>
        <v>2533.26948393069</v>
      </c>
      <c r="K66" s="49" t="n">
        <f aca="false">K65-J66</f>
        <v>2359993.01781493</v>
      </c>
      <c r="L66" s="49" t="n">
        <f aca="false">C66+F66+I66</f>
        <v>12961.4160317326</v>
      </c>
      <c r="M66" s="49" t="n">
        <f aca="false">D66+G66+J66</f>
        <v>4771.94107652758</v>
      </c>
      <c r="N66" s="49" t="n">
        <f aca="false">L66+M66</f>
        <v>17733.3571082602</v>
      </c>
      <c r="O66" s="49" t="n">
        <f aca="false">E66+H66+K66</f>
        <v>4581834.06036832</v>
      </c>
    </row>
    <row r="67" customFormat="false" ht="15" hidden="false" customHeight="false" outlineLevel="0" collapsed="false">
      <c r="A67" s="48" t="n">
        <v>61</v>
      </c>
      <c r="B67" s="48" t="n">
        <f aca="false">ROUNDUP(A67/12,0)</f>
        <v>6</v>
      </c>
      <c r="C67" s="49" t="n">
        <f aca="false">E66*Annahmen!$B$55/12</f>
        <v>2366.99887812142</v>
      </c>
      <c r="D67" s="49" t="n">
        <f aca="false">MIN($C$3-C67,E66)</f>
        <v>1133.00112187858</v>
      </c>
      <c r="E67" s="49" t="n">
        <f aca="false">E66-D67</f>
        <v>1135026.4603764</v>
      </c>
      <c r="F67" s="49" t="n">
        <f aca="false">H66*Annahmen!$B$56/12</f>
        <v>2714.20395263777</v>
      </c>
      <c r="G67" s="49" t="n">
        <f aca="false">MIN($F$3-F67,H66)</f>
        <v>1110.79604736223</v>
      </c>
      <c r="H67" s="49" t="n">
        <f aca="false">H66-G67</f>
        <v>1084570.78500775</v>
      </c>
      <c r="I67" s="49" t="n">
        <f aca="false">K66*Annahmen!$B$57/12</f>
        <v>7866.64339271643</v>
      </c>
      <c r="J67" s="49" t="n">
        <f aca="false">MIN($I$3-I67,K66)</f>
        <v>2541.71371554379</v>
      </c>
      <c r="K67" s="49" t="n">
        <f aca="false">K66-J67</f>
        <v>2357451.30409938</v>
      </c>
      <c r="L67" s="49" t="n">
        <f aca="false">C67+F67+I67</f>
        <v>12947.8462234756</v>
      </c>
      <c r="M67" s="49" t="n">
        <f aca="false">D67+G67+J67</f>
        <v>4785.5108847846</v>
      </c>
      <c r="N67" s="49" t="n">
        <f aca="false">L67+M67</f>
        <v>17733.3571082602</v>
      </c>
      <c r="O67" s="49" t="n">
        <f aca="false">E67+H67+K67</f>
        <v>4577048.54948354</v>
      </c>
    </row>
    <row r="68" customFormat="false" ht="15" hidden="false" customHeight="false" outlineLevel="0" collapsed="false">
      <c r="A68" s="48" t="n">
        <v>62</v>
      </c>
      <c r="B68" s="48" t="n">
        <f aca="false">ROUNDUP(A68/12,0)</f>
        <v>6</v>
      </c>
      <c r="C68" s="49" t="n">
        <f aca="false">E67*Annahmen!$B$55/12</f>
        <v>2364.63845911751</v>
      </c>
      <c r="D68" s="49" t="n">
        <f aca="false">MIN($C$3-C68,E67)</f>
        <v>1135.36154088249</v>
      </c>
      <c r="E68" s="49" t="n">
        <f aca="false">E67-D68</f>
        <v>1133891.09883552</v>
      </c>
      <c r="F68" s="49" t="n">
        <f aca="false">H67*Annahmen!$B$56/12</f>
        <v>2711.42696251937</v>
      </c>
      <c r="G68" s="49" t="n">
        <f aca="false">MIN($F$3-F68,H67)</f>
        <v>1113.57303748063</v>
      </c>
      <c r="H68" s="49" t="n">
        <f aca="false">H67-G68</f>
        <v>1083457.21197027</v>
      </c>
      <c r="I68" s="49" t="n">
        <f aca="false">K67*Annahmen!$B$57/12</f>
        <v>7858.17101366462</v>
      </c>
      <c r="J68" s="49" t="n">
        <f aca="false">MIN($I$3-I68,K67)</f>
        <v>2550.18609459561</v>
      </c>
      <c r="K68" s="49" t="n">
        <f aca="false">K67-J68</f>
        <v>2354901.11800479</v>
      </c>
      <c r="L68" s="49" t="n">
        <f aca="false">C68+F68+I68</f>
        <v>12934.2364353015</v>
      </c>
      <c r="M68" s="49" t="n">
        <f aca="false">D68+G68+J68</f>
        <v>4799.12067295873</v>
      </c>
      <c r="N68" s="49" t="n">
        <f aca="false">L68+M68</f>
        <v>17733.3571082602</v>
      </c>
      <c r="O68" s="49" t="n">
        <f aca="false">E68+H68+K68</f>
        <v>4572249.42881058</v>
      </c>
    </row>
    <row r="69" customFormat="false" ht="15" hidden="false" customHeight="false" outlineLevel="0" collapsed="false">
      <c r="A69" s="48" t="n">
        <v>63</v>
      </c>
      <c r="B69" s="48" t="n">
        <f aca="false">ROUNDUP(A69/12,0)</f>
        <v>6</v>
      </c>
      <c r="C69" s="49" t="n">
        <f aca="false">E68*Annahmen!$B$55/12</f>
        <v>2362.27312257401</v>
      </c>
      <c r="D69" s="49" t="n">
        <f aca="false">MIN($C$3-C69,E68)</f>
        <v>1137.726877426</v>
      </c>
      <c r="E69" s="49" t="n">
        <f aca="false">E68-D69</f>
        <v>1132753.3719581</v>
      </c>
      <c r="F69" s="49" t="n">
        <f aca="false">H68*Annahmen!$B$56/12</f>
        <v>2708.64302992567</v>
      </c>
      <c r="G69" s="49" t="n">
        <f aca="false">MIN($F$3-F69,H68)</f>
        <v>1116.35697007434</v>
      </c>
      <c r="H69" s="49" t="n">
        <f aca="false">H68-G69</f>
        <v>1082340.85500019</v>
      </c>
      <c r="I69" s="49" t="n">
        <f aca="false">K68*Annahmen!$B$57/12</f>
        <v>7849.6703933493</v>
      </c>
      <c r="J69" s="49" t="n">
        <f aca="false">MIN($I$3-I69,K68)</f>
        <v>2558.68671491093</v>
      </c>
      <c r="K69" s="49" t="n">
        <f aca="false">K68-J69</f>
        <v>2352342.43128988</v>
      </c>
      <c r="L69" s="49" t="n">
        <f aca="false">C69+F69+I69</f>
        <v>12920.586545849</v>
      </c>
      <c r="M69" s="49" t="n">
        <f aca="false">D69+G69+J69</f>
        <v>4812.77056241126</v>
      </c>
      <c r="N69" s="49" t="n">
        <f aca="false">L69+M69</f>
        <v>17733.3571082602</v>
      </c>
      <c r="O69" s="49" t="n">
        <f aca="false">E69+H69+K69</f>
        <v>4567436.65824817</v>
      </c>
    </row>
    <row r="70" customFormat="false" ht="15" hidden="false" customHeight="false" outlineLevel="0" collapsed="false">
      <c r="A70" s="48" t="n">
        <v>64</v>
      </c>
      <c r="B70" s="48" t="n">
        <f aca="false">ROUNDUP(A70/12,0)</f>
        <v>6</v>
      </c>
      <c r="C70" s="49" t="n">
        <f aca="false">E69*Annahmen!$B$55/12</f>
        <v>2359.90285824603</v>
      </c>
      <c r="D70" s="49" t="n">
        <f aca="false">MIN($C$3-C70,E69)</f>
        <v>1140.09714175397</v>
      </c>
      <c r="E70" s="49" t="n">
        <f aca="false">E69-D70</f>
        <v>1131613.27481634</v>
      </c>
      <c r="F70" s="49" t="n">
        <f aca="false">H69*Annahmen!$B$56/12</f>
        <v>2705.85213750048</v>
      </c>
      <c r="G70" s="49" t="n">
        <f aca="false">MIN($F$3-F70,H69)</f>
        <v>1119.14786249952</v>
      </c>
      <c r="H70" s="49" t="n">
        <f aca="false">H69-G70</f>
        <v>1081221.70713769</v>
      </c>
      <c r="I70" s="49" t="n">
        <f aca="false">K69*Annahmen!$B$57/12</f>
        <v>7841.14143763293</v>
      </c>
      <c r="J70" s="49" t="n">
        <f aca="false">MIN($I$3-I70,K69)</f>
        <v>2567.2156706273</v>
      </c>
      <c r="K70" s="49" t="n">
        <f aca="false">K69-J70</f>
        <v>2349775.21561925</v>
      </c>
      <c r="L70" s="49" t="n">
        <f aca="false">C70+F70+I70</f>
        <v>12906.8964333794</v>
      </c>
      <c r="M70" s="49" t="n">
        <f aca="false">D70+G70+J70</f>
        <v>4826.46067488078</v>
      </c>
      <c r="N70" s="49" t="n">
        <f aca="false">L70+M70</f>
        <v>17733.3571082602</v>
      </c>
      <c r="O70" s="49" t="n">
        <f aca="false">E70+H70+K70</f>
        <v>4562610.19757329</v>
      </c>
    </row>
    <row r="71" customFormat="false" ht="15" hidden="false" customHeight="false" outlineLevel="0" collapsed="false">
      <c r="A71" s="48" t="n">
        <v>65</v>
      </c>
      <c r="B71" s="48" t="n">
        <f aca="false">ROUNDUP(A71/12,0)</f>
        <v>6</v>
      </c>
      <c r="C71" s="49" t="n">
        <f aca="false">E70*Annahmen!$B$55/12</f>
        <v>2357.52765586738</v>
      </c>
      <c r="D71" s="49" t="n">
        <f aca="false">MIN($C$3-C71,E70)</f>
        <v>1142.47234413262</v>
      </c>
      <c r="E71" s="49" t="n">
        <f aca="false">E70-D71</f>
        <v>1130470.80247221</v>
      </c>
      <c r="F71" s="49" t="n">
        <f aca="false">H70*Annahmen!$B$56/12</f>
        <v>2703.05426784423</v>
      </c>
      <c r="G71" s="49" t="n">
        <f aca="false">MIN($F$3-F71,H70)</f>
        <v>1121.94573215577</v>
      </c>
      <c r="H71" s="49" t="n">
        <f aca="false">H70-G71</f>
        <v>1080099.76140554</v>
      </c>
      <c r="I71" s="49" t="n">
        <f aca="false">K70*Annahmen!$B$57/12</f>
        <v>7832.58405206417</v>
      </c>
      <c r="J71" s="49" t="n">
        <f aca="false">MIN($I$3-I71,K70)</f>
        <v>2575.77305619605</v>
      </c>
      <c r="K71" s="49" t="n">
        <f aca="false">K70-J71</f>
        <v>2347199.44256306</v>
      </c>
      <c r="L71" s="49" t="n">
        <f aca="false">C71+F71+I71</f>
        <v>12893.1659757758</v>
      </c>
      <c r="M71" s="49" t="n">
        <f aca="false">D71+G71+J71</f>
        <v>4840.19113248444</v>
      </c>
      <c r="N71" s="49" t="n">
        <f aca="false">L71+M71</f>
        <v>17733.3571082602</v>
      </c>
      <c r="O71" s="49" t="n">
        <f aca="false">E71+H71+K71</f>
        <v>4557770.0064408</v>
      </c>
    </row>
    <row r="72" customFormat="false" ht="15" hidden="false" customHeight="false" outlineLevel="0" collapsed="false">
      <c r="A72" s="48" t="n">
        <v>66</v>
      </c>
      <c r="B72" s="48" t="n">
        <f aca="false">ROUNDUP(A72/12,0)</f>
        <v>6</v>
      </c>
      <c r="C72" s="49" t="n">
        <f aca="false">E71*Annahmen!$B$55/12</f>
        <v>2355.14750515044</v>
      </c>
      <c r="D72" s="49" t="n">
        <f aca="false">MIN($C$3-C72,E71)</f>
        <v>1144.85249484956</v>
      </c>
      <c r="E72" s="49" t="n">
        <f aca="false">E71-D72</f>
        <v>1129325.94997736</v>
      </c>
      <c r="F72" s="49" t="n">
        <f aca="false">H71*Annahmen!$B$56/12</f>
        <v>2700.24940351384</v>
      </c>
      <c r="G72" s="49" t="n">
        <f aca="false">MIN($F$3-F72,H71)</f>
        <v>1124.75059648616</v>
      </c>
      <c r="H72" s="49" t="n">
        <f aca="false">H71-G72</f>
        <v>1078975.01080905</v>
      </c>
      <c r="I72" s="49" t="n">
        <f aca="false">K71*Annahmen!$B$57/12</f>
        <v>7823.99814187685</v>
      </c>
      <c r="J72" s="49" t="n">
        <f aca="false">MIN($I$3-I72,K71)</f>
        <v>2584.35896638337</v>
      </c>
      <c r="K72" s="49" t="n">
        <f aca="false">K71-J72</f>
        <v>2344615.08359667</v>
      </c>
      <c r="L72" s="49" t="n">
        <f aca="false">C72+F72+I72</f>
        <v>12879.3950505411</v>
      </c>
      <c r="M72" s="49" t="n">
        <f aca="false">D72+G72+J72</f>
        <v>4853.9620577191</v>
      </c>
      <c r="N72" s="49" t="n">
        <f aca="false">L72+M72</f>
        <v>17733.3571082602</v>
      </c>
      <c r="O72" s="49" t="n">
        <f aca="false">E72+H72+K72</f>
        <v>4552916.04438308</v>
      </c>
    </row>
    <row r="73" customFormat="false" ht="15" hidden="false" customHeight="false" outlineLevel="0" collapsed="false">
      <c r="A73" s="48" t="n">
        <v>67</v>
      </c>
      <c r="B73" s="48" t="n">
        <f aca="false">ROUNDUP(A73/12,0)</f>
        <v>6</v>
      </c>
      <c r="C73" s="49" t="n">
        <f aca="false">E72*Annahmen!$B$55/12</f>
        <v>2352.76239578617</v>
      </c>
      <c r="D73" s="49" t="n">
        <f aca="false">MIN($C$3-C73,E72)</f>
        <v>1147.23760421383</v>
      </c>
      <c r="E73" s="49" t="n">
        <f aca="false">E72-D73</f>
        <v>1128178.71237315</v>
      </c>
      <c r="F73" s="49" t="n">
        <f aca="false">H72*Annahmen!$B$56/12</f>
        <v>2697.43752702263</v>
      </c>
      <c r="G73" s="49" t="n">
        <f aca="false">MIN($F$3-F73,H72)</f>
        <v>1127.56247297738</v>
      </c>
      <c r="H73" s="49" t="n">
        <f aca="false">H72-G73</f>
        <v>1077847.44833607</v>
      </c>
      <c r="I73" s="49" t="n">
        <f aca="false">K72*Annahmen!$B$57/12</f>
        <v>7815.38361198891</v>
      </c>
      <c r="J73" s="49" t="n">
        <f aca="false">MIN($I$3-I73,K72)</f>
        <v>2592.97349627132</v>
      </c>
      <c r="K73" s="49" t="n">
        <f aca="false">K72-J73</f>
        <v>2342022.1101004</v>
      </c>
      <c r="L73" s="49" t="n">
        <f aca="false">C73+F73+I73</f>
        <v>12865.5835347977</v>
      </c>
      <c r="M73" s="49" t="n">
        <f aca="false">D73+G73+J73</f>
        <v>4867.77357346253</v>
      </c>
      <c r="N73" s="49" t="n">
        <f aca="false">L73+M73</f>
        <v>17733.3571082602</v>
      </c>
      <c r="O73" s="49" t="n">
        <f aca="false">E73+H73+K73</f>
        <v>4548048.27080962</v>
      </c>
    </row>
    <row r="74" customFormat="false" ht="15" hidden="false" customHeight="false" outlineLevel="0" collapsed="false">
      <c r="A74" s="48" t="n">
        <v>68</v>
      </c>
      <c r="B74" s="48" t="n">
        <f aca="false">ROUNDUP(A74/12,0)</f>
        <v>6</v>
      </c>
      <c r="C74" s="49" t="n">
        <f aca="false">E73*Annahmen!$B$55/12</f>
        <v>2350.37231744406</v>
      </c>
      <c r="D74" s="49" t="n">
        <f aca="false">MIN($C$3-C74,E73)</f>
        <v>1149.62768255595</v>
      </c>
      <c r="E74" s="49" t="n">
        <f aca="false">E73-D74</f>
        <v>1127029.08469059</v>
      </c>
      <c r="F74" s="49" t="n">
        <f aca="false">H73*Annahmen!$B$56/12</f>
        <v>2694.61862084018</v>
      </c>
      <c r="G74" s="49" t="n">
        <f aca="false">MIN($F$3-F74,H73)</f>
        <v>1130.38137915982</v>
      </c>
      <c r="H74" s="49" t="n">
        <f aca="false">H73-G74</f>
        <v>1076717.06695691</v>
      </c>
      <c r="I74" s="49" t="n">
        <f aca="false">K73*Annahmen!$B$57/12</f>
        <v>7806.74036700134</v>
      </c>
      <c r="J74" s="49" t="n">
        <f aca="false">MIN($I$3-I74,K73)</f>
        <v>2601.61674125889</v>
      </c>
      <c r="K74" s="49" t="n">
        <f aca="false">K73-J74</f>
        <v>2339420.49335914</v>
      </c>
      <c r="L74" s="49" t="n">
        <f aca="false">C74+F74+I74</f>
        <v>12851.7313052856</v>
      </c>
      <c r="M74" s="49" t="n">
        <f aca="false">D74+G74+J74</f>
        <v>4881.62580297465</v>
      </c>
      <c r="N74" s="49" t="n">
        <f aca="false">L74+M74</f>
        <v>17733.3571082602</v>
      </c>
      <c r="O74" s="49" t="n">
        <f aca="false">E74+H74+K74</f>
        <v>4543166.64500665</v>
      </c>
    </row>
    <row r="75" customFormat="false" ht="15" hidden="false" customHeight="false" outlineLevel="0" collapsed="false">
      <c r="A75" s="48" t="n">
        <v>69</v>
      </c>
      <c r="B75" s="48" t="n">
        <f aca="false">ROUNDUP(A75/12,0)</f>
        <v>6</v>
      </c>
      <c r="C75" s="49" t="n">
        <f aca="false">E74*Annahmen!$B$55/12</f>
        <v>2347.97725977206</v>
      </c>
      <c r="D75" s="49" t="n">
        <f aca="false">MIN($C$3-C75,E74)</f>
        <v>1152.02274022794</v>
      </c>
      <c r="E75" s="49" t="n">
        <f aca="false">E74-D75</f>
        <v>1125877.06195036</v>
      </c>
      <c r="F75" s="49" t="n">
        <f aca="false">H74*Annahmen!$B$56/12</f>
        <v>2691.79266739228</v>
      </c>
      <c r="G75" s="49" t="n">
        <f aca="false">MIN($F$3-F75,H74)</f>
        <v>1133.20733260772</v>
      </c>
      <c r="H75" s="49" t="n">
        <f aca="false">H74-G75</f>
        <v>1075583.85962431</v>
      </c>
      <c r="I75" s="49" t="n">
        <f aca="false">K74*Annahmen!$B$57/12</f>
        <v>7798.06831119714</v>
      </c>
      <c r="J75" s="49" t="n">
        <f aca="false">MIN($I$3-I75,K74)</f>
        <v>2610.28879706308</v>
      </c>
      <c r="K75" s="49" t="n">
        <f aca="false">K74-J75</f>
        <v>2336810.20456208</v>
      </c>
      <c r="L75" s="49" t="n">
        <f aca="false">C75+F75+I75</f>
        <v>12837.8382383615</v>
      </c>
      <c r="M75" s="49" t="n">
        <f aca="false">D75+G75+J75</f>
        <v>4895.51886989874</v>
      </c>
      <c r="N75" s="49" t="n">
        <f aca="false">L75+M75</f>
        <v>17733.3571082602</v>
      </c>
      <c r="O75" s="49" t="n">
        <f aca="false">E75+H75+K75</f>
        <v>4538271.12613675</v>
      </c>
    </row>
    <row r="76" customFormat="false" ht="15" hidden="false" customHeight="false" outlineLevel="0" collapsed="false">
      <c r="A76" s="48" t="n">
        <v>70</v>
      </c>
      <c r="B76" s="48" t="n">
        <f aca="false">ROUNDUP(A76/12,0)</f>
        <v>6</v>
      </c>
      <c r="C76" s="49" t="n">
        <f aca="false">E75*Annahmen!$B$55/12</f>
        <v>2345.57721239659</v>
      </c>
      <c r="D76" s="49" t="n">
        <f aca="false">MIN($C$3-C76,E75)</f>
        <v>1154.42278760341</v>
      </c>
      <c r="E76" s="49" t="n">
        <f aca="false">E75-D76</f>
        <v>1124722.63916276</v>
      </c>
      <c r="F76" s="49" t="n">
        <f aca="false">H75*Annahmen!$B$56/12</f>
        <v>2688.95964906076</v>
      </c>
      <c r="G76" s="49" t="n">
        <f aca="false">MIN($F$3-F76,H75)</f>
        <v>1136.04035093924</v>
      </c>
      <c r="H76" s="49" t="n">
        <f aca="false">H75-G76</f>
        <v>1074447.81927337</v>
      </c>
      <c r="I76" s="49" t="n">
        <f aca="false">K75*Annahmen!$B$57/12</f>
        <v>7789.36734854026</v>
      </c>
      <c r="J76" s="49" t="n">
        <f aca="false">MIN($I$3-I76,K75)</f>
        <v>2618.98975971996</v>
      </c>
      <c r="K76" s="49" t="n">
        <f aca="false">K75-J76</f>
        <v>2334191.21480236</v>
      </c>
      <c r="L76" s="49" t="n">
        <f aca="false">C76+F76+I76</f>
        <v>12823.9042099976</v>
      </c>
      <c r="M76" s="49" t="n">
        <f aca="false">D76+G76+J76</f>
        <v>4909.45289826261</v>
      </c>
      <c r="N76" s="49" t="n">
        <f aca="false">L76+M76</f>
        <v>17733.3571082602</v>
      </c>
      <c r="O76" s="49" t="n">
        <f aca="false">E76+H76+K76</f>
        <v>4533361.67323848</v>
      </c>
    </row>
    <row r="77" customFormat="false" ht="15" hidden="false" customHeight="false" outlineLevel="0" collapsed="false">
      <c r="A77" s="48" t="n">
        <v>71</v>
      </c>
      <c r="B77" s="48" t="n">
        <f aca="false">ROUNDUP(A77/12,0)</f>
        <v>6</v>
      </c>
      <c r="C77" s="49" t="n">
        <f aca="false">E76*Annahmen!$B$55/12</f>
        <v>2343.17216492242</v>
      </c>
      <c r="D77" s="49" t="n">
        <f aca="false">MIN($C$3-C77,E76)</f>
        <v>1156.82783507759</v>
      </c>
      <c r="E77" s="49" t="n">
        <f aca="false">E76-D77</f>
        <v>1123565.81132768</v>
      </c>
      <c r="F77" s="49" t="n">
        <f aca="false">H76*Annahmen!$B$56/12</f>
        <v>2686.11954818341</v>
      </c>
      <c r="G77" s="49" t="n">
        <f aca="false">MIN($F$3-F77,H76)</f>
        <v>1138.88045181659</v>
      </c>
      <c r="H77" s="49" t="n">
        <f aca="false">H76-G77</f>
        <v>1073308.93882155</v>
      </c>
      <c r="I77" s="49" t="n">
        <f aca="false">K76*Annahmen!$B$57/12</f>
        <v>7780.63738267453</v>
      </c>
      <c r="J77" s="49" t="n">
        <f aca="false">MIN($I$3-I77,K76)</f>
        <v>2627.71972558569</v>
      </c>
      <c r="K77" s="49" t="n">
        <f aca="false">K76-J77</f>
        <v>2331563.49507677</v>
      </c>
      <c r="L77" s="49" t="n">
        <f aca="false">C77+F77+I77</f>
        <v>12809.9290957804</v>
      </c>
      <c r="M77" s="49" t="n">
        <f aca="false">D77+G77+J77</f>
        <v>4923.42801247987</v>
      </c>
      <c r="N77" s="49" t="n">
        <f aca="false">L77+M77</f>
        <v>17733.3571082602</v>
      </c>
      <c r="O77" s="49" t="n">
        <f aca="false">E77+H77+K77</f>
        <v>4528438.245226</v>
      </c>
    </row>
    <row r="78" customFormat="false" ht="15" hidden="false" customHeight="false" outlineLevel="0" collapsed="false">
      <c r="A78" s="48" t="n">
        <v>72</v>
      </c>
      <c r="B78" s="48" t="n">
        <f aca="false">ROUNDUP(A78/12,0)</f>
        <v>6</v>
      </c>
      <c r="C78" s="49" t="n">
        <f aca="false">E77*Annahmen!$B$55/12</f>
        <v>2340.76210693267</v>
      </c>
      <c r="D78" s="49" t="n">
        <f aca="false">MIN($C$3-C78,E77)</f>
        <v>1159.23789306733</v>
      </c>
      <c r="E78" s="49" t="n">
        <f aca="false">E77-D78</f>
        <v>1122406.57343461</v>
      </c>
      <c r="F78" s="49" t="n">
        <f aca="false">H77*Annahmen!$B$56/12</f>
        <v>2683.27234705387</v>
      </c>
      <c r="G78" s="49" t="n">
        <f aca="false">MIN($F$3-F78,H77)</f>
        <v>1141.72765294613</v>
      </c>
      <c r="H78" s="49" t="n">
        <f aca="false">H77-G78</f>
        <v>1072167.2111686</v>
      </c>
      <c r="I78" s="49" t="n">
        <f aca="false">K77*Annahmen!$B$57/12</f>
        <v>7771.87831692258</v>
      </c>
      <c r="J78" s="49" t="n">
        <f aca="false">MIN($I$3-I78,K77)</f>
        <v>2636.47879133765</v>
      </c>
      <c r="K78" s="49" t="n">
        <f aca="false">K77-J78</f>
        <v>2328927.01628544</v>
      </c>
      <c r="L78" s="49" t="n">
        <f aca="false">C78+F78+I78</f>
        <v>12795.9127709091</v>
      </c>
      <c r="M78" s="49" t="n">
        <f aca="false">D78+G78+J78</f>
        <v>4937.44433735111</v>
      </c>
      <c r="N78" s="49" t="n">
        <f aca="false">L78+M78</f>
        <v>17733.3571082602</v>
      </c>
      <c r="O78" s="49" t="n">
        <f aca="false">E78+H78+K78</f>
        <v>4523500.80088865</v>
      </c>
    </row>
    <row r="79" customFormat="false" ht="15" hidden="false" customHeight="false" outlineLevel="0" collapsed="false">
      <c r="A79" s="48" t="n">
        <v>73</v>
      </c>
      <c r="B79" s="48" t="n">
        <f aca="false">ROUNDUP(A79/12,0)</f>
        <v>7</v>
      </c>
      <c r="C79" s="49" t="n">
        <f aca="false">E78*Annahmen!$B$55/12</f>
        <v>2338.34702798878</v>
      </c>
      <c r="D79" s="49" t="n">
        <f aca="false">MIN($C$3-C79,E78)</f>
        <v>1161.65297201122</v>
      </c>
      <c r="E79" s="49" t="n">
        <f aca="false">E78-D79</f>
        <v>1121244.9204626</v>
      </c>
      <c r="F79" s="49" t="n">
        <f aca="false">H78*Annahmen!$B$56/12</f>
        <v>2680.41802792151</v>
      </c>
      <c r="G79" s="49" t="n">
        <f aca="false">MIN($F$3-F79,H78)</f>
        <v>1144.58197207849</v>
      </c>
      <c r="H79" s="49" t="n">
        <f aca="false">H78-G79</f>
        <v>1071022.62919652</v>
      </c>
      <c r="I79" s="49" t="n">
        <f aca="false">K78*Annahmen!$B$57/12</f>
        <v>7763.09005428479</v>
      </c>
      <c r="J79" s="49" t="n">
        <f aca="false">MIN($I$3-I79,K78)</f>
        <v>2645.26705397544</v>
      </c>
      <c r="K79" s="49" t="n">
        <f aca="false">K78-J79</f>
        <v>2326281.74923146</v>
      </c>
      <c r="L79" s="49" t="n">
        <f aca="false">C79+F79+I79</f>
        <v>12781.8551101951</v>
      </c>
      <c r="M79" s="49" t="n">
        <f aca="false">D79+G79+J79</f>
        <v>4951.50199806515</v>
      </c>
      <c r="N79" s="49" t="n">
        <f aca="false">L79+M79</f>
        <v>17733.3571082602</v>
      </c>
      <c r="O79" s="49" t="n">
        <f aca="false">E79+H79+K79</f>
        <v>4518549.29889059</v>
      </c>
    </row>
    <row r="80" customFormat="false" ht="15" hidden="false" customHeight="false" outlineLevel="0" collapsed="false">
      <c r="A80" s="48" t="n">
        <v>74</v>
      </c>
      <c r="B80" s="48" t="n">
        <f aca="false">ROUNDUP(A80/12,0)</f>
        <v>7</v>
      </c>
      <c r="C80" s="49" t="n">
        <f aca="false">E79*Annahmen!$B$55/12</f>
        <v>2335.92691763042</v>
      </c>
      <c r="D80" s="49" t="n">
        <f aca="false">MIN($C$3-C80,E79)</f>
        <v>1164.07308236958</v>
      </c>
      <c r="E80" s="49" t="n">
        <f aca="false">E79-D80</f>
        <v>1120080.84738023</v>
      </c>
      <c r="F80" s="49" t="n">
        <f aca="false">H79*Annahmen!$B$56/12</f>
        <v>2677.55657299131</v>
      </c>
      <c r="G80" s="49" t="n">
        <f aca="false">MIN($F$3-F80,H79)</f>
        <v>1147.44342700869</v>
      </c>
      <c r="H80" s="49" t="n">
        <f aca="false">H79-G80</f>
        <v>1069875.18576952</v>
      </c>
      <c r="I80" s="49" t="n">
        <f aca="false">K79*Annahmen!$B$57/12</f>
        <v>7754.2724974382</v>
      </c>
      <c r="J80" s="49" t="n">
        <f aca="false">MIN($I$3-I80,K79)</f>
        <v>2654.08461082202</v>
      </c>
      <c r="K80" s="49" t="n">
        <f aca="false">K79-J80</f>
        <v>2323627.66462064</v>
      </c>
      <c r="L80" s="49" t="n">
        <f aca="false">C80+F80+I80</f>
        <v>12767.7559880599</v>
      </c>
      <c r="M80" s="49" t="n">
        <f aca="false">D80+G80+J80</f>
        <v>4965.60112020029</v>
      </c>
      <c r="N80" s="49" t="n">
        <f aca="false">L80+M80</f>
        <v>17733.3571082602</v>
      </c>
      <c r="O80" s="49" t="n">
        <f aca="false">E80+H80+K80</f>
        <v>4513583.69777039</v>
      </c>
    </row>
    <row r="81" customFormat="false" ht="15" hidden="false" customHeight="false" outlineLevel="0" collapsed="false">
      <c r="A81" s="48" t="n">
        <v>75</v>
      </c>
      <c r="B81" s="48" t="n">
        <f aca="false">ROUNDUP(A81/12,0)</f>
        <v>7</v>
      </c>
      <c r="C81" s="49" t="n">
        <f aca="false">E80*Annahmen!$B$55/12</f>
        <v>2333.50176537549</v>
      </c>
      <c r="D81" s="49" t="n">
        <f aca="false">MIN($C$3-C81,E80)</f>
        <v>1166.49823462452</v>
      </c>
      <c r="E81" s="49" t="n">
        <f aca="false">E80-D81</f>
        <v>1118914.34914561</v>
      </c>
      <c r="F81" s="49" t="n">
        <f aca="false">H80*Annahmen!$B$56/12</f>
        <v>2674.68796442379</v>
      </c>
      <c r="G81" s="49" t="n">
        <f aca="false">MIN($F$3-F81,H80)</f>
        <v>1150.31203557621</v>
      </c>
      <c r="H81" s="49" t="n">
        <f aca="false">H80-G81</f>
        <v>1068724.87373394</v>
      </c>
      <c r="I81" s="49" t="n">
        <f aca="false">K80*Annahmen!$B$57/12</f>
        <v>7745.42554873546</v>
      </c>
      <c r="J81" s="49" t="n">
        <f aca="false">MIN($I$3-I81,K80)</f>
        <v>2662.93155952476</v>
      </c>
      <c r="K81" s="49" t="n">
        <f aca="false">K80-J81</f>
        <v>2320964.73306111</v>
      </c>
      <c r="L81" s="49" t="n">
        <f aca="false">C81+F81+I81</f>
        <v>12753.6152785347</v>
      </c>
      <c r="M81" s="49" t="n">
        <f aca="false">D81+G81+J81</f>
        <v>4979.74182972549</v>
      </c>
      <c r="N81" s="49" t="n">
        <f aca="false">L81+M81</f>
        <v>17733.3571082602</v>
      </c>
      <c r="O81" s="49" t="n">
        <f aca="false">E81+H81+K81</f>
        <v>4508603.95594066</v>
      </c>
    </row>
    <row r="82" customFormat="false" ht="15" hidden="false" customHeight="false" outlineLevel="0" collapsed="false">
      <c r="A82" s="48" t="n">
        <v>76</v>
      </c>
      <c r="B82" s="48" t="n">
        <f aca="false">ROUNDUP(A82/12,0)</f>
        <v>7</v>
      </c>
      <c r="C82" s="49" t="n">
        <f aca="false">E81*Annahmen!$B$55/12</f>
        <v>2331.07156072002</v>
      </c>
      <c r="D82" s="49" t="n">
        <f aca="false">MIN($C$3-C82,E81)</f>
        <v>1168.92843927998</v>
      </c>
      <c r="E82" s="49" t="n">
        <f aca="false">E81-D82</f>
        <v>1117745.42070633</v>
      </c>
      <c r="F82" s="49" t="n">
        <f aca="false">H81*Annahmen!$B$56/12</f>
        <v>2671.81218433485</v>
      </c>
      <c r="G82" s="49" t="n">
        <f aca="false">MIN($F$3-F82,H81)</f>
        <v>1153.18781566515</v>
      </c>
      <c r="H82" s="49" t="n">
        <f aca="false">H81-G82</f>
        <v>1067571.68591828</v>
      </c>
      <c r="I82" s="49" t="n">
        <f aca="false">K81*Annahmen!$B$57/12</f>
        <v>7736.54911020371</v>
      </c>
      <c r="J82" s="49" t="n">
        <f aca="false">MIN($I$3-I82,K81)</f>
        <v>2671.80799805651</v>
      </c>
      <c r="K82" s="49" t="n">
        <f aca="false">K81-J82</f>
        <v>2318292.92506306</v>
      </c>
      <c r="L82" s="49" t="n">
        <f aca="false">C82+F82+I82</f>
        <v>12739.4328552586</v>
      </c>
      <c r="M82" s="49" t="n">
        <f aca="false">D82+G82+J82</f>
        <v>4993.92425300165</v>
      </c>
      <c r="N82" s="49" t="n">
        <f aca="false">L82+M82</f>
        <v>17733.3571082602</v>
      </c>
      <c r="O82" s="49" t="n">
        <f aca="false">E82+H82+K82</f>
        <v>4503610.03168766</v>
      </c>
    </row>
    <row r="83" customFormat="false" ht="15" hidden="false" customHeight="false" outlineLevel="0" collapsed="false">
      <c r="A83" s="48" t="n">
        <v>77</v>
      </c>
      <c r="B83" s="48" t="n">
        <f aca="false">ROUNDUP(A83/12,0)</f>
        <v>7</v>
      </c>
      <c r="C83" s="49" t="n">
        <f aca="false">E82*Annahmen!$B$55/12</f>
        <v>2328.63629313819</v>
      </c>
      <c r="D83" s="49" t="n">
        <f aca="false">MIN($C$3-C83,E82)</f>
        <v>1171.36370686182</v>
      </c>
      <c r="E83" s="49" t="n">
        <f aca="false">E82-D83</f>
        <v>1116574.05699947</v>
      </c>
      <c r="F83" s="49" t="n">
        <f aca="false">H82*Annahmen!$B$56/12</f>
        <v>2668.92921479569</v>
      </c>
      <c r="G83" s="49" t="n">
        <f aca="false">MIN($F$3-F83,H82)</f>
        <v>1156.07078520431</v>
      </c>
      <c r="H83" s="49" t="n">
        <f aca="false">H82-G83</f>
        <v>1066415.61513307</v>
      </c>
      <c r="I83" s="49" t="n">
        <f aca="false">K82*Annahmen!$B$57/12</f>
        <v>7727.64308354352</v>
      </c>
      <c r="J83" s="49" t="n">
        <f aca="false">MIN($I$3-I83,K82)</f>
        <v>2680.7140247167</v>
      </c>
      <c r="K83" s="49" t="n">
        <f aca="false">K82-J83</f>
        <v>2315612.21103834</v>
      </c>
      <c r="L83" s="49" t="n">
        <f aca="false">C83+F83+I83</f>
        <v>12725.2085914774</v>
      </c>
      <c r="M83" s="49" t="n">
        <f aca="false">D83+G83+J83</f>
        <v>5008.14851678283</v>
      </c>
      <c r="N83" s="49" t="n">
        <f aca="false">L83+M83</f>
        <v>17733.3571082602</v>
      </c>
      <c r="O83" s="49" t="n">
        <f aca="false">E83+H83+K83</f>
        <v>4498601.88317088</v>
      </c>
    </row>
    <row r="84" customFormat="false" ht="15" hidden="false" customHeight="false" outlineLevel="0" collapsed="false">
      <c r="A84" s="48" t="n">
        <v>78</v>
      </c>
      <c r="B84" s="48" t="n">
        <f aca="false">ROUNDUP(A84/12,0)</f>
        <v>7</v>
      </c>
      <c r="C84" s="49" t="n">
        <f aca="false">E83*Annahmen!$B$55/12</f>
        <v>2326.19595208222</v>
      </c>
      <c r="D84" s="49" t="n">
        <f aca="false">MIN($C$3-C84,E83)</f>
        <v>1173.80404791778</v>
      </c>
      <c r="E84" s="49" t="n">
        <f aca="false">E83-D84</f>
        <v>1115400.25295155</v>
      </c>
      <c r="F84" s="49" t="n">
        <f aca="false">H83*Annahmen!$B$56/12</f>
        <v>2666.03903783268</v>
      </c>
      <c r="G84" s="49" t="n">
        <f aca="false">MIN($F$3-F84,H83)</f>
        <v>1158.96096216732</v>
      </c>
      <c r="H84" s="49" t="n">
        <f aca="false">H83-G84</f>
        <v>1065256.6541709</v>
      </c>
      <c r="I84" s="49" t="n">
        <f aca="false">K83*Annahmen!$B$57/12</f>
        <v>7718.7073701278</v>
      </c>
      <c r="J84" s="49" t="n">
        <f aca="false">MIN($I$3-I84,K83)</f>
        <v>2689.64973813242</v>
      </c>
      <c r="K84" s="49" t="n">
        <f aca="false">K83-J84</f>
        <v>2312922.56130021</v>
      </c>
      <c r="L84" s="49" t="n">
        <f aca="false">C84+F84+I84</f>
        <v>12710.9423600427</v>
      </c>
      <c r="M84" s="49" t="n">
        <f aca="false">D84+G84+J84</f>
        <v>5022.41474821753</v>
      </c>
      <c r="N84" s="49" t="n">
        <f aca="false">L84+M84</f>
        <v>17733.3571082602</v>
      </c>
      <c r="O84" s="49" t="n">
        <f aca="false">E84+H84+K84</f>
        <v>4493579.46842266</v>
      </c>
    </row>
    <row r="85" customFormat="false" ht="15" hidden="false" customHeight="false" outlineLevel="0" collapsed="false">
      <c r="A85" s="48" t="n">
        <v>79</v>
      </c>
      <c r="B85" s="48" t="n">
        <f aca="false">ROUNDUP(A85/12,0)</f>
        <v>7</v>
      </c>
      <c r="C85" s="49" t="n">
        <f aca="false">E84*Annahmen!$B$55/12</f>
        <v>2323.75052698239</v>
      </c>
      <c r="D85" s="49" t="n">
        <f aca="false">MIN($C$3-C85,E84)</f>
        <v>1176.24947301761</v>
      </c>
      <c r="E85" s="49" t="n">
        <f aca="false">E84-D85</f>
        <v>1114224.00347853</v>
      </c>
      <c r="F85" s="49" t="n">
        <f aca="false">H84*Annahmen!$B$56/12</f>
        <v>2663.14163542726</v>
      </c>
      <c r="G85" s="49" t="n">
        <f aca="false">MIN($F$3-F85,H84)</f>
        <v>1161.85836457274</v>
      </c>
      <c r="H85" s="49" t="n">
        <f aca="false">H84-G85</f>
        <v>1064094.79580633</v>
      </c>
      <c r="I85" s="49" t="n">
        <f aca="false">K84*Annahmen!$B$57/12</f>
        <v>7709.74187100069</v>
      </c>
      <c r="J85" s="49" t="n">
        <f aca="false">MIN($I$3-I85,K84)</f>
        <v>2698.61523725953</v>
      </c>
      <c r="K85" s="49" t="n">
        <f aca="false">K84-J85</f>
        <v>2310223.94606295</v>
      </c>
      <c r="L85" s="49" t="n">
        <f aca="false">C85+F85+I85</f>
        <v>12696.6340334103</v>
      </c>
      <c r="M85" s="49" t="n">
        <f aca="false">D85+G85+J85</f>
        <v>5036.72307484988</v>
      </c>
      <c r="N85" s="49" t="n">
        <f aca="false">L85+M85</f>
        <v>17733.3571082602</v>
      </c>
      <c r="O85" s="49" t="n">
        <f aca="false">E85+H85+K85</f>
        <v>4488542.74534781</v>
      </c>
    </row>
    <row r="86" customFormat="false" ht="15" hidden="false" customHeight="false" outlineLevel="0" collapsed="false">
      <c r="A86" s="48" t="n">
        <v>80</v>
      </c>
      <c r="B86" s="48" t="n">
        <f aca="false">ROUNDUP(A86/12,0)</f>
        <v>7</v>
      </c>
      <c r="C86" s="49" t="n">
        <f aca="false">E85*Annahmen!$B$55/12</f>
        <v>2321.30000724694</v>
      </c>
      <c r="D86" s="49" t="n">
        <f aca="false">MIN($C$3-C86,E85)</f>
        <v>1178.69999275306</v>
      </c>
      <c r="E86" s="49" t="n">
        <f aca="false">E85-D86</f>
        <v>1113045.30348578</v>
      </c>
      <c r="F86" s="49" t="n">
        <f aca="false">H85*Annahmen!$B$56/12</f>
        <v>2660.23698951583</v>
      </c>
      <c r="G86" s="49" t="n">
        <f aca="false">MIN($F$3-F86,H85)</f>
        <v>1164.76301048417</v>
      </c>
      <c r="H86" s="49" t="n">
        <f aca="false">H85-G86</f>
        <v>1062930.03279585</v>
      </c>
      <c r="I86" s="49" t="n">
        <f aca="false">K85*Annahmen!$B$57/12</f>
        <v>7700.74648687649</v>
      </c>
      <c r="J86" s="49" t="n">
        <f aca="false">MIN($I$3-I86,K85)</f>
        <v>2707.61062138373</v>
      </c>
      <c r="K86" s="49" t="n">
        <f aca="false">K85-J86</f>
        <v>2307516.33544156</v>
      </c>
      <c r="L86" s="49" t="n">
        <f aca="false">C86+F86+I86</f>
        <v>12682.2834836393</v>
      </c>
      <c r="M86" s="49" t="n">
        <f aca="false">D86+G86+J86</f>
        <v>5051.07362462096</v>
      </c>
      <c r="N86" s="49" t="n">
        <f aca="false">L86+M86</f>
        <v>17733.3571082602</v>
      </c>
      <c r="O86" s="49" t="n">
        <f aca="false">E86+H86+K86</f>
        <v>4483491.67172319</v>
      </c>
    </row>
    <row r="87" customFormat="false" ht="15" hidden="false" customHeight="false" outlineLevel="0" collapsed="false">
      <c r="A87" s="48" t="n">
        <v>81</v>
      </c>
      <c r="B87" s="48" t="n">
        <f aca="false">ROUNDUP(A87/12,0)</f>
        <v>7</v>
      </c>
      <c r="C87" s="49" t="n">
        <f aca="false">E86*Annahmen!$B$55/12</f>
        <v>2318.84438226204</v>
      </c>
      <c r="D87" s="49" t="n">
        <f aca="false">MIN($C$3-C87,E86)</f>
        <v>1181.15561773796</v>
      </c>
      <c r="E87" s="49" t="n">
        <f aca="false">E86-D87</f>
        <v>1111864.14786804</v>
      </c>
      <c r="F87" s="49" t="n">
        <f aca="false">H86*Annahmen!$B$56/12</f>
        <v>2657.32508198962</v>
      </c>
      <c r="G87" s="49" t="n">
        <f aca="false">MIN($F$3-F87,H86)</f>
        <v>1167.67491801038</v>
      </c>
      <c r="H87" s="49" t="n">
        <f aca="false">H86-G87</f>
        <v>1061762.35787784</v>
      </c>
      <c r="I87" s="49" t="n">
        <f aca="false">K86*Annahmen!$B$57/12</f>
        <v>7691.72111813855</v>
      </c>
      <c r="J87" s="49" t="n">
        <f aca="false">MIN($I$3-I87,K86)</f>
        <v>2716.63599012168</v>
      </c>
      <c r="K87" s="49" t="n">
        <f aca="false">K86-J87</f>
        <v>2304799.69945144</v>
      </c>
      <c r="L87" s="49" t="n">
        <f aca="false">C87+F87+I87</f>
        <v>12667.8905823902</v>
      </c>
      <c r="M87" s="49" t="n">
        <f aca="false">D87+G87+J87</f>
        <v>5065.46652587002</v>
      </c>
      <c r="N87" s="49" t="n">
        <f aca="false">L87+M87</f>
        <v>17733.3571082602</v>
      </c>
      <c r="O87" s="49" t="n">
        <f aca="false">E87+H87+K87</f>
        <v>4478426.20519732</v>
      </c>
    </row>
    <row r="88" customFormat="false" ht="15" hidden="false" customHeight="false" outlineLevel="0" collapsed="false">
      <c r="A88" s="48" t="n">
        <v>82</v>
      </c>
      <c r="B88" s="48" t="n">
        <f aca="false">ROUNDUP(A88/12,0)</f>
        <v>7</v>
      </c>
      <c r="C88" s="49" t="n">
        <f aca="false">E87*Annahmen!$B$55/12</f>
        <v>2316.38364139175</v>
      </c>
      <c r="D88" s="49" t="n">
        <f aca="false">MIN($C$3-C88,E87)</f>
        <v>1183.61635860825</v>
      </c>
      <c r="E88" s="49" t="n">
        <f aca="false">E87-D88</f>
        <v>1110680.53150943</v>
      </c>
      <c r="F88" s="49" t="n">
        <f aca="false">H87*Annahmen!$B$56/12</f>
        <v>2654.40589469459</v>
      </c>
      <c r="G88" s="49" t="n">
        <f aca="false">MIN($F$3-F88,H87)</f>
        <v>1170.59410530541</v>
      </c>
      <c r="H88" s="49" t="n">
        <f aca="false">H87-G88</f>
        <v>1060591.76377253</v>
      </c>
      <c r="I88" s="49" t="n">
        <f aca="false">K87*Annahmen!$B$57/12</f>
        <v>7682.66566483814</v>
      </c>
      <c r="J88" s="49" t="n">
        <f aca="false">MIN($I$3-I88,K87)</f>
        <v>2725.69144342208</v>
      </c>
      <c r="K88" s="49" t="n">
        <f aca="false">K87-J88</f>
        <v>2302074.00800802</v>
      </c>
      <c r="L88" s="49" t="n">
        <f aca="false">C88+F88+I88</f>
        <v>12653.4552009245</v>
      </c>
      <c r="M88" s="49" t="n">
        <f aca="false">D88+G88+J88</f>
        <v>5079.90190733574</v>
      </c>
      <c r="N88" s="49" t="n">
        <f aca="false">L88+M88</f>
        <v>17733.3571082602</v>
      </c>
      <c r="O88" s="49" t="n">
        <f aca="false">E88+H88+K88</f>
        <v>4473346.30328998</v>
      </c>
    </row>
    <row r="89" customFormat="false" ht="15" hidden="false" customHeight="false" outlineLevel="0" collapsed="false">
      <c r="A89" s="48" t="n">
        <v>83</v>
      </c>
      <c r="B89" s="48" t="n">
        <f aca="false">ROUNDUP(A89/12,0)</f>
        <v>7</v>
      </c>
      <c r="C89" s="49" t="n">
        <f aca="false">E88*Annahmen!$B$55/12</f>
        <v>2313.91777397798</v>
      </c>
      <c r="D89" s="49" t="n">
        <f aca="false">MIN($C$3-C89,E88)</f>
        <v>1186.08222602202</v>
      </c>
      <c r="E89" s="49" t="n">
        <f aca="false">E88-D89</f>
        <v>1109494.44928341</v>
      </c>
      <c r="F89" s="49" t="n">
        <f aca="false">H88*Annahmen!$B$56/12</f>
        <v>2651.47940943133</v>
      </c>
      <c r="G89" s="49" t="n">
        <f aca="false">MIN($F$3-F89,H88)</f>
        <v>1173.52059056867</v>
      </c>
      <c r="H89" s="49" t="n">
        <f aca="false">H88-G89</f>
        <v>1059418.24318196</v>
      </c>
      <c r="I89" s="49" t="n">
        <f aca="false">K88*Annahmen!$B$57/12</f>
        <v>7673.5800266934</v>
      </c>
      <c r="J89" s="49" t="n">
        <f aca="false">MIN($I$3-I89,K88)</f>
        <v>2734.77708156682</v>
      </c>
      <c r="K89" s="49" t="n">
        <f aca="false">K88-J89</f>
        <v>2299339.23092645</v>
      </c>
      <c r="L89" s="49" t="n">
        <f aca="false">C89+F89+I89</f>
        <v>12638.9772101027</v>
      </c>
      <c r="M89" s="49" t="n">
        <f aca="false">D89+G89+J89</f>
        <v>5094.37989815751</v>
      </c>
      <c r="N89" s="49" t="n">
        <f aca="false">L89+M89</f>
        <v>17733.3571082602</v>
      </c>
      <c r="O89" s="49" t="n">
        <f aca="false">E89+H89+K89</f>
        <v>4468251.92339183</v>
      </c>
    </row>
    <row r="90" customFormat="false" ht="15" hidden="false" customHeight="false" outlineLevel="0" collapsed="false">
      <c r="A90" s="48" t="n">
        <v>84</v>
      </c>
      <c r="B90" s="48" t="n">
        <f aca="false">ROUNDUP(A90/12,0)</f>
        <v>7</v>
      </c>
      <c r="C90" s="49" t="n">
        <f aca="false">E89*Annahmen!$B$55/12</f>
        <v>2311.44676934044</v>
      </c>
      <c r="D90" s="49" t="n">
        <f aca="false">MIN($C$3-C90,E89)</f>
        <v>1188.55323065956</v>
      </c>
      <c r="E90" s="49" t="n">
        <f aca="false">E89-D90</f>
        <v>1108305.89605275</v>
      </c>
      <c r="F90" s="49" t="n">
        <f aca="false">H89*Annahmen!$B$56/12</f>
        <v>2648.54560795491</v>
      </c>
      <c r="G90" s="49" t="n">
        <f aca="false">MIN($F$3-F90,H89)</f>
        <v>1176.4543920451</v>
      </c>
      <c r="H90" s="49" t="n">
        <f aca="false">H89-G90</f>
        <v>1058241.78878992</v>
      </c>
      <c r="I90" s="49" t="n">
        <f aca="false">K89*Annahmen!$B$57/12</f>
        <v>7664.46410308818</v>
      </c>
      <c r="J90" s="49" t="n">
        <f aca="false">MIN($I$3-I90,K89)</f>
        <v>2743.89300517204</v>
      </c>
      <c r="K90" s="49" t="n">
        <f aca="false">K89-J90</f>
        <v>2296595.33792128</v>
      </c>
      <c r="L90" s="49" t="n">
        <f aca="false">C90+F90+I90</f>
        <v>12624.4564803835</v>
      </c>
      <c r="M90" s="49" t="n">
        <f aca="false">D90+G90+J90</f>
        <v>5108.9006278767</v>
      </c>
      <c r="N90" s="49" t="n">
        <f aca="false">L90+M90</f>
        <v>17733.3571082602</v>
      </c>
      <c r="O90" s="49" t="n">
        <f aca="false">E90+H90+K90</f>
        <v>4463143.02276395</v>
      </c>
    </row>
    <row r="91" customFormat="false" ht="15" hidden="false" customHeight="false" outlineLevel="0" collapsed="false">
      <c r="A91" s="48" t="n">
        <v>85</v>
      </c>
      <c r="B91" s="48" t="n">
        <f aca="false">ROUNDUP(A91/12,0)</f>
        <v>8</v>
      </c>
      <c r="C91" s="49" t="n">
        <f aca="false">E90*Annahmen!$B$55/12</f>
        <v>2308.97061677657</v>
      </c>
      <c r="D91" s="49" t="n">
        <f aca="false">MIN($C$3-C91,E90)</f>
        <v>1191.02938322344</v>
      </c>
      <c r="E91" s="49" t="n">
        <f aca="false">E90-D91</f>
        <v>1107114.86666953</v>
      </c>
      <c r="F91" s="49" t="n">
        <f aca="false">H90*Annahmen!$B$56/12</f>
        <v>2645.60447197479</v>
      </c>
      <c r="G91" s="49" t="n">
        <f aca="false">MIN($F$3-F91,H90)</f>
        <v>1179.39552802521</v>
      </c>
      <c r="H91" s="49" t="n">
        <f aca="false">H90-G91</f>
        <v>1057062.39326189</v>
      </c>
      <c r="I91" s="49" t="n">
        <f aca="false">K90*Annahmen!$B$57/12</f>
        <v>7655.31779307094</v>
      </c>
      <c r="J91" s="49" t="n">
        <f aca="false">MIN($I$3-I91,K90)</f>
        <v>2753.03931518929</v>
      </c>
      <c r="K91" s="49" t="n">
        <f aca="false">K90-J91</f>
        <v>2293842.29860609</v>
      </c>
      <c r="L91" s="49" t="n">
        <f aca="false">C91+F91+I91</f>
        <v>12609.8928818223</v>
      </c>
      <c r="M91" s="49" t="n">
        <f aca="false">D91+G91+J91</f>
        <v>5123.46422643793</v>
      </c>
      <c r="N91" s="49" t="n">
        <f aca="false">L91+M91</f>
        <v>17733.3571082602</v>
      </c>
      <c r="O91" s="49" t="n">
        <f aca="false">E91+H91+K91</f>
        <v>4458019.55853751</v>
      </c>
    </row>
    <row r="92" customFormat="false" ht="15" hidden="false" customHeight="false" outlineLevel="0" collapsed="false">
      <c r="A92" s="48" t="n">
        <v>86</v>
      </c>
      <c r="B92" s="48" t="n">
        <f aca="false">ROUNDUP(A92/12,0)</f>
        <v>8</v>
      </c>
      <c r="C92" s="49" t="n">
        <f aca="false">E91*Annahmen!$B$55/12</f>
        <v>2306.48930556152</v>
      </c>
      <c r="D92" s="49" t="n">
        <f aca="false">MIN($C$3-C92,E91)</f>
        <v>1193.51069443849</v>
      </c>
      <c r="E92" s="49" t="n">
        <f aca="false">E91-D92</f>
        <v>1105921.35597509</v>
      </c>
      <c r="F92" s="49" t="n">
        <f aca="false">H91*Annahmen!$B$56/12</f>
        <v>2642.65598315473</v>
      </c>
      <c r="G92" s="49" t="n">
        <f aca="false">MIN($F$3-F92,H91)</f>
        <v>1182.34401684527</v>
      </c>
      <c r="H92" s="49" t="n">
        <f aca="false">H91-G92</f>
        <v>1055880.04924505</v>
      </c>
      <c r="I92" s="49" t="n">
        <f aca="false">K91*Annahmen!$B$57/12</f>
        <v>7646.14099535364</v>
      </c>
      <c r="J92" s="49" t="n">
        <f aca="false">MIN($I$3-I92,K91)</f>
        <v>2762.21611290658</v>
      </c>
      <c r="K92" s="49" t="n">
        <f aca="false">K91-J92</f>
        <v>2291080.08249319</v>
      </c>
      <c r="L92" s="49" t="n">
        <f aca="false">C92+F92+I92</f>
        <v>12595.2862840699</v>
      </c>
      <c r="M92" s="49" t="n">
        <f aca="false">D92+G92+J92</f>
        <v>5138.07082419034</v>
      </c>
      <c r="N92" s="49" t="n">
        <f aca="false">L92+M92</f>
        <v>17733.3571082602</v>
      </c>
      <c r="O92" s="49" t="n">
        <f aca="false">E92+H92+K92</f>
        <v>4452881.48771332</v>
      </c>
    </row>
    <row r="93" customFormat="false" ht="15" hidden="false" customHeight="false" outlineLevel="0" collapsed="false">
      <c r="A93" s="48" t="n">
        <v>87</v>
      </c>
      <c r="B93" s="48" t="n">
        <f aca="false">ROUNDUP(A93/12,0)</f>
        <v>8</v>
      </c>
      <c r="C93" s="49" t="n">
        <f aca="false">E92*Annahmen!$B$55/12</f>
        <v>2304.0028249481</v>
      </c>
      <c r="D93" s="49" t="n">
        <f aca="false">MIN($C$3-C93,E92)</f>
        <v>1195.9971750519</v>
      </c>
      <c r="E93" s="49" t="n">
        <f aca="false">E92-D93</f>
        <v>1104725.35880004</v>
      </c>
      <c r="F93" s="49" t="n">
        <f aca="false">H92*Annahmen!$B$56/12</f>
        <v>2639.70012311262</v>
      </c>
      <c r="G93" s="49" t="n">
        <f aca="false">MIN($F$3-F93,H92)</f>
        <v>1185.29987688738</v>
      </c>
      <c r="H93" s="49" t="n">
        <f aca="false">H92-G93</f>
        <v>1054694.74936816</v>
      </c>
      <c r="I93" s="49" t="n">
        <f aca="false">K92*Annahmen!$B$57/12</f>
        <v>7636.93360831062</v>
      </c>
      <c r="J93" s="49" t="n">
        <f aca="false">MIN($I$3-I93,K92)</f>
        <v>2771.42349994961</v>
      </c>
      <c r="K93" s="49" t="n">
        <f aca="false">K92-J93</f>
        <v>2288308.65899324</v>
      </c>
      <c r="L93" s="49" t="n">
        <f aca="false">C93+F93+I93</f>
        <v>12580.6365563713</v>
      </c>
      <c r="M93" s="49" t="n">
        <f aca="false">D93+G93+J93</f>
        <v>5152.72055188889</v>
      </c>
      <c r="N93" s="49" t="n">
        <f aca="false">L93+M93</f>
        <v>17733.3571082602</v>
      </c>
      <c r="O93" s="49" t="n">
        <f aca="false">E93+H93+K93</f>
        <v>4447728.76716143</v>
      </c>
    </row>
    <row r="94" customFormat="false" ht="15" hidden="false" customHeight="false" outlineLevel="0" collapsed="false">
      <c r="A94" s="48" t="n">
        <v>88</v>
      </c>
      <c r="B94" s="48" t="n">
        <f aca="false">ROUNDUP(A94/12,0)</f>
        <v>8</v>
      </c>
      <c r="C94" s="49" t="n">
        <f aca="false">E93*Annahmen!$B$55/12</f>
        <v>2301.51116416674</v>
      </c>
      <c r="D94" s="49" t="n">
        <f aca="false">MIN($C$3-C94,E93)</f>
        <v>1198.48883583326</v>
      </c>
      <c r="E94" s="49" t="n">
        <f aca="false">E93-D94</f>
        <v>1103526.8699642</v>
      </c>
      <c r="F94" s="49" t="n">
        <f aca="false">H93*Annahmen!$B$56/12</f>
        <v>2636.7368734204</v>
      </c>
      <c r="G94" s="49" t="n">
        <f aca="false">MIN($F$3-F94,H93)</f>
        <v>1188.2631265796</v>
      </c>
      <c r="H94" s="49" t="n">
        <f aca="false">H93-G94</f>
        <v>1053506.48624158</v>
      </c>
      <c r="I94" s="49" t="n">
        <f aca="false">K93*Annahmen!$B$57/12</f>
        <v>7627.69552997745</v>
      </c>
      <c r="J94" s="49" t="n">
        <f aca="false">MIN($I$3-I94,K93)</f>
        <v>2780.66157828277</v>
      </c>
      <c r="K94" s="49" t="n">
        <f aca="false">K93-J94</f>
        <v>2285527.99741495</v>
      </c>
      <c r="L94" s="49" t="n">
        <f aca="false">C94+F94+I94</f>
        <v>12565.9435675646</v>
      </c>
      <c r="M94" s="49" t="n">
        <f aca="false">D94+G94+J94</f>
        <v>5167.41354069563</v>
      </c>
      <c r="N94" s="49" t="n">
        <f aca="false">L94+M94</f>
        <v>17733.3571082602</v>
      </c>
      <c r="O94" s="49" t="n">
        <f aca="false">E94+H94+K94</f>
        <v>4442561.35362074</v>
      </c>
    </row>
    <row r="95" customFormat="false" ht="15" hidden="false" customHeight="false" outlineLevel="0" collapsed="false">
      <c r="A95" s="48" t="n">
        <v>89</v>
      </c>
      <c r="B95" s="48" t="n">
        <f aca="false">ROUNDUP(A95/12,0)</f>
        <v>8</v>
      </c>
      <c r="C95" s="49" t="n">
        <f aca="false">E94*Annahmen!$B$55/12</f>
        <v>2299.01431242542</v>
      </c>
      <c r="D95" s="49" t="n">
        <f aca="false">MIN($C$3-C95,E94)</f>
        <v>1200.98568757458</v>
      </c>
      <c r="E95" s="49" t="n">
        <f aca="false">E94-D95</f>
        <v>1102325.88427663</v>
      </c>
      <c r="F95" s="49" t="n">
        <f aca="false">H94*Annahmen!$B$56/12</f>
        <v>2633.76621560395</v>
      </c>
      <c r="G95" s="49" t="n">
        <f aca="false">MIN($F$3-F95,H94)</f>
        <v>1191.23378439605</v>
      </c>
      <c r="H95" s="49" t="n">
        <f aca="false">H94-G95</f>
        <v>1052315.25245718</v>
      </c>
      <c r="I95" s="49" t="n">
        <f aca="false">K94*Annahmen!$B$57/12</f>
        <v>7618.42665804984</v>
      </c>
      <c r="J95" s="49" t="n">
        <f aca="false">MIN($I$3-I95,K94)</f>
        <v>2789.93045021038</v>
      </c>
      <c r="K95" s="49" t="n">
        <f aca="false">K94-J95</f>
        <v>2282738.06696474</v>
      </c>
      <c r="L95" s="49" t="n">
        <f aca="false">C95+F95+I95</f>
        <v>12551.2071860792</v>
      </c>
      <c r="M95" s="49" t="n">
        <f aca="false">D95+G95+J95</f>
        <v>5182.14992218101</v>
      </c>
      <c r="N95" s="49" t="n">
        <f aca="false">L95+M95</f>
        <v>17733.3571082602</v>
      </c>
      <c r="O95" s="49" t="n">
        <f aca="false">E95+H95+K95</f>
        <v>4437379.20369856</v>
      </c>
    </row>
    <row r="96" customFormat="false" ht="15" hidden="false" customHeight="false" outlineLevel="0" collapsed="false">
      <c r="A96" s="48" t="n">
        <v>90</v>
      </c>
      <c r="B96" s="48" t="n">
        <f aca="false">ROUNDUP(A96/12,0)</f>
        <v>8</v>
      </c>
      <c r="C96" s="49" t="n">
        <f aca="false">E95*Annahmen!$B$55/12</f>
        <v>2296.51225890964</v>
      </c>
      <c r="D96" s="49" t="n">
        <f aca="false">MIN($C$3-C96,E95)</f>
        <v>1203.48774109036</v>
      </c>
      <c r="E96" s="49" t="n">
        <f aca="false">E95-D96</f>
        <v>1101122.39653554</v>
      </c>
      <c r="F96" s="49" t="n">
        <f aca="false">H95*Annahmen!$B$56/12</f>
        <v>2630.78813114296</v>
      </c>
      <c r="G96" s="49" t="n">
        <f aca="false">MIN($F$3-F96,H95)</f>
        <v>1194.21186885704</v>
      </c>
      <c r="H96" s="49" t="n">
        <f aca="false">H95-G96</f>
        <v>1051121.04058833</v>
      </c>
      <c r="I96" s="49" t="n">
        <f aca="false">K95*Annahmen!$B$57/12</f>
        <v>7609.12688988248</v>
      </c>
      <c r="J96" s="49" t="n">
        <f aca="false">MIN($I$3-I96,K95)</f>
        <v>2799.23021837775</v>
      </c>
      <c r="K96" s="49" t="n">
        <f aca="false">K95-J96</f>
        <v>2279938.83674637</v>
      </c>
      <c r="L96" s="49" t="n">
        <f aca="false">C96+F96+I96</f>
        <v>12536.4272799351</v>
      </c>
      <c r="M96" s="49" t="n">
        <f aca="false">D96+G96+J96</f>
        <v>5196.92982832515</v>
      </c>
      <c r="N96" s="49" t="n">
        <f aca="false">L96+M96</f>
        <v>17733.3571082602</v>
      </c>
      <c r="O96" s="49" t="n">
        <f aca="false">E96+H96+K96</f>
        <v>4432182.27387023</v>
      </c>
    </row>
    <row r="97" customFormat="false" ht="15" hidden="false" customHeight="false" outlineLevel="0" collapsed="false">
      <c r="A97" s="48" t="n">
        <v>91</v>
      </c>
      <c r="B97" s="48" t="n">
        <f aca="false">ROUNDUP(A97/12,0)</f>
        <v>8</v>
      </c>
      <c r="C97" s="49" t="n">
        <f aca="false">E96*Annahmen!$B$55/12</f>
        <v>2294.00499278237</v>
      </c>
      <c r="D97" s="49" t="n">
        <f aca="false">MIN($C$3-C97,E96)</f>
        <v>1205.99500721763</v>
      </c>
      <c r="E97" s="49" t="n">
        <f aca="false">E96-D97</f>
        <v>1099916.40152832</v>
      </c>
      <c r="F97" s="49" t="n">
        <f aca="false">H96*Annahmen!$B$56/12</f>
        <v>2627.80260147082</v>
      </c>
      <c r="G97" s="49" t="n">
        <f aca="false">MIN($F$3-F97,H96)</f>
        <v>1197.19739852918</v>
      </c>
      <c r="H97" s="49" t="n">
        <f aca="false">H96-G97</f>
        <v>1049923.8431898</v>
      </c>
      <c r="I97" s="49" t="n">
        <f aca="false">K96*Annahmen!$B$57/12</f>
        <v>7599.79612248788</v>
      </c>
      <c r="J97" s="49" t="n">
        <f aca="false">MIN($I$3-I97,K96)</f>
        <v>2808.56098577234</v>
      </c>
      <c r="K97" s="49" t="n">
        <f aca="false">K96-J97</f>
        <v>2277130.27576059</v>
      </c>
      <c r="L97" s="49" t="n">
        <f aca="false">C97+F97+I97</f>
        <v>12521.6037167411</v>
      </c>
      <c r="M97" s="49" t="n">
        <f aca="false">D97+G97+J97</f>
        <v>5211.75339151915</v>
      </c>
      <c r="N97" s="49" t="n">
        <f aca="false">L97+M97</f>
        <v>17733.3571082602</v>
      </c>
      <c r="O97" s="49" t="n">
        <f aca="false">E97+H97+K97</f>
        <v>4426970.52047871</v>
      </c>
    </row>
    <row r="98" customFormat="false" ht="15" hidden="false" customHeight="false" outlineLevel="0" collapsed="false">
      <c r="A98" s="48" t="n">
        <v>92</v>
      </c>
      <c r="B98" s="48" t="n">
        <f aca="false">ROUNDUP(A98/12,0)</f>
        <v>8</v>
      </c>
      <c r="C98" s="49" t="n">
        <f aca="false">E97*Annahmen!$B$55/12</f>
        <v>2291.492503184</v>
      </c>
      <c r="D98" s="49" t="n">
        <f aca="false">MIN($C$3-C98,E97)</f>
        <v>1208.507496816</v>
      </c>
      <c r="E98" s="49" t="n">
        <f aca="false">E97-D98</f>
        <v>1098707.89403151</v>
      </c>
      <c r="F98" s="49" t="n">
        <f aca="false">H97*Annahmen!$B$56/12</f>
        <v>2624.80960797449</v>
      </c>
      <c r="G98" s="49" t="n">
        <f aca="false">MIN($F$3-F98,H97)</f>
        <v>1200.19039202551</v>
      </c>
      <c r="H98" s="49" t="n">
        <f aca="false">H97-G98</f>
        <v>1048723.65279777</v>
      </c>
      <c r="I98" s="49" t="n">
        <f aca="false">K97*Annahmen!$B$57/12</f>
        <v>7590.43425253531</v>
      </c>
      <c r="J98" s="49" t="n">
        <f aca="false">MIN($I$3-I98,K97)</f>
        <v>2817.92285572491</v>
      </c>
      <c r="K98" s="49" t="n">
        <f aca="false">K97-J98</f>
        <v>2274312.35290487</v>
      </c>
      <c r="L98" s="49" t="n">
        <f aca="false">C98+F98+I98</f>
        <v>12506.7363636938</v>
      </c>
      <c r="M98" s="49" t="n">
        <f aca="false">D98+G98+J98</f>
        <v>5226.62074456642</v>
      </c>
      <c r="N98" s="49" t="n">
        <f aca="false">L98+M98</f>
        <v>17733.3571082602</v>
      </c>
      <c r="O98" s="49" t="n">
        <f aca="false">E98+H98+K98</f>
        <v>4421743.89973414</v>
      </c>
    </row>
    <row r="99" customFormat="false" ht="15" hidden="false" customHeight="false" outlineLevel="0" collapsed="false">
      <c r="A99" s="48" t="n">
        <v>93</v>
      </c>
      <c r="B99" s="48" t="n">
        <f aca="false">ROUNDUP(A99/12,0)</f>
        <v>8</v>
      </c>
      <c r="C99" s="49" t="n">
        <f aca="false">E98*Annahmen!$B$55/12</f>
        <v>2288.9747792323</v>
      </c>
      <c r="D99" s="49" t="n">
        <f aca="false">MIN($C$3-C99,E98)</f>
        <v>1211.0252207677</v>
      </c>
      <c r="E99" s="49" t="n">
        <f aca="false">E98-D99</f>
        <v>1097496.86881074</v>
      </c>
      <c r="F99" s="49" t="n">
        <f aca="false">H98*Annahmen!$B$56/12</f>
        <v>2621.80913199443</v>
      </c>
      <c r="G99" s="49" t="n">
        <f aca="false">MIN($F$3-F99,H98)</f>
        <v>1203.19086800557</v>
      </c>
      <c r="H99" s="49" t="n">
        <f aca="false">H98-G99</f>
        <v>1047520.46192977</v>
      </c>
      <c r="I99" s="49" t="n">
        <f aca="false">K98*Annahmen!$B$57/12</f>
        <v>7581.04117634956</v>
      </c>
      <c r="J99" s="49" t="n">
        <f aca="false">MIN($I$3-I99,K98)</f>
        <v>2827.31593191067</v>
      </c>
      <c r="K99" s="49" t="n">
        <f aca="false">K98-J99</f>
        <v>2271485.03697296</v>
      </c>
      <c r="L99" s="49" t="n">
        <f aca="false">C99+F99+I99</f>
        <v>12491.8250875763</v>
      </c>
      <c r="M99" s="49" t="n">
        <f aca="false">D99+G99+J99</f>
        <v>5241.53202068394</v>
      </c>
      <c r="N99" s="49" t="n">
        <f aca="false">L99+M99</f>
        <v>17733.3571082602</v>
      </c>
      <c r="O99" s="49" t="n">
        <f aca="false">E99+H99+K99</f>
        <v>4416502.36771346</v>
      </c>
    </row>
    <row r="100" customFormat="false" ht="15" hidden="false" customHeight="false" outlineLevel="0" collapsed="false">
      <c r="A100" s="48" t="n">
        <v>94</v>
      </c>
      <c r="B100" s="48" t="n">
        <f aca="false">ROUNDUP(A100/12,0)</f>
        <v>8</v>
      </c>
      <c r="C100" s="49" t="n">
        <f aca="false">E99*Annahmen!$B$55/12</f>
        <v>2286.45181002237</v>
      </c>
      <c r="D100" s="49" t="n">
        <f aca="false">MIN($C$3-C100,E99)</f>
        <v>1213.54818997763</v>
      </c>
      <c r="E100" s="49" t="n">
        <f aca="false">E99-D100</f>
        <v>1096283.32062076</v>
      </c>
      <c r="F100" s="49" t="n">
        <f aca="false">H99*Annahmen!$B$56/12</f>
        <v>2618.80115482442</v>
      </c>
      <c r="G100" s="49" t="n">
        <f aca="false">MIN($F$3-F100,H99)</f>
        <v>1206.19884517559</v>
      </c>
      <c r="H100" s="49" t="n">
        <f aca="false">H99-G100</f>
        <v>1046314.26308459</v>
      </c>
      <c r="I100" s="49" t="n">
        <f aca="false">K99*Annahmen!$B$57/12</f>
        <v>7571.61678990986</v>
      </c>
      <c r="J100" s="49" t="n">
        <f aca="false">MIN($I$3-I100,K99)</f>
        <v>2836.74031835037</v>
      </c>
      <c r="K100" s="49" t="n">
        <f aca="false">K99-J100</f>
        <v>2268648.29665461</v>
      </c>
      <c r="L100" s="49" t="n">
        <f aca="false">C100+F100+I100</f>
        <v>12476.8697547566</v>
      </c>
      <c r="M100" s="49" t="n">
        <f aca="false">D100+G100+J100</f>
        <v>5256.48735350358</v>
      </c>
      <c r="N100" s="49" t="n">
        <f aca="false">L100+M100</f>
        <v>17733.3571082602</v>
      </c>
      <c r="O100" s="49" t="n">
        <f aca="false">E100+H100+K100</f>
        <v>4411245.88035996</v>
      </c>
    </row>
    <row r="101" customFormat="false" ht="15" hidden="false" customHeight="false" outlineLevel="0" collapsed="false">
      <c r="A101" s="48" t="n">
        <v>95</v>
      </c>
      <c r="B101" s="48" t="n">
        <f aca="false">ROUNDUP(A101/12,0)</f>
        <v>8</v>
      </c>
      <c r="C101" s="49" t="n">
        <f aca="false">E100*Annahmen!$B$55/12</f>
        <v>2283.92358462658</v>
      </c>
      <c r="D101" s="49" t="n">
        <f aca="false">MIN($C$3-C101,E100)</f>
        <v>1216.07641537342</v>
      </c>
      <c r="E101" s="49" t="n">
        <f aca="false">E100-D101</f>
        <v>1095067.24420539</v>
      </c>
      <c r="F101" s="49" t="n">
        <f aca="false">H100*Annahmen!$B$56/12</f>
        <v>2615.78565771148</v>
      </c>
      <c r="G101" s="49" t="n">
        <f aca="false">MIN($F$3-F101,H100)</f>
        <v>1209.21434228852</v>
      </c>
      <c r="H101" s="49" t="n">
        <f aca="false">H100-G101</f>
        <v>1045105.0487423</v>
      </c>
      <c r="I101" s="49" t="n">
        <f aca="false">K100*Annahmen!$B$57/12</f>
        <v>7562.16098884869</v>
      </c>
      <c r="J101" s="49" t="n">
        <f aca="false">MIN($I$3-I101,K100)</f>
        <v>2846.19611941153</v>
      </c>
      <c r="K101" s="49" t="n">
        <f aca="false">K100-J101</f>
        <v>2265802.1005352</v>
      </c>
      <c r="L101" s="49" t="n">
        <f aca="false">C101+F101+I101</f>
        <v>12461.8702311868</v>
      </c>
      <c r="M101" s="49" t="n">
        <f aca="false">D101+G101+J101</f>
        <v>5271.48687707348</v>
      </c>
      <c r="N101" s="49" t="n">
        <f aca="false">L101+M101</f>
        <v>17733.3571082602</v>
      </c>
      <c r="O101" s="49" t="n">
        <f aca="false">E101+H101+K101</f>
        <v>4405974.39348288</v>
      </c>
    </row>
    <row r="102" customFormat="false" ht="15" hidden="false" customHeight="false" outlineLevel="0" collapsed="false">
      <c r="A102" s="48" t="n">
        <v>96</v>
      </c>
      <c r="B102" s="48" t="n">
        <f aca="false">ROUNDUP(A102/12,0)</f>
        <v>8</v>
      </c>
      <c r="C102" s="49" t="n">
        <f aca="false">E101*Annahmen!$B$55/12</f>
        <v>2281.39009209456</v>
      </c>
      <c r="D102" s="49" t="n">
        <f aca="false">MIN($C$3-C102,E101)</f>
        <v>1218.60990790545</v>
      </c>
      <c r="E102" s="49" t="n">
        <f aca="false">E101-D102</f>
        <v>1093848.63429748</v>
      </c>
      <c r="F102" s="49" t="n">
        <f aca="false">H101*Annahmen!$B$56/12</f>
        <v>2612.76262185576</v>
      </c>
      <c r="G102" s="49" t="n">
        <f aca="false">MIN($F$3-F102,H101)</f>
        <v>1212.23737814425</v>
      </c>
      <c r="H102" s="49" t="n">
        <f aca="false">H101-G102</f>
        <v>1043892.81136416</v>
      </c>
      <c r="I102" s="49" t="n">
        <f aca="false">K101*Annahmen!$B$57/12</f>
        <v>7552.67366845065</v>
      </c>
      <c r="J102" s="49" t="n">
        <f aca="false">MIN($I$3-I102,K101)</f>
        <v>2855.68343980957</v>
      </c>
      <c r="K102" s="49" t="n">
        <f aca="false">K101-J102</f>
        <v>2262946.41709539</v>
      </c>
      <c r="L102" s="49" t="n">
        <f aca="false">C102+F102+I102</f>
        <v>12446.826382401</v>
      </c>
      <c r="M102" s="49" t="n">
        <f aca="false">D102+G102+J102</f>
        <v>5286.53072585927</v>
      </c>
      <c r="N102" s="49" t="n">
        <f aca="false">L102+M102</f>
        <v>17733.3571082602</v>
      </c>
      <c r="O102" s="49" t="n">
        <f aca="false">E102+H102+K102</f>
        <v>4400687.86275702</v>
      </c>
    </row>
    <row r="103" customFormat="false" ht="15" hidden="false" customHeight="false" outlineLevel="0" collapsed="false">
      <c r="A103" s="48" t="n">
        <v>97</v>
      </c>
      <c r="B103" s="48" t="n">
        <f aca="false">ROUNDUP(A103/12,0)</f>
        <v>9</v>
      </c>
      <c r="C103" s="49" t="n">
        <f aca="false">E102*Annahmen!$B$55/12</f>
        <v>2278.85132145309</v>
      </c>
      <c r="D103" s="49" t="n">
        <f aca="false">MIN($C$3-C103,E102)</f>
        <v>1221.14867854692</v>
      </c>
      <c r="E103" s="49" t="n">
        <f aca="false">E102-D103</f>
        <v>1092627.48561893</v>
      </c>
      <c r="F103" s="49" t="n">
        <f aca="false">H102*Annahmen!$B$56/12</f>
        <v>2609.73202841039</v>
      </c>
      <c r="G103" s="49" t="n">
        <f aca="false">MIN($F$3-F103,H102)</f>
        <v>1215.26797158961</v>
      </c>
      <c r="H103" s="49" t="n">
        <f aca="false">H102-G103</f>
        <v>1042677.54339257</v>
      </c>
      <c r="I103" s="49" t="n">
        <f aca="false">K102*Annahmen!$B$57/12</f>
        <v>7543.15472365129</v>
      </c>
      <c r="J103" s="49" t="n">
        <f aca="false">MIN($I$3-I103,K102)</f>
        <v>2865.20238460894</v>
      </c>
      <c r="K103" s="49" t="n">
        <f aca="false">K102-J103</f>
        <v>2260081.21471078</v>
      </c>
      <c r="L103" s="49" t="n">
        <f aca="false">C103+F103+I103</f>
        <v>12431.7380735148</v>
      </c>
      <c r="M103" s="49" t="n">
        <f aca="false">D103+G103+J103</f>
        <v>5301.61903474546</v>
      </c>
      <c r="N103" s="49" t="n">
        <f aca="false">L103+M103</f>
        <v>17733.3571082602</v>
      </c>
      <c r="O103" s="49" t="n">
        <f aca="false">E103+H103+K103</f>
        <v>4395386.24372228</v>
      </c>
    </row>
    <row r="104" customFormat="false" ht="15" hidden="false" customHeight="false" outlineLevel="0" collapsed="false">
      <c r="A104" s="48" t="n">
        <v>98</v>
      </c>
      <c r="B104" s="48" t="n">
        <f aca="false">ROUNDUP(A104/12,0)</f>
        <v>9</v>
      </c>
      <c r="C104" s="49" t="n">
        <f aca="false">E103*Annahmen!$B$55/12</f>
        <v>2276.30726170611</v>
      </c>
      <c r="D104" s="49" t="n">
        <f aca="false">MIN($C$3-C104,E103)</f>
        <v>1223.69273829389</v>
      </c>
      <c r="E104" s="49" t="n">
        <f aca="false">E103-D104</f>
        <v>1091403.79288064</v>
      </c>
      <c r="F104" s="49" t="n">
        <f aca="false">H103*Annahmen!$B$56/12</f>
        <v>2606.69385848142</v>
      </c>
      <c r="G104" s="49" t="n">
        <f aca="false">MIN($F$3-F104,H103)</f>
        <v>1218.30614151858</v>
      </c>
      <c r="H104" s="49" t="n">
        <f aca="false">H103-G104</f>
        <v>1041459.23725105</v>
      </c>
      <c r="I104" s="49" t="n">
        <f aca="false">K103*Annahmen!$B$57/12</f>
        <v>7533.60404903592</v>
      </c>
      <c r="J104" s="49" t="n">
        <f aca="false">MIN($I$3-I104,K103)</f>
        <v>2874.7530592243</v>
      </c>
      <c r="K104" s="49" t="n">
        <f aca="false">K103-J104</f>
        <v>2257206.46165155</v>
      </c>
      <c r="L104" s="49" t="n">
        <f aca="false">C104+F104+I104</f>
        <v>12416.6051692235</v>
      </c>
      <c r="M104" s="49" t="n">
        <f aca="false">D104+G104+J104</f>
        <v>5316.75193903677</v>
      </c>
      <c r="N104" s="49" t="n">
        <f aca="false">L104+M104</f>
        <v>17733.3571082602</v>
      </c>
      <c r="O104" s="49" t="n">
        <f aca="false">E104+H104+K104</f>
        <v>4390069.49178324</v>
      </c>
    </row>
    <row r="105" customFormat="false" ht="15" hidden="false" customHeight="false" outlineLevel="0" collapsed="false">
      <c r="A105" s="48" t="n">
        <v>99</v>
      </c>
      <c r="B105" s="48" t="n">
        <f aca="false">ROUNDUP(A105/12,0)</f>
        <v>9</v>
      </c>
      <c r="C105" s="49" t="n">
        <f aca="false">E104*Annahmen!$B$55/12</f>
        <v>2273.75790183467</v>
      </c>
      <c r="D105" s="49" t="n">
        <f aca="false">MIN($C$3-C105,E104)</f>
        <v>1226.24209816533</v>
      </c>
      <c r="E105" s="49" t="n">
        <f aca="false">E104-D105</f>
        <v>1090177.55078247</v>
      </c>
      <c r="F105" s="49" t="n">
        <f aca="false">H104*Annahmen!$B$56/12</f>
        <v>2603.64809312762</v>
      </c>
      <c r="G105" s="49" t="n">
        <f aca="false">MIN($F$3-F105,H104)</f>
        <v>1221.35190687238</v>
      </c>
      <c r="H105" s="49" t="n">
        <f aca="false">H104-G105</f>
        <v>1040237.88534418</v>
      </c>
      <c r="I105" s="49" t="n">
        <f aca="false">K104*Annahmen!$B$57/12</f>
        <v>7524.02153883851</v>
      </c>
      <c r="J105" s="49" t="n">
        <f aca="false">MIN($I$3-I105,K104)</f>
        <v>2884.33556942171</v>
      </c>
      <c r="K105" s="49" t="n">
        <f aca="false">K104-J105</f>
        <v>2254322.12608213</v>
      </c>
      <c r="L105" s="49" t="n">
        <f aca="false">C105+F105+I105</f>
        <v>12401.4275338008</v>
      </c>
      <c r="M105" s="49" t="n">
        <f aca="false">D105+G105+J105</f>
        <v>5331.92957445943</v>
      </c>
      <c r="N105" s="49" t="n">
        <f aca="false">L105+M105</f>
        <v>17733.3571082602</v>
      </c>
      <c r="O105" s="49" t="n">
        <f aca="false">E105+H105+K105</f>
        <v>4384737.56220878</v>
      </c>
    </row>
    <row r="106" customFormat="false" ht="15" hidden="false" customHeight="false" outlineLevel="0" collapsed="false">
      <c r="A106" s="48" t="n">
        <v>100</v>
      </c>
      <c r="B106" s="48" t="n">
        <f aca="false">ROUNDUP(A106/12,0)</f>
        <v>9</v>
      </c>
      <c r="C106" s="49" t="n">
        <f aca="false">E105*Annahmen!$B$55/12</f>
        <v>2271.20323079682</v>
      </c>
      <c r="D106" s="49" t="n">
        <f aca="false">MIN($C$3-C106,E105)</f>
        <v>1228.79676920318</v>
      </c>
      <c r="E106" s="49" t="n">
        <f aca="false">E105-D106</f>
        <v>1088948.75401327</v>
      </c>
      <c r="F106" s="49" t="n">
        <f aca="false">H105*Annahmen!$B$56/12</f>
        <v>2600.59471336044</v>
      </c>
      <c r="G106" s="49" t="n">
        <f aca="false">MIN($F$3-F106,H105)</f>
        <v>1224.40528663956</v>
      </c>
      <c r="H106" s="49" t="n">
        <f aca="false">H105-G106</f>
        <v>1039013.48005754</v>
      </c>
      <c r="I106" s="49" t="n">
        <f aca="false">K105*Annahmen!$B$57/12</f>
        <v>7514.40708694044</v>
      </c>
      <c r="J106" s="49" t="n">
        <f aca="false">MIN($I$3-I106,K105)</f>
        <v>2893.95002131979</v>
      </c>
      <c r="K106" s="49" t="n">
        <f aca="false">K105-J106</f>
        <v>2251428.17606081</v>
      </c>
      <c r="L106" s="49" t="n">
        <f aca="false">C106+F106+I106</f>
        <v>12386.2050310977</v>
      </c>
      <c r="M106" s="49" t="n">
        <f aca="false">D106+G106+J106</f>
        <v>5347.15207716252</v>
      </c>
      <c r="N106" s="49" t="n">
        <f aca="false">L106+M106</f>
        <v>17733.3571082602</v>
      </c>
      <c r="O106" s="49" t="n">
        <f aca="false">E106+H106+K106</f>
        <v>4379390.41013162</v>
      </c>
    </row>
    <row r="107" customFormat="false" ht="15" hidden="false" customHeight="false" outlineLevel="0" collapsed="false">
      <c r="A107" s="48" t="n">
        <v>101</v>
      </c>
      <c r="B107" s="48" t="n">
        <f aca="false">ROUNDUP(A107/12,0)</f>
        <v>9</v>
      </c>
      <c r="C107" s="49" t="n">
        <f aca="false">E106*Annahmen!$B$55/12</f>
        <v>2268.64323752765</v>
      </c>
      <c r="D107" s="49" t="n">
        <f aca="false">MIN($C$3-C107,E106)</f>
        <v>1231.35676247235</v>
      </c>
      <c r="E107" s="49" t="n">
        <f aca="false">E106-D107</f>
        <v>1087717.3972508</v>
      </c>
      <c r="F107" s="49" t="n">
        <f aca="false">H106*Annahmen!$B$56/12</f>
        <v>2597.53370014384</v>
      </c>
      <c r="G107" s="49" t="n">
        <f aca="false">MIN($F$3-F107,H106)</f>
        <v>1227.46629985616</v>
      </c>
      <c r="H107" s="49" t="n">
        <f aca="false">H106-G107</f>
        <v>1037786.01375768</v>
      </c>
      <c r="I107" s="49" t="n">
        <f aca="false">K106*Annahmen!$B$57/12</f>
        <v>7504.76058686937</v>
      </c>
      <c r="J107" s="49" t="n">
        <f aca="false">MIN($I$3-I107,K106)</f>
        <v>2903.59652139085</v>
      </c>
      <c r="K107" s="49" t="n">
        <f aca="false">K106-J107</f>
        <v>2248524.57953942</v>
      </c>
      <c r="L107" s="49" t="n">
        <f aca="false">C107+F107+I107</f>
        <v>12370.9375245409</v>
      </c>
      <c r="M107" s="49" t="n">
        <f aca="false">D107+G107+J107</f>
        <v>5362.41958371936</v>
      </c>
      <c r="N107" s="49" t="n">
        <f aca="false">L107+M107</f>
        <v>17733.3571082602</v>
      </c>
      <c r="O107" s="49" t="n">
        <f aca="false">E107+H107+K107</f>
        <v>4374027.9905479</v>
      </c>
    </row>
    <row r="108" customFormat="false" ht="15" hidden="false" customHeight="false" outlineLevel="0" collapsed="false">
      <c r="A108" s="48" t="n">
        <v>102</v>
      </c>
      <c r="B108" s="48" t="n">
        <f aca="false">ROUNDUP(A108/12,0)</f>
        <v>9</v>
      </c>
      <c r="C108" s="49" t="n">
        <f aca="false">E107*Annahmen!$B$55/12</f>
        <v>2266.07791093917</v>
      </c>
      <c r="D108" s="49" t="n">
        <f aca="false">MIN($C$3-C108,E107)</f>
        <v>1233.92208906084</v>
      </c>
      <c r="E108" s="49" t="n">
        <f aca="false">E107-D108</f>
        <v>1086483.47516174</v>
      </c>
      <c r="F108" s="49" t="n">
        <f aca="false">H107*Annahmen!$B$56/12</f>
        <v>2594.4650343942</v>
      </c>
      <c r="G108" s="49" t="n">
        <f aca="false">MIN($F$3-F108,H107)</f>
        <v>1230.5349656058</v>
      </c>
      <c r="H108" s="49" t="n">
        <f aca="false">H107-G108</f>
        <v>1036555.47879208</v>
      </c>
      <c r="I108" s="49" t="n">
        <f aca="false">K107*Annahmen!$B$57/12</f>
        <v>7495.08193179807</v>
      </c>
      <c r="J108" s="49" t="n">
        <f aca="false">MIN($I$3-I108,K107)</f>
        <v>2913.27517646216</v>
      </c>
      <c r="K108" s="49" t="n">
        <f aca="false">K107-J108</f>
        <v>2245611.30436296</v>
      </c>
      <c r="L108" s="49" t="n">
        <f aca="false">C108+F108+I108</f>
        <v>12355.6248771314</v>
      </c>
      <c r="M108" s="49" t="n">
        <f aca="false">D108+G108+J108</f>
        <v>5377.73223112879</v>
      </c>
      <c r="N108" s="49" t="n">
        <f aca="false">L108+M108</f>
        <v>17733.3571082602</v>
      </c>
      <c r="O108" s="49" t="n">
        <f aca="false">E108+H108+K108</f>
        <v>4368650.25831677</v>
      </c>
    </row>
    <row r="109" customFormat="false" ht="15" hidden="false" customHeight="false" outlineLevel="0" collapsed="false">
      <c r="A109" s="48" t="n">
        <v>103</v>
      </c>
      <c r="B109" s="48" t="n">
        <f aca="false">ROUNDUP(A109/12,0)</f>
        <v>9</v>
      </c>
      <c r="C109" s="49" t="n">
        <f aca="false">E108*Annahmen!$B$55/12</f>
        <v>2263.50723992029</v>
      </c>
      <c r="D109" s="49" t="n">
        <f aca="false">MIN($C$3-C109,E108)</f>
        <v>1236.49276007971</v>
      </c>
      <c r="E109" s="49" t="n">
        <f aca="false">E108-D109</f>
        <v>1085246.98240166</v>
      </c>
      <c r="F109" s="49" t="n">
        <f aca="false">H108*Annahmen!$B$56/12</f>
        <v>2591.38869698019</v>
      </c>
      <c r="G109" s="49" t="n">
        <f aca="false">MIN($F$3-F109,H108)</f>
        <v>1233.61130301981</v>
      </c>
      <c r="H109" s="49" t="n">
        <f aca="false">H108-G109</f>
        <v>1035321.86748906</v>
      </c>
      <c r="I109" s="49" t="n">
        <f aca="false">K108*Annahmen!$B$57/12</f>
        <v>7485.37101454319</v>
      </c>
      <c r="J109" s="49" t="n">
        <f aca="false">MIN($I$3-I109,K108)</f>
        <v>2922.98609371703</v>
      </c>
      <c r="K109" s="49" t="n">
        <f aca="false">K108-J109</f>
        <v>2242688.31826924</v>
      </c>
      <c r="L109" s="49" t="n">
        <f aca="false">C109+F109+I109</f>
        <v>12340.2669514437</v>
      </c>
      <c r="M109" s="49" t="n">
        <f aca="false">D109+G109+J109</f>
        <v>5393.09015681655</v>
      </c>
      <c r="N109" s="49" t="n">
        <f aca="false">L109+M109</f>
        <v>17733.3571082602</v>
      </c>
      <c r="O109" s="49" t="n">
        <f aca="false">E109+H109+K109</f>
        <v>4363257.16815996</v>
      </c>
    </row>
    <row r="110" customFormat="false" ht="15" hidden="false" customHeight="false" outlineLevel="0" collapsed="false">
      <c r="A110" s="48" t="n">
        <v>104</v>
      </c>
      <c r="B110" s="48" t="n">
        <f aca="false">ROUNDUP(A110/12,0)</f>
        <v>9</v>
      </c>
      <c r="C110" s="49" t="n">
        <f aca="false">E109*Annahmen!$B$55/12</f>
        <v>2260.93121333679</v>
      </c>
      <c r="D110" s="49" t="n">
        <f aca="false">MIN($C$3-C110,E109)</f>
        <v>1239.06878666321</v>
      </c>
      <c r="E110" s="49" t="n">
        <f aca="false">E109-D110</f>
        <v>1084007.913615</v>
      </c>
      <c r="F110" s="49" t="n">
        <f aca="false">H109*Annahmen!$B$56/12</f>
        <v>2588.30466872264</v>
      </c>
      <c r="G110" s="49" t="n">
        <f aca="false">MIN($F$3-F110,H109)</f>
        <v>1236.69533127736</v>
      </c>
      <c r="H110" s="49" t="n">
        <f aca="false">H109-G110</f>
        <v>1034085.17215778</v>
      </c>
      <c r="I110" s="49" t="n">
        <f aca="false">K109*Annahmen!$B$57/12</f>
        <v>7475.62772756414</v>
      </c>
      <c r="J110" s="49" t="n">
        <f aca="false">MIN($I$3-I110,K109)</f>
        <v>2932.72938069609</v>
      </c>
      <c r="K110" s="49" t="n">
        <f aca="false">K109-J110</f>
        <v>2239755.58888854</v>
      </c>
      <c r="L110" s="49" t="n">
        <f aca="false">C110+F110+I110</f>
        <v>12324.8636096236</v>
      </c>
      <c r="M110" s="49" t="n">
        <f aca="false">D110+G110+J110</f>
        <v>5408.49349863666</v>
      </c>
      <c r="N110" s="49" t="n">
        <f aca="false">L110+M110</f>
        <v>17733.3571082602</v>
      </c>
      <c r="O110" s="49" t="n">
        <f aca="false">E110+H110+K110</f>
        <v>4357848.67466132</v>
      </c>
    </row>
    <row r="111" customFormat="false" ht="15" hidden="false" customHeight="false" outlineLevel="0" collapsed="false">
      <c r="A111" s="48" t="n">
        <v>105</v>
      </c>
      <c r="B111" s="48" t="n">
        <f aca="false">ROUNDUP(A111/12,0)</f>
        <v>9</v>
      </c>
      <c r="C111" s="49" t="n">
        <f aca="false">E110*Annahmen!$B$55/12</f>
        <v>2258.34982003124</v>
      </c>
      <c r="D111" s="49" t="n">
        <f aca="false">MIN($C$3-C111,E110)</f>
        <v>1241.65017996876</v>
      </c>
      <c r="E111" s="49" t="n">
        <f aca="false">E110-D111</f>
        <v>1082766.26343503</v>
      </c>
      <c r="F111" s="49" t="n">
        <f aca="false">H110*Annahmen!$B$56/12</f>
        <v>2585.21293039445</v>
      </c>
      <c r="G111" s="49" t="n">
        <f aca="false">MIN($F$3-F111,H110)</f>
        <v>1239.78706960555</v>
      </c>
      <c r="H111" s="49" t="n">
        <f aca="false">H110-G111</f>
        <v>1032845.38508817</v>
      </c>
      <c r="I111" s="49" t="n">
        <f aca="false">K110*Annahmen!$B$57/12</f>
        <v>7465.85196296182</v>
      </c>
      <c r="J111" s="49" t="n">
        <f aca="false">MIN($I$3-I111,K110)</f>
        <v>2942.50514529841</v>
      </c>
      <c r="K111" s="49" t="n">
        <f aca="false">K110-J111</f>
        <v>2236813.08374325</v>
      </c>
      <c r="L111" s="49" t="n">
        <f aca="false">C111+F111+I111</f>
        <v>12309.4147133875</v>
      </c>
      <c r="M111" s="49" t="n">
        <f aca="false">D111+G111+J111</f>
        <v>5423.94239487272</v>
      </c>
      <c r="N111" s="49" t="n">
        <f aca="false">L111+M111</f>
        <v>17733.3571082602</v>
      </c>
      <c r="O111" s="49" t="n">
        <f aca="false">E111+H111+K111</f>
        <v>4352424.73226645</v>
      </c>
    </row>
    <row r="112" customFormat="false" ht="15" hidden="false" customHeight="false" outlineLevel="0" collapsed="false">
      <c r="A112" s="48" t="n">
        <v>106</v>
      </c>
      <c r="B112" s="48" t="n">
        <f aca="false">ROUNDUP(A112/12,0)</f>
        <v>9</v>
      </c>
      <c r="C112" s="49" t="n">
        <f aca="false">E111*Annahmen!$B$55/12</f>
        <v>2255.76304882297</v>
      </c>
      <c r="D112" s="49" t="n">
        <f aca="false">MIN($C$3-C112,E111)</f>
        <v>1244.23695117703</v>
      </c>
      <c r="E112" s="49" t="n">
        <f aca="false">E111-D112</f>
        <v>1081522.02648385</v>
      </c>
      <c r="F112" s="49" t="n">
        <f aca="false">H111*Annahmen!$B$56/12</f>
        <v>2582.11346272043</v>
      </c>
      <c r="G112" s="49" t="n">
        <f aca="false">MIN($F$3-F112,H111)</f>
        <v>1242.88653727957</v>
      </c>
      <c r="H112" s="49" t="n">
        <f aca="false">H111-G112</f>
        <v>1031602.49855089</v>
      </c>
      <c r="I112" s="49" t="n">
        <f aca="false">K111*Annahmen!$B$57/12</f>
        <v>7456.04361247749</v>
      </c>
      <c r="J112" s="49" t="n">
        <f aca="false">MIN($I$3-I112,K111)</f>
        <v>2952.31349578274</v>
      </c>
      <c r="K112" s="49" t="n">
        <f aca="false">K111-J112</f>
        <v>2233860.77024746</v>
      </c>
      <c r="L112" s="49" t="n">
        <f aca="false">C112+F112+I112</f>
        <v>12293.9201240209</v>
      </c>
      <c r="M112" s="49" t="n">
        <f aca="false">D112+G112+J112</f>
        <v>5439.43698423933</v>
      </c>
      <c r="N112" s="49" t="n">
        <f aca="false">L112+M112</f>
        <v>17733.3571082602</v>
      </c>
      <c r="O112" s="49" t="n">
        <f aca="false">E112+H112+K112</f>
        <v>4346985.29528221</v>
      </c>
    </row>
    <row r="113" customFormat="false" ht="15" hidden="false" customHeight="false" outlineLevel="0" collapsed="false">
      <c r="A113" s="48" t="n">
        <v>107</v>
      </c>
      <c r="B113" s="48" t="n">
        <f aca="false">ROUNDUP(A113/12,0)</f>
        <v>9</v>
      </c>
      <c r="C113" s="49" t="n">
        <f aca="false">E112*Annahmen!$B$55/12</f>
        <v>2253.17088850802</v>
      </c>
      <c r="D113" s="49" t="n">
        <f aca="false">MIN($C$3-C113,E112)</f>
        <v>1246.82911149198</v>
      </c>
      <c r="E113" s="49" t="n">
        <f aca="false">E112-D113</f>
        <v>1080275.19737236</v>
      </c>
      <c r="F113" s="49" t="n">
        <f aca="false">H112*Annahmen!$B$56/12</f>
        <v>2579.00624637723</v>
      </c>
      <c r="G113" s="49" t="n">
        <f aca="false">MIN($F$3-F113,H112)</f>
        <v>1245.99375362277</v>
      </c>
      <c r="H113" s="49" t="n">
        <f aca="false">H112-G113</f>
        <v>1030356.50479727</v>
      </c>
      <c r="I113" s="49" t="n">
        <f aca="false">K112*Annahmen!$B$57/12</f>
        <v>7446.20256749155</v>
      </c>
      <c r="J113" s="49" t="n">
        <f aca="false">MIN($I$3-I113,K112)</f>
        <v>2962.15454076868</v>
      </c>
      <c r="K113" s="49" t="n">
        <f aca="false">K112-J113</f>
        <v>2230898.6157067</v>
      </c>
      <c r="L113" s="49" t="n">
        <f aca="false">C113+F113+I113</f>
        <v>12278.3797023768</v>
      </c>
      <c r="M113" s="49" t="n">
        <f aca="false">D113+G113+J113</f>
        <v>5454.97740588343</v>
      </c>
      <c r="N113" s="49" t="n">
        <f aca="false">L113+M113</f>
        <v>17733.3571082602</v>
      </c>
      <c r="O113" s="49" t="n">
        <f aca="false">E113+H113+K113</f>
        <v>4341530.31787632</v>
      </c>
    </row>
    <row r="114" customFormat="false" ht="15" hidden="false" customHeight="false" outlineLevel="0" collapsed="false">
      <c r="A114" s="48" t="n">
        <v>108</v>
      </c>
      <c r="B114" s="48" t="n">
        <f aca="false">ROUNDUP(A114/12,0)</f>
        <v>9</v>
      </c>
      <c r="C114" s="49" t="n">
        <f aca="false">E113*Annahmen!$B$55/12</f>
        <v>2250.57332785908</v>
      </c>
      <c r="D114" s="49" t="n">
        <f aca="false">MIN($C$3-C114,E113)</f>
        <v>1249.42667214092</v>
      </c>
      <c r="E114" s="49" t="n">
        <f aca="false">E113-D114</f>
        <v>1079025.77070022</v>
      </c>
      <c r="F114" s="49" t="n">
        <f aca="false">H113*Annahmen!$B$56/12</f>
        <v>2575.89126199318</v>
      </c>
      <c r="G114" s="49" t="n">
        <f aca="false">MIN($F$3-F114,H113)</f>
        <v>1249.10873800682</v>
      </c>
      <c r="H114" s="49" t="n">
        <f aca="false">H113-G114</f>
        <v>1029107.39605926</v>
      </c>
      <c r="I114" s="49" t="n">
        <f aca="false">K113*Annahmen!$B$57/12</f>
        <v>7436.32871902232</v>
      </c>
      <c r="J114" s="49" t="n">
        <f aca="false">MIN($I$3-I114,K113)</f>
        <v>2972.02838923791</v>
      </c>
      <c r="K114" s="49" t="n">
        <f aca="false">K113-J114</f>
        <v>2227926.58731746</v>
      </c>
      <c r="L114" s="49" t="n">
        <f aca="false">C114+F114+I114</f>
        <v>12262.7933088746</v>
      </c>
      <c r="M114" s="49" t="n">
        <f aca="false">D114+G114+J114</f>
        <v>5470.56379938565</v>
      </c>
      <c r="N114" s="49" t="n">
        <f aca="false">L114+M114</f>
        <v>17733.3571082602</v>
      </c>
      <c r="O114" s="49" t="n">
        <f aca="false">E114+H114+K114</f>
        <v>4336059.75407694</v>
      </c>
    </row>
    <row r="115" customFormat="false" ht="15" hidden="false" customHeight="false" outlineLevel="0" collapsed="false">
      <c r="A115" s="48" t="n">
        <v>109</v>
      </c>
      <c r="B115" s="48" t="n">
        <f aca="false">ROUNDUP(A115/12,0)</f>
        <v>10</v>
      </c>
      <c r="C115" s="49" t="n">
        <f aca="false">E114*Annahmen!$B$55/12</f>
        <v>2247.97035562545</v>
      </c>
      <c r="D115" s="49" t="n">
        <f aca="false">MIN($C$3-C115,E114)</f>
        <v>1252.02964437455</v>
      </c>
      <c r="E115" s="49" t="n">
        <f aca="false">E114-D115</f>
        <v>1077773.74105584</v>
      </c>
      <c r="F115" s="49" t="n">
        <f aca="false">H114*Annahmen!$B$56/12</f>
        <v>2572.76849014816</v>
      </c>
      <c r="G115" s="49" t="n">
        <f aca="false">MIN($F$3-F115,H114)</f>
        <v>1252.23150985184</v>
      </c>
      <c r="H115" s="49" t="n">
        <f aca="false">H114-G115</f>
        <v>1027855.16454941</v>
      </c>
      <c r="I115" s="49" t="n">
        <f aca="false">K114*Annahmen!$B$57/12</f>
        <v>7426.42195772486</v>
      </c>
      <c r="J115" s="49" t="n">
        <f aca="false">MIN($I$3-I115,K114)</f>
        <v>2981.93515053537</v>
      </c>
      <c r="K115" s="49" t="n">
        <f aca="false">K114-J115</f>
        <v>2224944.65216692</v>
      </c>
      <c r="L115" s="49" t="n">
        <f aca="false">C115+F115+I115</f>
        <v>12247.1608034985</v>
      </c>
      <c r="M115" s="49" t="n">
        <f aca="false">D115+G115+J115</f>
        <v>5486.19630476176</v>
      </c>
      <c r="N115" s="49" t="n">
        <f aca="false">L115+M115</f>
        <v>17733.3571082602</v>
      </c>
      <c r="O115" s="49" t="n">
        <f aca="false">E115+H115+K115</f>
        <v>4330573.55777218</v>
      </c>
    </row>
    <row r="116" customFormat="false" ht="15" hidden="false" customHeight="false" outlineLevel="0" collapsed="false">
      <c r="A116" s="48" t="n">
        <v>110</v>
      </c>
      <c r="B116" s="48" t="n">
        <f aca="false">ROUNDUP(A116/12,0)</f>
        <v>10</v>
      </c>
      <c r="C116" s="49" t="n">
        <f aca="false">E115*Annahmen!$B$55/12</f>
        <v>2245.36196053301</v>
      </c>
      <c r="D116" s="49" t="n">
        <f aca="false">MIN($C$3-C116,E115)</f>
        <v>1254.638039467</v>
      </c>
      <c r="E116" s="49" t="n">
        <f aca="false">E115-D116</f>
        <v>1076519.10301638</v>
      </c>
      <c r="F116" s="49" t="n">
        <f aca="false">H115*Annahmen!$B$56/12</f>
        <v>2569.63791137353</v>
      </c>
      <c r="G116" s="49" t="n">
        <f aca="false">MIN($F$3-F116,H115)</f>
        <v>1255.36208862647</v>
      </c>
      <c r="H116" s="49" t="n">
        <f aca="false">H115-G116</f>
        <v>1026599.80246079</v>
      </c>
      <c r="I116" s="49" t="n">
        <f aca="false">K115*Annahmen!$B$57/12</f>
        <v>7416.48217388974</v>
      </c>
      <c r="J116" s="49" t="n">
        <f aca="false">MIN($I$3-I116,K115)</f>
        <v>2991.87493437049</v>
      </c>
      <c r="K116" s="49" t="n">
        <f aca="false">K115-J116</f>
        <v>2221952.77723255</v>
      </c>
      <c r="L116" s="49" t="n">
        <f aca="false">C116+F116+I116</f>
        <v>12231.4820457963</v>
      </c>
      <c r="M116" s="49" t="n">
        <f aca="false">D116+G116+J116</f>
        <v>5501.87506246395</v>
      </c>
      <c r="N116" s="49" t="n">
        <f aca="false">L116+M116</f>
        <v>17733.3571082602</v>
      </c>
      <c r="O116" s="49" t="n">
        <f aca="false">E116+H116+K116</f>
        <v>4325071.68270971</v>
      </c>
    </row>
    <row r="117" customFormat="false" ht="15" hidden="false" customHeight="false" outlineLevel="0" collapsed="false">
      <c r="A117" s="48" t="n">
        <v>111</v>
      </c>
      <c r="B117" s="48" t="n">
        <f aca="false">ROUNDUP(A117/12,0)</f>
        <v>10</v>
      </c>
      <c r="C117" s="49" t="n">
        <f aca="false">E116*Annahmen!$B$55/12</f>
        <v>2242.74813128412</v>
      </c>
      <c r="D117" s="49" t="n">
        <f aca="false">MIN($C$3-C117,E116)</f>
        <v>1257.25186871589</v>
      </c>
      <c r="E117" s="49" t="n">
        <f aca="false">E116-D117</f>
        <v>1075261.85114766</v>
      </c>
      <c r="F117" s="49" t="n">
        <f aca="false">H116*Annahmen!$B$56/12</f>
        <v>2566.49950615196</v>
      </c>
      <c r="G117" s="49" t="n">
        <f aca="false">MIN($F$3-F117,H116)</f>
        <v>1258.50049384804</v>
      </c>
      <c r="H117" s="49" t="n">
        <f aca="false">H116-G117</f>
        <v>1025341.30196694</v>
      </c>
      <c r="I117" s="49" t="n">
        <f aca="false">K116*Annahmen!$B$57/12</f>
        <v>7406.50925744184</v>
      </c>
      <c r="J117" s="49" t="n">
        <f aca="false">MIN($I$3-I117,K116)</f>
        <v>3001.84785081839</v>
      </c>
      <c r="K117" s="49" t="n">
        <f aca="false">K116-J117</f>
        <v>2218950.92938173</v>
      </c>
      <c r="L117" s="49" t="n">
        <f aca="false">C117+F117+I117</f>
        <v>12215.7568948779</v>
      </c>
      <c r="M117" s="49" t="n">
        <f aca="false">D117+G117+J117</f>
        <v>5517.60021338231</v>
      </c>
      <c r="N117" s="49" t="n">
        <f aca="false">L117+M117</f>
        <v>17733.3571082602</v>
      </c>
      <c r="O117" s="49" t="n">
        <f aca="false">E117+H117+K117</f>
        <v>4319554.08249633</v>
      </c>
    </row>
    <row r="118" customFormat="false" ht="15" hidden="false" customHeight="false" outlineLevel="0" collapsed="false">
      <c r="A118" s="48" t="n">
        <v>112</v>
      </c>
      <c r="B118" s="48" t="n">
        <f aca="false">ROUNDUP(A118/12,0)</f>
        <v>10</v>
      </c>
      <c r="C118" s="49" t="n">
        <f aca="false">E117*Annahmen!$B$55/12</f>
        <v>2240.12885655762</v>
      </c>
      <c r="D118" s="49" t="n">
        <f aca="false">MIN($C$3-C118,E117)</f>
        <v>1259.87114344238</v>
      </c>
      <c r="E118" s="49" t="n">
        <f aca="false">E117-D118</f>
        <v>1074001.98000422</v>
      </c>
      <c r="F118" s="49" t="n">
        <f aca="false">H117*Annahmen!$B$56/12</f>
        <v>2563.35325491734</v>
      </c>
      <c r="G118" s="49" t="n">
        <f aca="false">MIN($F$3-F118,H117)</f>
        <v>1261.64674508266</v>
      </c>
      <c r="H118" s="49" t="n">
        <f aca="false">H117-G118</f>
        <v>1024079.65522185</v>
      </c>
      <c r="I118" s="49" t="n">
        <f aca="false">K117*Annahmen!$B$57/12</f>
        <v>7396.50309793911</v>
      </c>
      <c r="J118" s="49" t="n">
        <f aca="false">MIN($I$3-I118,K117)</f>
        <v>3011.85401032111</v>
      </c>
      <c r="K118" s="49" t="n">
        <f aca="false">K117-J118</f>
        <v>2215939.07537141</v>
      </c>
      <c r="L118" s="49" t="n">
        <f aca="false">C118+F118+I118</f>
        <v>12199.9852094141</v>
      </c>
      <c r="M118" s="49" t="n">
        <f aca="false">D118+G118+J118</f>
        <v>5533.37189884615</v>
      </c>
      <c r="N118" s="49" t="n">
        <f aca="false">L118+M118</f>
        <v>17733.3571082602</v>
      </c>
      <c r="O118" s="49" t="n">
        <f aca="false">E118+H118+K118</f>
        <v>4314020.71059748</v>
      </c>
    </row>
    <row r="119" customFormat="false" ht="15" hidden="false" customHeight="false" outlineLevel="0" collapsed="false">
      <c r="A119" s="48" t="n">
        <v>113</v>
      </c>
      <c r="B119" s="48" t="n">
        <f aca="false">ROUNDUP(A119/12,0)</f>
        <v>10</v>
      </c>
      <c r="C119" s="49" t="n">
        <f aca="false">E118*Annahmen!$B$55/12</f>
        <v>2237.50412500879</v>
      </c>
      <c r="D119" s="49" t="n">
        <f aca="false">MIN($C$3-C119,E118)</f>
        <v>1262.49587499122</v>
      </c>
      <c r="E119" s="49" t="n">
        <f aca="false">E118-D119</f>
        <v>1072739.48412923</v>
      </c>
      <c r="F119" s="49" t="n">
        <f aca="false">H118*Annahmen!$B$56/12</f>
        <v>2560.19913805464</v>
      </c>
      <c r="G119" s="49" t="n">
        <f aca="false">MIN($F$3-F119,H118)</f>
        <v>1264.80086194536</v>
      </c>
      <c r="H119" s="49" t="n">
        <f aca="false">H118-G119</f>
        <v>1022814.85435991</v>
      </c>
      <c r="I119" s="49" t="n">
        <f aca="false">K118*Annahmen!$B$57/12</f>
        <v>7386.46358457137</v>
      </c>
      <c r="J119" s="49" t="n">
        <f aca="false">MIN($I$3-I119,K118)</f>
        <v>3021.89352368885</v>
      </c>
      <c r="K119" s="49" t="n">
        <f aca="false">K118-J119</f>
        <v>2212917.18184772</v>
      </c>
      <c r="L119" s="49" t="n">
        <f aca="false">C119+F119+I119</f>
        <v>12184.1668476348</v>
      </c>
      <c r="M119" s="49" t="n">
        <f aca="false">D119+G119+J119</f>
        <v>5549.19026062543</v>
      </c>
      <c r="N119" s="49" t="n">
        <f aca="false">L119+M119</f>
        <v>17733.3571082602</v>
      </c>
      <c r="O119" s="49" t="n">
        <f aca="false">E119+H119+K119</f>
        <v>4308471.52033686</v>
      </c>
    </row>
    <row r="120" customFormat="false" ht="15" hidden="false" customHeight="false" outlineLevel="0" collapsed="false">
      <c r="A120" s="48" t="n">
        <v>114</v>
      </c>
      <c r="B120" s="48" t="n">
        <f aca="false">ROUNDUP(A120/12,0)</f>
        <v>10</v>
      </c>
      <c r="C120" s="49" t="n">
        <f aca="false">E119*Annahmen!$B$55/12</f>
        <v>2234.87392526922</v>
      </c>
      <c r="D120" s="49" t="n">
        <f aca="false">MIN($C$3-C120,E119)</f>
        <v>1265.12607473078</v>
      </c>
      <c r="E120" s="49" t="n">
        <f aca="false">E119-D120</f>
        <v>1071474.3580545</v>
      </c>
      <c r="F120" s="49" t="n">
        <f aca="false">H119*Annahmen!$B$56/12</f>
        <v>2557.03713589977</v>
      </c>
      <c r="G120" s="49" t="n">
        <f aca="false">MIN($F$3-F120,H119)</f>
        <v>1267.96286410023</v>
      </c>
      <c r="H120" s="49" t="n">
        <f aca="false">H119-G120</f>
        <v>1021546.89149581</v>
      </c>
      <c r="I120" s="49" t="n">
        <f aca="false">K119*Annahmen!$B$57/12</f>
        <v>7376.39060615908</v>
      </c>
      <c r="J120" s="49" t="n">
        <f aca="false">MIN($I$3-I120,K119)</f>
        <v>3031.96650210115</v>
      </c>
      <c r="K120" s="49" t="n">
        <f aca="false">K119-J120</f>
        <v>2209885.21534562</v>
      </c>
      <c r="L120" s="49" t="n">
        <f aca="false">C120+F120+I120</f>
        <v>12168.3016673281</v>
      </c>
      <c r="M120" s="49" t="n">
        <f aca="false">D120+G120+J120</f>
        <v>5565.05544093215</v>
      </c>
      <c r="N120" s="49" t="n">
        <f aca="false">L120+M120</f>
        <v>17733.3571082602</v>
      </c>
      <c r="O120" s="49" t="n">
        <f aca="false">E120+H120+K120</f>
        <v>4302906.46489593</v>
      </c>
    </row>
    <row r="121" customFormat="false" ht="15" hidden="false" customHeight="false" outlineLevel="0" collapsed="false">
      <c r="A121" s="48" t="n">
        <v>115</v>
      </c>
      <c r="B121" s="48" t="n">
        <f aca="false">ROUNDUP(A121/12,0)</f>
        <v>10</v>
      </c>
      <c r="C121" s="49" t="n">
        <f aca="false">E120*Annahmen!$B$55/12</f>
        <v>2232.23824594687</v>
      </c>
      <c r="D121" s="49" t="n">
        <f aca="false">MIN($C$3-C121,E120)</f>
        <v>1267.76175405314</v>
      </c>
      <c r="E121" s="49" t="n">
        <f aca="false">E120-D121</f>
        <v>1070206.59630044</v>
      </c>
      <c r="F121" s="49" t="n">
        <f aca="false">H120*Annahmen!$B$56/12</f>
        <v>2553.86722873952</v>
      </c>
      <c r="G121" s="49" t="n">
        <f aca="false">MIN($F$3-F121,H120)</f>
        <v>1271.13277126048</v>
      </c>
      <c r="H121" s="49" t="n">
        <f aca="false">H120-G121</f>
        <v>1020275.75872455</v>
      </c>
      <c r="I121" s="49" t="n">
        <f aca="false">K120*Annahmen!$B$57/12</f>
        <v>7366.28405115207</v>
      </c>
      <c r="J121" s="49" t="n">
        <f aca="false">MIN($I$3-I121,K120)</f>
        <v>3042.07305710815</v>
      </c>
      <c r="K121" s="49" t="n">
        <f aca="false">K120-J121</f>
        <v>2206843.14228851</v>
      </c>
      <c r="L121" s="49" t="n">
        <f aca="false">C121+F121+I121</f>
        <v>12152.3895258385</v>
      </c>
      <c r="M121" s="49" t="n">
        <f aca="false">D121+G121+J121</f>
        <v>5580.96758242177</v>
      </c>
      <c r="N121" s="49" t="n">
        <f aca="false">L121+M121</f>
        <v>17733.3571082602</v>
      </c>
      <c r="O121" s="49" t="n">
        <f aca="false">E121+H121+K121</f>
        <v>4297325.4973135</v>
      </c>
    </row>
    <row r="122" customFormat="false" ht="15" hidden="false" customHeight="false" outlineLevel="0" collapsed="false">
      <c r="A122" s="48" t="n">
        <v>116</v>
      </c>
      <c r="B122" s="48" t="n">
        <f aca="false">ROUNDUP(A122/12,0)</f>
        <v>10</v>
      </c>
      <c r="C122" s="49" t="n">
        <f aca="false">E121*Annahmen!$B$55/12</f>
        <v>2229.59707562592</v>
      </c>
      <c r="D122" s="49" t="n">
        <f aca="false">MIN($C$3-C122,E121)</f>
        <v>1270.40292437408</v>
      </c>
      <c r="E122" s="49" t="n">
        <f aca="false">E121-D122</f>
        <v>1068936.19337607</v>
      </c>
      <c r="F122" s="49" t="n">
        <f aca="false">H121*Annahmen!$B$56/12</f>
        <v>2550.68939681137</v>
      </c>
      <c r="G122" s="49" t="n">
        <f aca="false">MIN($F$3-F122,H121)</f>
        <v>1274.31060318863</v>
      </c>
      <c r="H122" s="49" t="n">
        <f aca="false">H121-G122</f>
        <v>1019001.44812136</v>
      </c>
      <c r="I122" s="49" t="n">
        <f aca="false">K121*Annahmen!$B$57/12</f>
        <v>7356.14380762838</v>
      </c>
      <c r="J122" s="49" t="n">
        <f aca="false">MIN($I$3-I122,K121)</f>
        <v>3052.21330063184</v>
      </c>
      <c r="K122" s="49" t="n">
        <f aca="false">K121-J122</f>
        <v>2203790.92898788</v>
      </c>
      <c r="L122" s="49" t="n">
        <f aca="false">C122+F122+I122</f>
        <v>12136.4302800657</v>
      </c>
      <c r="M122" s="49" t="n">
        <f aca="false">D122+G122+J122</f>
        <v>5596.92682819455</v>
      </c>
      <c r="N122" s="49" t="n">
        <f aca="false">L122+M122</f>
        <v>17733.3571082602</v>
      </c>
      <c r="O122" s="49" t="n">
        <f aca="false">E122+H122+K122</f>
        <v>4291728.57048531</v>
      </c>
    </row>
    <row r="123" customFormat="false" ht="15" hidden="false" customHeight="false" outlineLevel="0" collapsed="false">
      <c r="A123" s="48" t="n">
        <v>117</v>
      </c>
      <c r="B123" s="48" t="n">
        <f aca="false">ROUNDUP(A123/12,0)</f>
        <v>10</v>
      </c>
      <c r="C123" s="49" t="n">
        <f aca="false">E122*Annahmen!$B$55/12</f>
        <v>2226.95040286681</v>
      </c>
      <c r="D123" s="49" t="n">
        <f aca="false">MIN($C$3-C123,E122)</f>
        <v>1273.04959713319</v>
      </c>
      <c r="E123" s="49" t="n">
        <f aca="false">E122-D123</f>
        <v>1067663.14377893</v>
      </c>
      <c r="F123" s="49" t="n">
        <f aca="false">H122*Annahmen!$B$56/12</f>
        <v>2547.5036203034</v>
      </c>
      <c r="G123" s="49" t="n">
        <f aca="false">MIN($F$3-F123,H122)</f>
        <v>1277.4963796966</v>
      </c>
      <c r="H123" s="49" t="n">
        <f aca="false">H122-G123</f>
        <v>1017723.95174166</v>
      </c>
      <c r="I123" s="49" t="n">
        <f aca="false">K122*Annahmen!$B$57/12</f>
        <v>7345.96976329294</v>
      </c>
      <c r="J123" s="49" t="n">
        <f aca="false">MIN($I$3-I123,K122)</f>
        <v>3062.38734496728</v>
      </c>
      <c r="K123" s="49" t="n">
        <f aca="false">K122-J123</f>
        <v>2200728.54164291</v>
      </c>
      <c r="L123" s="49" t="n">
        <f aca="false">C123+F123+I123</f>
        <v>12120.4237864631</v>
      </c>
      <c r="M123" s="49" t="n">
        <f aca="false">D123+G123+J123</f>
        <v>5612.93332179708</v>
      </c>
      <c r="N123" s="49" t="n">
        <f aca="false">L123+M123</f>
        <v>17733.3571082602</v>
      </c>
      <c r="O123" s="49" t="n">
        <f aca="false">E123+H123+K123</f>
        <v>4286115.63716351</v>
      </c>
    </row>
    <row r="124" customFormat="false" ht="15" hidden="false" customHeight="false" outlineLevel="0" collapsed="false">
      <c r="A124" s="48" t="n">
        <v>118</v>
      </c>
      <c r="B124" s="48" t="n">
        <f aca="false">ROUNDUP(A124/12,0)</f>
        <v>10</v>
      </c>
      <c r="C124" s="49" t="n">
        <f aca="false">E123*Annahmen!$B$55/12</f>
        <v>2224.29821620611</v>
      </c>
      <c r="D124" s="49" t="n">
        <f aca="false">MIN($C$3-C124,E123)</f>
        <v>1275.70178379389</v>
      </c>
      <c r="E124" s="49" t="n">
        <f aca="false">E123-D124</f>
        <v>1066387.44199514</v>
      </c>
      <c r="F124" s="49" t="n">
        <f aca="false">H123*Annahmen!$B$56/12</f>
        <v>2544.30987935416</v>
      </c>
      <c r="G124" s="49" t="n">
        <f aca="false">MIN($F$3-F124,H123)</f>
        <v>1280.69012064584</v>
      </c>
      <c r="H124" s="49" t="n">
        <f aca="false">H123-G124</f>
        <v>1016443.26162102</v>
      </c>
      <c r="I124" s="49" t="n">
        <f aca="false">K123*Annahmen!$B$57/12</f>
        <v>7335.76180547638</v>
      </c>
      <c r="J124" s="49" t="n">
        <f aca="false">MIN($I$3-I124,K123)</f>
        <v>3072.59530278384</v>
      </c>
      <c r="K124" s="49" t="n">
        <f aca="false">K123-J124</f>
        <v>2197655.94634013</v>
      </c>
      <c r="L124" s="49" t="n">
        <f aca="false">C124+F124+I124</f>
        <v>12104.3699010367</v>
      </c>
      <c r="M124" s="49" t="n">
        <f aca="false">D124+G124+J124</f>
        <v>5628.98720722357</v>
      </c>
      <c r="N124" s="49" t="n">
        <f aca="false">L124+M124</f>
        <v>17733.3571082602</v>
      </c>
      <c r="O124" s="49" t="n">
        <f aca="false">E124+H124+K124</f>
        <v>4280486.64995629</v>
      </c>
    </row>
    <row r="125" customFormat="false" ht="15" hidden="false" customHeight="false" outlineLevel="0" collapsed="false">
      <c r="A125" s="48" t="n">
        <v>119</v>
      </c>
      <c r="B125" s="48" t="n">
        <f aca="false">ROUNDUP(A125/12,0)</f>
        <v>10</v>
      </c>
      <c r="C125" s="49" t="n">
        <f aca="false">E124*Annahmen!$B$55/12</f>
        <v>2221.64050415654</v>
      </c>
      <c r="D125" s="49" t="n">
        <f aca="false">MIN($C$3-C125,E124)</f>
        <v>1278.35949584346</v>
      </c>
      <c r="E125" s="49" t="n">
        <f aca="false">E124-D125</f>
        <v>1065109.0824993</v>
      </c>
      <c r="F125" s="49" t="n">
        <f aca="false">H124*Annahmen!$B$56/12</f>
        <v>2541.10815405254</v>
      </c>
      <c r="G125" s="49" t="n">
        <f aca="false">MIN($F$3-F125,H124)</f>
        <v>1283.89184594746</v>
      </c>
      <c r="H125" s="49" t="n">
        <f aca="false">H124-G125</f>
        <v>1015159.36977507</v>
      </c>
      <c r="I125" s="49" t="n">
        <f aca="false">K124*Annahmen!$B$57/12</f>
        <v>7325.51982113377</v>
      </c>
      <c r="J125" s="49" t="n">
        <f aca="false">MIN($I$3-I125,K124)</f>
        <v>3082.83728712645</v>
      </c>
      <c r="K125" s="49" t="n">
        <f aca="false">K124-J125</f>
        <v>2194573.109053</v>
      </c>
      <c r="L125" s="49" t="n">
        <f aca="false">C125+F125+I125</f>
        <v>12088.2684793429</v>
      </c>
      <c r="M125" s="49" t="n">
        <f aca="false">D125+G125+J125</f>
        <v>5645.08862891737</v>
      </c>
      <c r="N125" s="49" t="n">
        <f aca="false">L125+M125</f>
        <v>17733.3571082602</v>
      </c>
      <c r="O125" s="49" t="n">
        <f aca="false">E125+H125+K125</f>
        <v>4274841.56132737</v>
      </c>
    </row>
    <row r="126" customFormat="false" ht="15" hidden="false" customHeight="false" outlineLevel="0" collapsed="false">
      <c r="A126" s="48" t="n">
        <v>120</v>
      </c>
      <c r="B126" s="48" t="n">
        <f aca="false">ROUNDUP(A126/12,0)</f>
        <v>10</v>
      </c>
      <c r="C126" s="49" t="n">
        <f aca="false">E125*Annahmen!$B$55/12</f>
        <v>2218.97725520687</v>
      </c>
      <c r="D126" s="49" t="n">
        <f aca="false">MIN($C$3-C126,E125)</f>
        <v>1281.02274479313</v>
      </c>
      <c r="E126" s="49" t="n">
        <f aca="false">E125-D126</f>
        <v>1063828.0597545</v>
      </c>
      <c r="F126" s="49" t="n">
        <f aca="false">H125*Annahmen!$B$56/12</f>
        <v>2537.89842443768</v>
      </c>
      <c r="G126" s="49" t="n">
        <f aca="false">MIN($F$3-F126,H125)</f>
        <v>1287.10157556232</v>
      </c>
      <c r="H126" s="49" t="n">
        <f aca="false">H125-G126</f>
        <v>1013872.26819951</v>
      </c>
      <c r="I126" s="49" t="n">
        <f aca="false">K125*Annahmen!$B$57/12</f>
        <v>7315.24369684335</v>
      </c>
      <c r="J126" s="49" t="n">
        <f aca="false">MIN($I$3-I126,K125)</f>
        <v>3093.11341141688</v>
      </c>
      <c r="K126" s="49" t="n">
        <f aca="false">K125-J126</f>
        <v>2191479.99564159</v>
      </c>
      <c r="L126" s="49" t="n">
        <f aca="false">C126+F126+I126</f>
        <v>12072.1193764879</v>
      </c>
      <c r="M126" s="49" t="n">
        <f aca="false">D126+G126+J126</f>
        <v>5661.23773177233</v>
      </c>
      <c r="N126" s="49" t="n">
        <f aca="false">L126+M126</f>
        <v>17733.3571082602</v>
      </c>
      <c r="O126" s="49" t="n">
        <f aca="false">E126+H126+K126</f>
        <v>4269180.3235956</v>
      </c>
    </row>
    <row r="127" customFormat="false" ht="15" hidden="false" customHeight="false" outlineLevel="0" collapsed="false">
      <c r="A127" s="48" t="n">
        <v>121</v>
      </c>
      <c r="B127" s="48" t="n">
        <f aca="false">ROUNDUP(A127/12,0)</f>
        <v>11</v>
      </c>
      <c r="C127" s="49" t="n">
        <f aca="false">E126*Annahmen!$B$55/12</f>
        <v>2216.30845782188</v>
      </c>
      <c r="D127" s="49" t="n">
        <f aca="false">MIN($C$3-C127,E126)</f>
        <v>1283.69154217812</v>
      </c>
      <c r="E127" s="49" t="n">
        <f aca="false">E126-D127</f>
        <v>1062544.36821233</v>
      </c>
      <c r="F127" s="49" t="n">
        <f aca="false">H126*Annahmen!$B$56/12</f>
        <v>2534.68067049877</v>
      </c>
      <c r="G127" s="49" t="n">
        <f aca="false">MIN($F$3-F127,H126)</f>
        <v>1290.31932950123</v>
      </c>
      <c r="H127" s="49" t="n">
        <f aca="false">H126-G127</f>
        <v>1012581.94887001</v>
      </c>
      <c r="I127" s="49" t="n">
        <f aca="false">K126*Annahmen!$B$57/12</f>
        <v>7304.93331880529</v>
      </c>
      <c r="J127" s="49" t="n">
        <f aca="false">MIN($I$3-I127,K126)</f>
        <v>3103.42378945493</v>
      </c>
      <c r="K127" s="49" t="n">
        <f aca="false">K126-J127</f>
        <v>2188376.57185213</v>
      </c>
      <c r="L127" s="49" t="n">
        <f aca="false">C127+F127+I127</f>
        <v>12055.9224471259</v>
      </c>
      <c r="M127" s="49" t="n">
        <f aca="false">D127+G127+J127</f>
        <v>5677.43466113428</v>
      </c>
      <c r="N127" s="49" t="n">
        <f aca="false">L127+M127</f>
        <v>17733.3571082602</v>
      </c>
      <c r="O127" s="49" t="n">
        <f aca="false">E127+H127+K127</f>
        <v>4263502.88893447</v>
      </c>
    </row>
    <row r="128" customFormat="false" ht="15" hidden="false" customHeight="false" outlineLevel="0" collapsed="false">
      <c r="A128" s="48" t="n">
        <v>122</v>
      </c>
      <c r="B128" s="48" t="n">
        <f aca="false">ROUNDUP(A128/12,0)</f>
        <v>11</v>
      </c>
      <c r="C128" s="49" t="n">
        <f aca="false">E127*Annahmen!$B$55/12</f>
        <v>2213.63410044235</v>
      </c>
      <c r="D128" s="49" t="n">
        <f aca="false">MIN($C$3-C128,E127)</f>
        <v>1286.36589955766</v>
      </c>
      <c r="E128" s="49" t="n">
        <f aca="false">E127-D128</f>
        <v>1061258.00231277</v>
      </c>
      <c r="F128" s="49" t="n">
        <f aca="false">H127*Annahmen!$B$56/12</f>
        <v>2531.45487217502</v>
      </c>
      <c r="G128" s="49" t="n">
        <f aca="false">MIN($F$3-F128,H127)</f>
        <v>1293.54512782498</v>
      </c>
      <c r="H128" s="49" t="n">
        <f aca="false">H127-G128</f>
        <v>1011288.40374218</v>
      </c>
      <c r="I128" s="49" t="n">
        <f aca="false">K127*Annahmen!$B$57/12</f>
        <v>7294.58857284044</v>
      </c>
      <c r="J128" s="49" t="n">
        <f aca="false">MIN($I$3-I128,K127)</f>
        <v>3113.76853541978</v>
      </c>
      <c r="K128" s="49" t="n">
        <f aca="false">K127-J128</f>
        <v>2185262.80331671</v>
      </c>
      <c r="L128" s="49" t="n">
        <f aca="false">C128+F128+I128</f>
        <v>12039.6775454578</v>
      </c>
      <c r="M128" s="49" t="n">
        <f aca="false">D128+G128+J128</f>
        <v>5693.67956280242</v>
      </c>
      <c r="N128" s="49" t="n">
        <f aca="false">L128+M128</f>
        <v>17733.3571082602</v>
      </c>
      <c r="O128" s="49" t="n">
        <f aca="false">E128+H128+K128</f>
        <v>4257809.20937166</v>
      </c>
    </row>
    <row r="129" customFormat="false" ht="15" hidden="false" customHeight="false" outlineLevel="0" collapsed="false">
      <c r="A129" s="48" t="n">
        <v>123</v>
      </c>
      <c r="B129" s="48" t="n">
        <f aca="false">ROUNDUP(A129/12,0)</f>
        <v>11</v>
      </c>
      <c r="C129" s="49" t="n">
        <f aca="false">E128*Annahmen!$B$55/12</f>
        <v>2210.95417148493</v>
      </c>
      <c r="D129" s="49" t="n">
        <f aca="false">MIN($C$3-C129,E128)</f>
        <v>1289.04582851507</v>
      </c>
      <c r="E129" s="49" t="n">
        <f aca="false">E128-D129</f>
        <v>1059968.95648425</v>
      </c>
      <c r="F129" s="49" t="n">
        <f aca="false">H128*Annahmen!$B$56/12</f>
        <v>2528.22100935545</v>
      </c>
      <c r="G129" s="49" t="n">
        <f aca="false">MIN($F$3-F129,H128)</f>
        <v>1296.77899064455</v>
      </c>
      <c r="H129" s="49" t="n">
        <f aca="false">H128-G129</f>
        <v>1009991.62475154</v>
      </c>
      <c r="I129" s="49" t="n">
        <f aca="false">K128*Annahmen!$B$57/12</f>
        <v>7284.20934438904</v>
      </c>
      <c r="J129" s="49" t="n">
        <f aca="false">MIN($I$3-I129,K128)</f>
        <v>3124.14776387118</v>
      </c>
      <c r="K129" s="49" t="n">
        <f aca="false">K128-J129</f>
        <v>2182138.65555284</v>
      </c>
      <c r="L129" s="49" t="n">
        <f aca="false">C129+F129+I129</f>
        <v>12023.3845252294</v>
      </c>
      <c r="M129" s="49" t="n">
        <f aca="false">D129+G129+J129</f>
        <v>5709.97258303079</v>
      </c>
      <c r="N129" s="49" t="n">
        <f aca="false">L129+M129</f>
        <v>17733.3571082602</v>
      </c>
      <c r="O129" s="49" t="n">
        <f aca="false">E129+H129+K129</f>
        <v>4252099.23678863</v>
      </c>
    </row>
    <row r="130" customFormat="false" ht="15" hidden="false" customHeight="false" outlineLevel="0" collapsed="false">
      <c r="A130" s="48" t="n">
        <v>124</v>
      </c>
      <c r="B130" s="48" t="n">
        <f aca="false">ROUNDUP(A130/12,0)</f>
        <v>11</v>
      </c>
      <c r="C130" s="49" t="n">
        <f aca="false">E129*Annahmen!$B$55/12</f>
        <v>2208.26865934219</v>
      </c>
      <c r="D130" s="49" t="n">
        <f aca="false">MIN($C$3-C130,E129)</f>
        <v>1291.73134065781</v>
      </c>
      <c r="E130" s="49" t="n">
        <f aca="false">E129-D130</f>
        <v>1058677.2251436</v>
      </c>
      <c r="F130" s="49" t="n">
        <f aca="false">H129*Annahmen!$B$56/12</f>
        <v>2524.97906187884</v>
      </c>
      <c r="G130" s="49" t="n">
        <f aca="false">MIN($F$3-F130,H129)</f>
        <v>1300.02093812116</v>
      </c>
      <c r="H130" s="49" t="n">
        <f aca="false">H129-G130</f>
        <v>1008691.60381342</v>
      </c>
      <c r="I130" s="49" t="n">
        <f aca="false">K129*Annahmen!$B$57/12</f>
        <v>7273.79551850947</v>
      </c>
      <c r="J130" s="49" t="n">
        <f aca="false">MIN($I$3-I130,K129)</f>
        <v>3134.56158975075</v>
      </c>
      <c r="K130" s="49" t="n">
        <f aca="false">K129-J130</f>
        <v>2179004.09396309</v>
      </c>
      <c r="L130" s="49" t="n">
        <f aca="false">C130+F130+I130</f>
        <v>12007.0432397305</v>
      </c>
      <c r="M130" s="49" t="n">
        <f aca="false">D130+G130+J130</f>
        <v>5726.31386852972</v>
      </c>
      <c r="N130" s="49" t="n">
        <f aca="false">L130+M130</f>
        <v>17733.3571082602</v>
      </c>
      <c r="O130" s="49" t="n">
        <f aca="false">E130+H130+K130</f>
        <v>4246372.9229201</v>
      </c>
    </row>
    <row r="131" customFormat="false" ht="15" hidden="false" customHeight="false" outlineLevel="0" collapsed="false">
      <c r="A131" s="48" t="n">
        <v>125</v>
      </c>
      <c r="B131" s="48" t="n">
        <f aca="false">ROUNDUP(A131/12,0)</f>
        <v>11</v>
      </c>
      <c r="C131" s="49" t="n">
        <f aca="false">E130*Annahmen!$B$55/12</f>
        <v>2205.57755238249</v>
      </c>
      <c r="D131" s="49" t="n">
        <f aca="false">MIN($C$3-C131,E130)</f>
        <v>1294.42244761751</v>
      </c>
      <c r="E131" s="49" t="n">
        <f aca="false">E130-D131</f>
        <v>1057382.80269598</v>
      </c>
      <c r="F131" s="49" t="n">
        <f aca="false">H130*Annahmen!$B$56/12</f>
        <v>2521.72900953354</v>
      </c>
      <c r="G131" s="49" t="n">
        <f aca="false">MIN($F$3-F131,H130)</f>
        <v>1303.27099046646</v>
      </c>
      <c r="H131" s="49" t="n">
        <f aca="false">H130-G131</f>
        <v>1007388.33282295</v>
      </c>
      <c r="I131" s="49" t="n">
        <f aca="false">K130*Annahmen!$B$57/12</f>
        <v>7263.34697987697</v>
      </c>
      <c r="J131" s="49" t="n">
        <f aca="false">MIN($I$3-I131,K130)</f>
        <v>3145.01012838325</v>
      </c>
      <c r="K131" s="49" t="n">
        <f aca="false">K130-J131</f>
        <v>2175859.08383471</v>
      </c>
      <c r="L131" s="49" t="n">
        <f aca="false">C131+F131+I131</f>
        <v>11990.653541793</v>
      </c>
      <c r="M131" s="49" t="n">
        <f aca="false">D131+G131+J131</f>
        <v>5742.70356646723</v>
      </c>
      <c r="N131" s="49" t="n">
        <f aca="false">L131+M131</f>
        <v>17733.3571082602</v>
      </c>
      <c r="O131" s="49" t="n">
        <f aca="false">E131+H131+K131</f>
        <v>4240630.21935364</v>
      </c>
    </row>
    <row r="132" customFormat="false" ht="15" hidden="false" customHeight="false" outlineLevel="0" collapsed="false">
      <c r="A132" s="48" t="n">
        <v>126</v>
      </c>
      <c r="B132" s="48" t="n">
        <f aca="false">ROUNDUP(A132/12,0)</f>
        <v>11</v>
      </c>
      <c r="C132" s="49" t="n">
        <f aca="false">E131*Annahmen!$B$55/12</f>
        <v>2202.88083894995</v>
      </c>
      <c r="D132" s="49" t="n">
        <f aca="false">MIN($C$3-C132,E131)</f>
        <v>1297.11916105005</v>
      </c>
      <c r="E132" s="49" t="n">
        <f aca="false">E131-D132</f>
        <v>1056085.68353493</v>
      </c>
      <c r="F132" s="49" t="n">
        <f aca="false">H131*Annahmen!$B$56/12</f>
        <v>2518.47083205737</v>
      </c>
      <c r="G132" s="49" t="n">
        <f aca="false">MIN($F$3-F132,H131)</f>
        <v>1306.52916794263</v>
      </c>
      <c r="H132" s="49" t="n">
        <f aca="false">H131-G132</f>
        <v>1006081.80365501</v>
      </c>
      <c r="I132" s="49" t="n">
        <f aca="false">K131*Annahmen!$B$57/12</f>
        <v>7252.86361278236</v>
      </c>
      <c r="J132" s="49" t="n">
        <f aca="false">MIN($I$3-I132,K131)</f>
        <v>3155.49349547786</v>
      </c>
      <c r="K132" s="49" t="n">
        <f aca="false">K131-J132</f>
        <v>2172703.59033923</v>
      </c>
      <c r="L132" s="49" t="n">
        <f aca="false">C132+F132+I132</f>
        <v>11974.2152837897</v>
      </c>
      <c r="M132" s="49" t="n">
        <f aca="false">D132+G132+J132</f>
        <v>5759.14182447054</v>
      </c>
      <c r="N132" s="49" t="n">
        <f aca="false">L132+M132</f>
        <v>17733.3571082602</v>
      </c>
      <c r="O132" s="49" t="n">
        <f aca="false">E132+H132+K132</f>
        <v>4234871.07752916</v>
      </c>
    </row>
    <row r="133" customFormat="false" ht="15" hidden="false" customHeight="false" outlineLevel="0" collapsed="false">
      <c r="A133" s="48" t="n">
        <v>127</v>
      </c>
      <c r="B133" s="48" t="n">
        <f aca="false">ROUNDUP(A133/12,0)</f>
        <v>11</v>
      </c>
      <c r="C133" s="49" t="n">
        <f aca="false">E132*Annahmen!$B$55/12</f>
        <v>2200.17850736443</v>
      </c>
      <c r="D133" s="49" t="n">
        <f aca="false">MIN($C$3-C133,E132)</f>
        <v>1299.82149263557</v>
      </c>
      <c r="E133" s="49" t="n">
        <f aca="false">E132-D133</f>
        <v>1054785.86204229</v>
      </c>
      <c r="F133" s="49" t="n">
        <f aca="false">H132*Annahmen!$B$56/12</f>
        <v>2515.20450913752</v>
      </c>
      <c r="G133" s="49" t="n">
        <f aca="false">MIN($F$3-F133,H132)</f>
        <v>1309.79549086248</v>
      </c>
      <c r="H133" s="49" t="n">
        <f aca="false">H132-G133</f>
        <v>1004772.00816414</v>
      </c>
      <c r="I133" s="49" t="n">
        <f aca="false">K132*Annahmen!$B$57/12</f>
        <v>7242.34530113077</v>
      </c>
      <c r="J133" s="49" t="n">
        <f aca="false">MIN($I$3-I133,K132)</f>
        <v>3166.01180712946</v>
      </c>
      <c r="K133" s="49" t="n">
        <f aca="false">K132-J133</f>
        <v>2169537.5785321</v>
      </c>
      <c r="L133" s="49" t="n">
        <f aca="false">C133+F133+I133</f>
        <v>11957.7283176327</v>
      </c>
      <c r="M133" s="49" t="n">
        <f aca="false">D133+G133+J133</f>
        <v>5775.62879062751</v>
      </c>
      <c r="N133" s="49" t="n">
        <f aca="false">L133+M133</f>
        <v>17733.3571082602</v>
      </c>
      <c r="O133" s="49" t="n">
        <f aca="false">E133+H133+K133</f>
        <v>4229095.44873854</v>
      </c>
    </row>
    <row r="134" customFormat="false" ht="15" hidden="false" customHeight="false" outlineLevel="0" collapsed="false">
      <c r="A134" s="48" t="n">
        <v>128</v>
      </c>
      <c r="B134" s="48" t="n">
        <f aca="false">ROUNDUP(A134/12,0)</f>
        <v>11</v>
      </c>
      <c r="C134" s="49" t="n">
        <f aca="false">E133*Annahmen!$B$55/12</f>
        <v>2197.47054592144</v>
      </c>
      <c r="D134" s="49" t="n">
        <f aca="false">MIN($C$3-C134,E133)</f>
        <v>1302.52945407856</v>
      </c>
      <c r="E134" s="49" t="n">
        <f aca="false">E133-D134</f>
        <v>1053483.33258821</v>
      </c>
      <c r="F134" s="49" t="n">
        <f aca="false">H133*Annahmen!$B$56/12</f>
        <v>2511.93002041036</v>
      </c>
      <c r="G134" s="49" t="n">
        <f aca="false">MIN($F$3-F134,H133)</f>
        <v>1313.06997958964</v>
      </c>
      <c r="H134" s="49" t="n">
        <f aca="false">H133-G134</f>
        <v>1003458.93818455</v>
      </c>
      <c r="I134" s="49" t="n">
        <f aca="false">K133*Annahmen!$B$57/12</f>
        <v>7231.79192844033</v>
      </c>
      <c r="J134" s="49" t="n">
        <f aca="false">MIN($I$3-I134,K133)</f>
        <v>3176.56517981989</v>
      </c>
      <c r="K134" s="49" t="n">
        <f aca="false">K133-J134</f>
        <v>2166361.01335228</v>
      </c>
      <c r="L134" s="49" t="n">
        <f aca="false">C134+F134+I134</f>
        <v>11941.1924947721</v>
      </c>
      <c r="M134" s="49" t="n">
        <f aca="false">D134+G134+J134</f>
        <v>5792.16461348809</v>
      </c>
      <c r="N134" s="49" t="n">
        <f aca="false">L134+M134</f>
        <v>17733.3571082602</v>
      </c>
      <c r="O134" s="49" t="n">
        <f aca="false">E134+H134+K134</f>
        <v>4223303.28412505</v>
      </c>
    </row>
    <row r="135" customFormat="false" ht="15" hidden="false" customHeight="false" outlineLevel="0" collapsed="false">
      <c r="A135" s="48" t="n">
        <v>129</v>
      </c>
      <c r="B135" s="48" t="n">
        <f aca="false">ROUNDUP(A135/12,0)</f>
        <v>11</v>
      </c>
      <c r="C135" s="49" t="n">
        <f aca="false">E134*Annahmen!$B$55/12</f>
        <v>2194.75694289211</v>
      </c>
      <c r="D135" s="49" t="n">
        <f aca="false">MIN($C$3-C135,E134)</f>
        <v>1305.24305710789</v>
      </c>
      <c r="E135" s="49" t="n">
        <f aca="false">E134-D135</f>
        <v>1052178.08953111</v>
      </c>
      <c r="F135" s="49" t="n">
        <f aca="false">H134*Annahmen!$B$56/12</f>
        <v>2508.64734546139</v>
      </c>
      <c r="G135" s="49" t="n">
        <f aca="false">MIN($F$3-F135,H134)</f>
        <v>1316.35265453861</v>
      </c>
      <c r="H135" s="49" t="n">
        <f aca="false">H134-G135</f>
        <v>1002142.58553002</v>
      </c>
      <c r="I135" s="49" t="n">
        <f aca="false">K134*Annahmen!$B$57/12</f>
        <v>7221.20337784094</v>
      </c>
      <c r="J135" s="49" t="n">
        <f aca="false">MIN($I$3-I135,K134)</f>
        <v>3187.15373041929</v>
      </c>
      <c r="K135" s="49" t="n">
        <f aca="false">K134-J135</f>
        <v>2163173.85962186</v>
      </c>
      <c r="L135" s="49" t="n">
        <f aca="false">C135+F135+I135</f>
        <v>11924.6076661944</v>
      </c>
      <c r="M135" s="49" t="n">
        <f aca="false">D135+G135+J135</f>
        <v>5808.74944206579</v>
      </c>
      <c r="N135" s="49" t="n">
        <f aca="false">L135+M135</f>
        <v>17733.3571082602</v>
      </c>
      <c r="O135" s="49" t="n">
        <f aca="false">E135+H135+K135</f>
        <v>4217494.53468298</v>
      </c>
    </row>
    <row r="136" customFormat="false" ht="15" hidden="false" customHeight="false" outlineLevel="0" collapsed="false">
      <c r="A136" s="48" t="n">
        <v>130</v>
      </c>
      <c r="B136" s="48" t="n">
        <f aca="false">ROUNDUP(A136/12,0)</f>
        <v>11</v>
      </c>
      <c r="C136" s="49" t="n">
        <f aca="false">E135*Annahmen!$B$55/12</f>
        <v>2192.03768652314</v>
      </c>
      <c r="D136" s="49" t="n">
        <f aca="false">MIN($C$3-C136,E135)</f>
        <v>1307.96231347686</v>
      </c>
      <c r="E136" s="49" t="n">
        <f aca="false">E135-D136</f>
        <v>1050870.12721763</v>
      </c>
      <c r="F136" s="49" t="n">
        <f aca="false">H135*Annahmen!$B$56/12</f>
        <v>2505.35646382504</v>
      </c>
      <c r="G136" s="49" t="n">
        <f aca="false">MIN($F$3-F136,H135)</f>
        <v>1319.64353617496</v>
      </c>
      <c r="H136" s="49" t="n">
        <f aca="false">H135-G136</f>
        <v>1000822.94199384</v>
      </c>
      <c r="I136" s="49" t="n">
        <f aca="false">K135*Annahmen!$B$57/12</f>
        <v>7210.57953207287</v>
      </c>
      <c r="J136" s="49" t="n">
        <f aca="false">MIN($I$3-I136,K135)</f>
        <v>3197.77757618735</v>
      </c>
      <c r="K136" s="49" t="n">
        <f aca="false">K135-J136</f>
        <v>2159976.08204567</v>
      </c>
      <c r="L136" s="49" t="n">
        <f aca="false">C136+F136+I136</f>
        <v>11907.973682421</v>
      </c>
      <c r="M136" s="49" t="n">
        <f aca="false">D136+G136+J136</f>
        <v>5825.38342583918</v>
      </c>
      <c r="N136" s="49" t="n">
        <f aca="false">L136+M136</f>
        <v>17733.3571082602</v>
      </c>
      <c r="O136" s="49" t="n">
        <f aca="false">E136+H136+K136</f>
        <v>4211669.15125714</v>
      </c>
    </row>
    <row r="137" customFormat="false" ht="15" hidden="false" customHeight="false" outlineLevel="0" collapsed="false">
      <c r="A137" s="48" t="n">
        <v>131</v>
      </c>
      <c r="B137" s="48" t="n">
        <f aca="false">ROUNDUP(A137/12,0)</f>
        <v>11</v>
      </c>
      <c r="C137" s="49" t="n">
        <f aca="false">E136*Annahmen!$B$55/12</f>
        <v>2189.31276503673</v>
      </c>
      <c r="D137" s="49" t="n">
        <f aca="false">MIN($C$3-C137,E136)</f>
        <v>1310.68723496327</v>
      </c>
      <c r="E137" s="49" t="n">
        <f aca="false">E136-D137</f>
        <v>1049559.43998267</v>
      </c>
      <c r="F137" s="49" t="n">
        <f aca="false">H136*Annahmen!$B$56/12</f>
        <v>2502.0573549846</v>
      </c>
      <c r="G137" s="49" t="n">
        <f aca="false">MIN($F$3-F137,H136)</f>
        <v>1322.9426450154</v>
      </c>
      <c r="H137" s="49" t="n">
        <f aca="false">H136-G137</f>
        <v>999499.999348826</v>
      </c>
      <c r="I137" s="49" t="n">
        <f aca="false">K136*Annahmen!$B$57/12</f>
        <v>7199.92027348558</v>
      </c>
      <c r="J137" s="49" t="n">
        <f aca="false">MIN($I$3-I137,K136)</f>
        <v>3208.43683477464</v>
      </c>
      <c r="K137" s="49" t="n">
        <f aca="false">K136-J137</f>
        <v>2156767.6452109</v>
      </c>
      <c r="L137" s="49" t="n">
        <f aca="false">C137+F137+I137</f>
        <v>11891.2903935069</v>
      </c>
      <c r="M137" s="49" t="n">
        <f aca="false">D137+G137+J137</f>
        <v>5842.06671475332</v>
      </c>
      <c r="N137" s="49" t="n">
        <f aca="false">L137+M137</f>
        <v>17733.3571082602</v>
      </c>
      <c r="O137" s="49" t="n">
        <f aca="false">E137+H137+K137</f>
        <v>4205827.08454239</v>
      </c>
    </row>
    <row r="138" customFormat="false" ht="15" hidden="false" customHeight="false" outlineLevel="0" collapsed="false">
      <c r="A138" s="48" t="n">
        <v>132</v>
      </c>
      <c r="B138" s="48" t="n">
        <f aca="false">ROUNDUP(A138/12,0)</f>
        <v>11</v>
      </c>
      <c r="C138" s="49" t="n">
        <f aca="false">E137*Annahmen!$B$55/12</f>
        <v>2186.58216663055</v>
      </c>
      <c r="D138" s="49" t="n">
        <f aca="false">MIN($C$3-C138,E137)</f>
        <v>1313.41783336945</v>
      </c>
      <c r="E138" s="49" t="n">
        <f aca="false">E137-D138</f>
        <v>1048246.0221493</v>
      </c>
      <c r="F138" s="49" t="n">
        <f aca="false">H137*Annahmen!$B$56/12</f>
        <v>2498.74999837207</v>
      </c>
      <c r="G138" s="49" t="n">
        <f aca="false">MIN($F$3-F138,H137)</f>
        <v>1326.25000162794</v>
      </c>
      <c r="H138" s="49" t="n">
        <f aca="false">H137-G138</f>
        <v>998173.749347198</v>
      </c>
      <c r="I138" s="49" t="n">
        <f aca="false">K137*Annahmen!$B$57/12</f>
        <v>7189.22548403633</v>
      </c>
      <c r="J138" s="49" t="n">
        <f aca="false">MIN($I$3-I138,K137)</f>
        <v>3219.13162422389</v>
      </c>
      <c r="K138" s="49" t="n">
        <f aca="false">K137-J138</f>
        <v>2153548.51358668</v>
      </c>
      <c r="L138" s="49" t="n">
        <f aca="false">C138+F138+I138</f>
        <v>11874.557649039</v>
      </c>
      <c r="M138" s="49" t="n">
        <f aca="false">D138+G138+J138</f>
        <v>5858.79945922128</v>
      </c>
      <c r="N138" s="49" t="n">
        <f aca="false">L138+M138</f>
        <v>17733.3571082602</v>
      </c>
      <c r="O138" s="49" t="n">
        <f aca="false">E138+H138+K138</f>
        <v>4199968.28508317</v>
      </c>
    </row>
    <row r="139" customFormat="false" ht="15" hidden="false" customHeight="false" outlineLevel="0" collapsed="false">
      <c r="A139" s="48" t="n">
        <v>133</v>
      </c>
      <c r="B139" s="48" t="n">
        <f aca="false">ROUNDUP(A139/12,0)</f>
        <v>12</v>
      </c>
      <c r="C139" s="49" t="n">
        <f aca="false">E138*Annahmen!$B$55/12</f>
        <v>2183.8458794777</v>
      </c>
      <c r="D139" s="49" t="n">
        <f aca="false">MIN($C$3-C139,E138)</f>
        <v>1316.1541205223</v>
      </c>
      <c r="E139" s="49" t="n">
        <f aca="false">E138-D139</f>
        <v>1046929.86802877</v>
      </c>
      <c r="F139" s="49" t="n">
        <f aca="false">H138*Annahmen!$B$56/12</f>
        <v>2495.434373368</v>
      </c>
      <c r="G139" s="49" t="n">
        <f aca="false">MIN($F$3-F139,H138)</f>
        <v>1329.56562663201</v>
      </c>
      <c r="H139" s="49" t="n">
        <f aca="false">H138-G139</f>
        <v>996844.183720566</v>
      </c>
      <c r="I139" s="49" t="n">
        <f aca="false">K138*Annahmen!$B$57/12</f>
        <v>7178.49504528892</v>
      </c>
      <c r="J139" s="49" t="n">
        <f aca="false">MIN($I$3-I139,K138)</f>
        <v>3229.8620629713</v>
      </c>
      <c r="K139" s="49" t="n">
        <f aca="false">K138-J139</f>
        <v>2150318.6515237</v>
      </c>
      <c r="L139" s="49" t="n">
        <f aca="false">C139+F139+I139</f>
        <v>11857.7752981346</v>
      </c>
      <c r="M139" s="49" t="n">
        <f aca="false">D139+G139+J139</f>
        <v>5875.58181012561</v>
      </c>
      <c r="N139" s="49" t="n">
        <f aca="false">L139+M139</f>
        <v>17733.3571082602</v>
      </c>
      <c r="O139" s="49" t="n">
        <f aca="false">E139+H139+K139</f>
        <v>4194092.70327305</v>
      </c>
    </row>
    <row r="140" customFormat="false" ht="15" hidden="false" customHeight="false" outlineLevel="0" collapsed="false">
      <c r="A140" s="48" t="n">
        <v>134</v>
      </c>
      <c r="B140" s="48" t="n">
        <f aca="false">ROUNDUP(A140/12,0)</f>
        <v>12</v>
      </c>
      <c r="C140" s="49" t="n">
        <f aca="false">E139*Annahmen!$B$55/12</f>
        <v>2181.10389172661</v>
      </c>
      <c r="D140" s="49" t="n">
        <f aca="false">MIN($C$3-C140,E139)</f>
        <v>1318.89610827339</v>
      </c>
      <c r="E140" s="49" t="n">
        <f aca="false">E139-D140</f>
        <v>1045610.9719205</v>
      </c>
      <c r="F140" s="49" t="n">
        <f aca="false">H139*Annahmen!$B$56/12</f>
        <v>2492.11045930142</v>
      </c>
      <c r="G140" s="49" t="n">
        <f aca="false">MIN($F$3-F140,H139)</f>
        <v>1332.88954069859</v>
      </c>
      <c r="H140" s="49" t="n">
        <f aca="false">H139-G140</f>
        <v>995511.294179868</v>
      </c>
      <c r="I140" s="49" t="n">
        <f aca="false">K139*Annahmen!$B$57/12</f>
        <v>7167.72883841235</v>
      </c>
      <c r="J140" s="49" t="n">
        <f aca="false">MIN($I$3-I140,K139)</f>
        <v>3240.62826984787</v>
      </c>
      <c r="K140" s="49" t="n">
        <f aca="false">K139-J140</f>
        <v>2147078.02325386</v>
      </c>
      <c r="L140" s="49" t="n">
        <f aca="false">C140+F140+I140</f>
        <v>11840.9431894404</v>
      </c>
      <c r="M140" s="49" t="n">
        <f aca="false">D140+G140+J140</f>
        <v>5892.41391881985</v>
      </c>
      <c r="N140" s="49" t="n">
        <f aca="false">L140+M140</f>
        <v>17733.3571082602</v>
      </c>
      <c r="O140" s="49" t="n">
        <f aca="false">E140+H140+K140</f>
        <v>4188200.28935422</v>
      </c>
    </row>
    <row r="141" customFormat="false" ht="15" hidden="false" customHeight="false" outlineLevel="0" collapsed="false">
      <c r="A141" s="48" t="n">
        <v>135</v>
      </c>
      <c r="B141" s="48" t="n">
        <f aca="false">ROUNDUP(A141/12,0)</f>
        <v>12</v>
      </c>
      <c r="C141" s="49" t="n">
        <f aca="false">E140*Annahmen!$B$55/12</f>
        <v>2178.35619150104</v>
      </c>
      <c r="D141" s="49" t="n">
        <f aca="false">MIN($C$3-C141,E140)</f>
        <v>1321.64380849896</v>
      </c>
      <c r="E141" s="49" t="n">
        <f aca="false">E140-D141</f>
        <v>1044289.328112</v>
      </c>
      <c r="F141" s="49" t="n">
        <f aca="false">H140*Annahmen!$B$56/12</f>
        <v>2488.77823544967</v>
      </c>
      <c r="G141" s="49" t="n">
        <f aca="false">MIN($F$3-F141,H140)</f>
        <v>1336.22176455033</v>
      </c>
      <c r="H141" s="49" t="n">
        <f aca="false">H140-G141</f>
        <v>994175.072415317</v>
      </c>
      <c r="I141" s="49" t="n">
        <f aca="false">K140*Annahmen!$B$57/12</f>
        <v>7156.92674417952</v>
      </c>
      <c r="J141" s="49" t="n">
        <f aca="false">MIN($I$3-I141,K140)</f>
        <v>3251.4303640807</v>
      </c>
      <c r="K141" s="49" t="n">
        <f aca="false">K140-J141</f>
        <v>2143826.59288978</v>
      </c>
      <c r="L141" s="49" t="n">
        <f aca="false">C141+F141+I141</f>
        <v>11824.0611711302</v>
      </c>
      <c r="M141" s="49" t="n">
        <f aca="false">D141+G141+J141</f>
        <v>5909.29593712999</v>
      </c>
      <c r="N141" s="49" t="n">
        <f aca="false">L141+M141</f>
        <v>17733.3571082602</v>
      </c>
      <c r="O141" s="49" t="n">
        <f aca="false">E141+H141+K141</f>
        <v>4182290.99341709</v>
      </c>
    </row>
    <row r="142" customFormat="false" ht="15" hidden="false" customHeight="false" outlineLevel="0" collapsed="false">
      <c r="A142" s="48" t="n">
        <v>136</v>
      </c>
      <c r="B142" s="48" t="n">
        <f aca="false">ROUNDUP(A142/12,0)</f>
        <v>12</v>
      </c>
      <c r="C142" s="49" t="n">
        <f aca="false">E141*Annahmen!$B$55/12</f>
        <v>2175.6027669</v>
      </c>
      <c r="D142" s="49" t="n">
        <f aca="false">MIN($C$3-C142,E141)</f>
        <v>1324.3972331</v>
      </c>
      <c r="E142" s="49" t="n">
        <f aca="false">E141-D142</f>
        <v>1042964.9308789</v>
      </c>
      <c r="F142" s="49" t="n">
        <f aca="false">H141*Annahmen!$B$56/12</f>
        <v>2485.43768103829</v>
      </c>
      <c r="G142" s="49" t="n">
        <f aca="false">MIN($F$3-F142,H141)</f>
        <v>1339.56231896171</v>
      </c>
      <c r="H142" s="49" t="n">
        <f aca="false">H141-G142</f>
        <v>992835.510096356</v>
      </c>
      <c r="I142" s="49" t="n">
        <f aca="false">K141*Annahmen!$B$57/12</f>
        <v>7146.08864296592</v>
      </c>
      <c r="J142" s="49" t="n">
        <f aca="false">MIN($I$3-I142,K141)</f>
        <v>3262.2684652943</v>
      </c>
      <c r="K142" s="49" t="n">
        <f aca="false">K141-J142</f>
        <v>2140564.32442448</v>
      </c>
      <c r="L142" s="49" t="n">
        <f aca="false">C142+F142+I142</f>
        <v>11807.1290909042</v>
      </c>
      <c r="M142" s="49" t="n">
        <f aca="false">D142+G142+J142</f>
        <v>5926.22801735601</v>
      </c>
      <c r="N142" s="49" t="n">
        <f aca="false">L142+M142</f>
        <v>17733.3571082602</v>
      </c>
      <c r="O142" s="49" t="n">
        <f aca="false">E142+H142+K142</f>
        <v>4176364.76539974</v>
      </c>
    </row>
    <row r="143" customFormat="false" ht="15" hidden="false" customHeight="false" outlineLevel="0" collapsed="false">
      <c r="A143" s="48" t="n">
        <v>137</v>
      </c>
      <c r="B143" s="48" t="n">
        <f aca="false">ROUNDUP(A143/12,0)</f>
        <v>12</v>
      </c>
      <c r="C143" s="49" t="n">
        <f aca="false">E142*Annahmen!$B$55/12</f>
        <v>2172.84360599771</v>
      </c>
      <c r="D143" s="49" t="n">
        <f aca="false">MIN($C$3-C143,E142)</f>
        <v>1327.15639400229</v>
      </c>
      <c r="E143" s="49" t="n">
        <f aca="false">E142-D143</f>
        <v>1041637.7744849</v>
      </c>
      <c r="F143" s="49" t="n">
        <f aca="false">H142*Annahmen!$B$56/12</f>
        <v>2482.08877524089</v>
      </c>
      <c r="G143" s="49" t="n">
        <f aca="false">MIN($F$3-F143,H142)</f>
        <v>1342.91122475911</v>
      </c>
      <c r="H143" s="49" t="n">
        <f aca="false">H142-G143</f>
        <v>991492.598871596</v>
      </c>
      <c r="I143" s="49" t="n">
        <f aca="false">K142*Annahmen!$B$57/12</f>
        <v>7135.21441474827</v>
      </c>
      <c r="J143" s="49" t="n">
        <f aca="false">MIN($I$3-I143,K142)</f>
        <v>3273.14269351195</v>
      </c>
      <c r="K143" s="49" t="n">
        <f aca="false">K142-J143</f>
        <v>2137291.18173097</v>
      </c>
      <c r="L143" s="49" t="n">
        <f aca="false">C143+F143+I143</f>
        <v>11790.1467959869</v>
      </c>
      <c r="M143" s="49" t="n">
        <f aca="false">D143+G143+J143</f>
        <v>5943.21031227335</v>
      </c>
      <c r="N143" s="49" t="n">
        <f aca="false">L143+M143</f>
        <v>17733.3571082602</v>
      </c>
      <c r="O143" s="49" t="n">
        <f aca="false">E143+H143+K143</f>
        <v>4170421.55508747</v>
      </c>
    </row>
    <row r="144" customFormat="false" ht="15" hidden="false" customHeight="false" outlineLevel="0" collapsed="false">
      <c r="A144" s="48" t="n">
        <v>138</v>
      </c>
      <c r="B144" s="48" t="n">
        <f aca="false">ROUNDUP(A144/12,0)</f>
        <v>12</v>
      </c>
      <c r="C144" s="49" t="n">
        <f aca="false">E143*Annahmen!$B$55/12</f>
        <v>2170.07869684354</v>
      </c>
      <c r="D144" s="49" t="n">
        <f aca="false">MIN($C$3-C144,E143)</f>
        <v>1329.92130315646</v>
      </c>
      <c r="E144" s="49" t="n">
        <f aca="false">E143-D144</f>
        <v>1040307.85318174</v>
      </c>
      <c r="F144" s="49" t="n">
        <f aca="false">H143*Annahmen!$B$56/12</f>
        <v>2478.73149717899</v>
      </c>
      <c r="G144" s="49" t="n">
        <f aca="false">MIN($F$3-F144,H143)</f>
        <v>1346.26850282101</v>
      </c>
      <c r="H144" s="49" t="n">
        <f aca="false">H143-G144</f>
        <v>990146.330368775</v>
      </c>
      <c r="I144" s="49" t="n">
        <f aca="false">K143*Annahmen!$B$57/12</f>
        <v>7124.30393910323</v>
      </c>
      <c r="J144" s="49" t="n">
        <f aca="false">MIN($I$3-I144,K143)</f>
        <v>3284.05316915699</v>
      </c>
      <c r="K144" s="49" t="n">
        <f aca="false">K143-J144</f>
        <v>2134007.12856181</v>
      </c>
      <c r="L144" s="49" t="n">
        <f aca="false">C144+F144+I144</f>
        <v>11773.1141331258</v>
      </c>
      <c r="M144" s="49" t="n">
        <f aca="false">D144+G144+J144</f>
        <v>5960.24297513446</v>
      </c>
      <c r="N144" s="49" t="n">
        <f aca="false">L144+M144</f>
        <v>17733.3571082602</v>
      </c>
      <c r="O144" s="49" t="n">
        <f aca="false">E144+H144+K144</f>
        <v>4164461.31211233</v>
      </c>
    </row>
    <row r="145" customFormat="false" ht="15" hidden="false" customHeight="false" outlineLevel="0" collapsed="false">
      <c r="A145" s="48" t="n">
        <v>139</v>
      </c>
      <c r="B145" s="48" t="n">
        <f aca="false">ROUNDUP(A145/12,0)</f>
        <v>12</v>
      </c>
      <c r="C145" s="49" t="n">
        <f aca="false">E144*Annahmen!$B$55/12</f>
        <v>2167.30802746196</v>
      </c>
      <c r="D145" s="49" t="n">
        <f aca="false">MIN($C$3-C145,E144)</f>
        <v>1332.69197253804</v>
      </c>
      <c r="E145" s="49" t="n">
        <f aca="false">E144-D145</f>
        <v>1038975.1612092</v>
      </c>
      <c r="F145" s="49" t="n">
        <f aca="false">H144*Annahmen!$B$56/12</f>
        <v>2475.36582592194</v>
      </c>
      <c r="G145" s="49" t="n">
        <f aca="false">MIN($F$3-F145,H144)</f>
        <v>1349.63417407806</v>
      </c>
      <c r="H145" s="49" t="n">
        <f aca="false">H144-G145</f>
        <v>988796.696194697</v>
      </c>
      <c r="I145" s="49" t="n">
        <f aca="false">K144*Annahmen!$B$57/12</f>
        <v>7113.35709520604</v>
      </c>
      <c r="J145" s="49" t="n">
        <f aca="false">MIN($I$3-I145,K144)</f>
        <v>3295.00001305418</v>
      </c>
      <c r="K145" s="49" t="n">
        <f aca="false">K144-J145</f>
        <v>2130712.12854876</v>
      </c>
      <c r="L145" s="49" t="n">
        <f aca="false">C145+F145+I145</f>
        <v>11756.0309485899</v>
      </c>
      <c r="M145" s="49" t="n">
        <f aca="false">D145+G145+J145</f>
        <v>5977.32615967028</v>
      </c>
      <c r="N145" s="49" t="n">
        <f aca="false">L145+M145</f>
        <v>17733.3571082602</v>
      </c>
      <c r="O145" s="49" t="n">
        <f aca="false">E145+H145+K145</f>
        <v>4158483.98595266</v>
      </c>
    </row>
    <row r="146" customFormat="false" ht="15" hidden="false" customHeight="false" outlineLevel="0" collapsed="false">
      <c r="A146" s="48" t="n">
        <v>140</v>
      </c>
      <c r="B146" s="48" t="n">
        <f aca="false">ROUNDUP(A146/12,0)</f>
        <v>12</v>
      </c>
      <c r="C146" s="49" t="n">
        <f aca="false">E145*Annahmen!$B$55/12</f>
        <v>2164.53158585251</v>
      </c>
      <c r="D146" s="49" t="n">
        <f aca="false">MIN($C$3-C146,E145)</f>
        <v>1335.46841414749</v>
      </c>
      <c r="E146" s="49" t="n">
        <f aca="false">E145-D146</f>
        <v>1037639.69279506</v>
      </c>
      <c r="F146" s="49" t="n">
        <f aca="false">H145*Annahmen!$B$56/12</f>
        <v>2471.99174048674</v>
      </c>
      <c r="G146" s="49" t="n">
        <f aca="false">MIN($F$3-F146,H145)</f>
        <v>1353.00825951326</v>
      </c>
      <c r="H146" s="49" t="n">
        <f aca="false">H145-G146</f>
        <v>987443.687935184</v>
      </c>
      <c r="I146" s="49" t="n">
        <f aca="false">K145*Annahmen!$B$57/12</f>
        <v>7102.37376182919</v>
      </c>
      <c r="J146" s="49" t="n">
        <f aca="false">MIN($I$3-I146,K145)</f>
        <v>3305.98334643103</v>
      </c>
      <c r="K146" s="49" t="n">
        <f aca="false">K145-J146</f>
        <v>2127406.14520233</v>
      </c>
      <c r="L146" s="49" t="n">
        <f aca="false">C146+F146+I146</f>
        <v>11738.8970881684</v>
      </c>
      <c r="M146" s="49" t="n">
        <f aca="false">D146+G146+J146</f>
        <v>5994.46002009178</v>
      </c>
      <c r="N146" s="49" t="n">
        <f aca="false">L146+M146</f>
        <v>17733.3571082602</v>
      </c>
      <c r="O146" s="49" t="n">
        <f aca="false">E146+H146+K146</f>
        <v>4152489.52593257</v>
      </c>
    </row>
    <row r="147" customFormat="false" ht="15" hidden="false" customHeight="false" outlineLevel="0" collapsed="false">
      <c r="A147" s="48" t="n">
        <v>141</v>
      </c>
      <c r="B147" s="48" t="n">
        <f aca="false">ROUNDUP(A147/12,0)</f>
        <v>12</v>
      </c>
      <c r="C147" s="49" t="n">
        <f aca="false">E146*Annahmen!$B$55/12</f>
        <v>2161.7493599897</v>
      </c>
      <c r="D147" s="49" t="n">
        <f aca="false">MIN($C$3-C147,E146)</f>
        <v>1338.2506400103</v>
      </c>
      <c r="E147" s="49" t="n">
        <f aca="false">E146-D147</f>
        <v>1036301.44215505</v>
      </c>
      <c r="F147" s="49" t="n">
        <f aca="false">H146*Annahmen!$B$56/12</f>
        <v>2468.60921983796</v>
      </c>
      <c r="G147" s="49" t="n">
        <f aca="false">MIN($F$3-F147,H146)</f>
        <v>1356.39078016204</v>
      </c>
      <c r="H147" s="49" t="n">
        <f aca="false">H146-G147</f>
        <v>986087.297155022</v>
      </c>
      <c r="I147" s="49" t="n">
        <f aca="false">K146*Annahmen!$B$57/12</f>
        <v>7091.35381734109</v>
      </c>
      <c r="J147" s="49" t="n">
        <f aca="false">MIN($I$3-I147,K146)</f>
        <v>3317.00329091913</v>
      </c>
      <c r="K147" s="49" t="n">
        <f aca="false">K146-J147</f>
        <v>2124089.14191141</v>
      </c>
      <c r="L147" s="49" t="n">
        <f aca="false">C147+F147+I147</f>
        <v>11721.7123971688</v>
      </c>
      <c r="M147" s="49" t="n">
        <f aca="false">D147+G147+J147</f>
        <v>6011.64471109147</v>
      </c>
      <c r="N147" s="49" t="n">
        <f aca="false">L147+M147</f>
        <v>17733.3571082602</v>
      </c>
      <c r="O147" s="49" t="n">
        <f aca="false">E147+H147+K147</f>
        <v>4146477.88122148</v>
      </c>
    </row>
    <row r="148" customFormat="false" ht="15" hidden="false" customHeight="false" outlineLevel="0" collapsed="false">
      <c r="A148" s="48" t="n">
        <v>142</v>
      </c>
      <c r="B148" s="48" t="n">
        <f aca="false">ROUNDUP(A148/12,0)</f>
        <v>12</v>
      </c>
      <c r="C148" s="49" t="n">
        <f aca="false">E147*Annahmen!$B$55/12</f>
        <v>2158.96133782301</v>
      </c>
      <c r="D148" s="49" t="n">
        <f aca="false">MIN($C$3-C148,E147)</f>
        <v>1341.03866217699</v>
      </c>
      <c r="E148" s="49" t="n">
        <f aca="false">E147-D148</f>
        <v>1034960.40349287</v>
      </c>
      <c r="F148" s="49" t="n">
        <f aca="false">H147*Annahmen!$B$56/12</f>
        <v>2465.21824288756</v>
      </c>
      <c r="G148" s="49" t="n">
        <f aca="false">MIN($F$3-F148,H147)</f>
        <v>1359.78175711245</v>
      </c>
      <c r="H148" s="49" t="n">
        <f aca="false">H147-G148</f>
        <v>984727.51539791</v>
      </c>
      <c r="I148" s="49" t="n">
        <f aca="false">K147*Annahmen!$B$57/12</f>
        <v>7080.29713970469</v>
      </c>
      <c r="J148" s="49" t="n">
        <f aca="false">MIN($I$3-I148,K147)</f>
        <v>3328.05996855553</v>
      </c>
      <c r="K148" s="49" t="n">
        <f aca="false">K147-J148</f>
        <v>2120761.08194285</v>
      </c>
      <c r="L148" s="49" t="n">
        <f aca="false">C148+F148+I148</f>
        <v>11704.4767204153</v>
      </c>
      <c r="M148" s="49" t="n">
        <f aca="false">D148+G148+J148</f>
        <v>6028.88038784496</v>
      </c>
      <c r="N148" s="49" t="n">
        <f aca="false">L148+M148</f>
        <v>17733.3571082602</v>
      </c>
      <c r="O148" s="49" t="n">
        <f aca="false">E148+H148+K148</f>
        <v>4140449.00083363</v>
      </c>
    </row>
    <row r="149" customFormat="false" ht="15" hidden="false" customHeight="false" outlineLevel="0" collapsed="false">
      <c r="A149" s="48" t="n">
        <v>143</v>
      </c>
      <c r="B149" s="48" t="n">
        <f aca="false">ROUNDUP(A149/12,0)</f>
        <v>12</v>
      </c>
      <c r="C149" s="49" t="n">
        <f aca="false">E148*Annahmen!$B$55/12</f>
        <v>2156.16750727681</v>
      </c>
      <c r="D149" s="49" t="n">
        <f aca="false">MIN($C$3-C149,E148)</f>
        <v>1343.83249272319</v>
      </c>
      <c r="E149" s="49" t="n">
        <f aca="false">E148-D149</f>
        <v>1033616.57100015</v>
      </c>
      <c r="F149" s="49" t="n">
        <f aca="false">H148*Annahmen!$B$56/12</f>
        <v>2461.81878849477</v>
      </c>
      <c r="G149" s="49" t="n">
        <f aca="false">MIN($F$3-F149,H148)</f>
        <v>1363.18121150523</v>
      </c>
      <c r="H149" s="49" t="n">
        <f aca="false">H148-G149</f>
        <v>983364.334186404</v>
      </c>
      <c r="I149" s="49" t="n">
        <f aca="false">K148*Annahmen!$B$57/12</f>
        <v>7069.20360647618</v>
      </c>
      <c r="J149" s="49" t="n">
        <f aca="false">MIN($I$3-I149,K148)</f>
        <v>3339.15350178405</v>
      </c>
      <c r="K149" s="49" t="n">
        <f aca="false">K148-J149</f>
        <v>2117421.92844107</v>
      </c>
      <c r="L149" s="49" t="n">
        <f aca="false">C149+F149+I149</f>
        <v>11687.1899022478</v>
      </c>
      <c r="M149" s="49" t="n">
        <f aca="false">D149+G149+J149</f>
        <v>6046.16720601246</v>
      </c>
      <c r="N149" s="49" t="n">
        <f aca="false">L149+M149</f>
        <v>17733.3571082602</v>
      </c>
      <c r="O149" s="49" t="n">
        <f aca="false">E149+H149+K149</f>
        <v>4134402.83362762</v>
      </c>
    </row>
    <row r="150" customFormat="false" ht="15" hidden="false" customHeight="false" outlineLevel="0" collapsed="false">
      <c r="A150" s="48" t="n">
        <v>144</v>
      </c>
      <c r="B150" s="48" t="n">
        <f aca="false">ROUNDUP(A150/12,0)</f>
        <v>12</v>
      </c>
      <c r="C150" s="49" t="n">
        <f aca="false">E149*Annahmen!$B$55/12</f>
        <v>2153.36785625031</v>
      </c>
      <c r="D150" s="49" t="n">
        <f aca="false">MIN($C$3-C150,E149)</f>
        <v>1346.6321437497</v>
      </c>
      <c r="E150" s="49" t="n">
        <f aca="false">E149-D150</f>
        <v>1032269.9388564</v>
      </c>
      <c r="F150" s="49" t="n">
        <f aca="false">H149*Annahmen!$B$56/12</f>
        <v>2458.41083546601</v>
      </c>
      <c r="G150" s="49" t="n">
        <f aca="false">MIN($F$3-F150,H149)</f>
        <v>1366.58916453399</v>
      </c>
      <c r="H150" s="49" t="n">
        <f aca="false">H149-G150</f>
        <v>981997.74502187</v>
      </c>
      <c r="I150" s="49" t="n">
        <f aca="false">K149*Annahmen!$B$57/12</f>
        <v>7058.07309480356</v>
      </c>
      <c r="J150" s="49" t="n">
        <f aca="false">MIN($I$3-I150,K149)</f>
        <v>3350.28401345666</v>
      </c>
      <c r="K150" s="49" t="n">
        <f aca="false">K149-J150</f>
        <v>2114071.64442761</v>
      </c>
      <c r="L150" s="49" t="n">
        <f aca="false">C150+F150+I150</f>
        <v>11669.8517865199</v>
      </c>
      <c r="M150" s="49" t="n">
        <f aca="false">D150+G150+J150</f>
        <v>6063.50532174035</v>
      </c>
      <c r="N150" s="49" t="n">
        <f aca="false">L150+M150</f>
        <v>17733.3571082602</v>
      </c>
      <c r="O150" s="49" t="n">
        <f aca="false">E150+H150+K150</f>
        <v>4128339.32830588</v>
      </c>
    </row>
    <row r="151" customFormat="false" ht="15" hidden="false" customHeight="false" outlineLevel="0" collapsed="false">
      <c r="A151" s="48" t="n">
        <v>145</v>
      </c>
      <c r="B151" s="48" t="n">
        <f aca="false">ROUNDUP(A151/12,0)</f>
        <v>13</v>
      </c>
      <c r="C151" s="49" t="n">
        <f aca="false">E150*Annahmen!$B$55/12</f>
        <v>2150.56237261749</v>
      </c>
      <c r="D151" s="49" t="n">
        <f aca="false">MIN($C$3-C151,E150)</f>
        <v>1349.43762738251</v>
      </c>
      <c r="E151" s="49" t="n">
        <f aca="false">E150-D151</f>
        <v>1030920.50122901</v>
      </c>
      <c r="F151" s="49" t="n">
        <f aca="false">H150*Annahmen!$B$56/12</f>
        <v>2454.99436255468</v>
      </c>
      <c r="G151" s="49" t="n">
        <f aca="false">MIN($F$3-F151,H150)</f>
        <v>1370.00563744532</v>
      </c>
      <c r="H151" s="49" t="n">
        <f aca="false">H150-G151</f>
        <v>980627.739384425</v>
      </c>
      <c r="I151" s="49" t="n">
        <f aca="false">K150*Annahmen!$B$57/12</f>
        <v>7046.90548142537</v>
      </c>
      <c r="J151" s="49" t="n">
        <f aca="false">MIN($I$3-I151,K150)</f>
        <v>3361.45162683485</v>
      </c>
      <c r="K151" s="49" t="n">
        <f aca="false">K150-J151</f>
        <v>2110710.19280078</v>
      </c>
      <c r="L151" s="49" t="n">
        <f aca="false">C151+F151+I151</f>
        <v>11652.4622165975</v>
      </c>
      <c r="M151" s="49" t="n">
        <f aca="false">D151+G151+J151</f>
        <v>6080.89489166268</v>
      </c>
      <c r="N151" s="49" t="n">
        <f aca="false">L151+M151</f>
        <v>17733.3571082602</v>
      </c>
      <c r="O151" s="49" t="n">
        <f aca="false">E151+H151+K151</f>
        <v>4122258.43341422</v>
      </c>
    </row>
    <row r="152" customFormat="false" ht="15" hidden="false" customHeight="false" outlineLevel="0" collapsed="false">
      <c r="A152" s="48" t="n">
        <v>146</v>
      </c>
      <c r="B152" s="48" t="n">
        <f aca="false">ROUNDUP(A152/12,0)</f>
        <v>13</v>
      </c>
      <c r="C152" s="49" t="n">
        <f aca="false">E151*Annahmen!$B$55/12</f>
        <v>2147.75104422711</v>
      </c>
      <c r="D152" s="49" t="n">
        <f aca="false">MIN($C$3-C152,E151)</f>
        <v>1352.24895577289</v>
      </c>
      <c r="E152" s="49" t="n">
        <f aca="false">E151-D152</f>
        <v>1029568.25227324</v>
      </c>
      <c r="F152" s="49" t="n">
        <f aca="false">H151*Annahmen!$B$56/12</f>
        <v>2451.56934846106</v>
      </c>
      <c r="G152" s="49" t="n">
        <f aca="false">MIN($F$3-F152,H151)</f>
        <v>1373.43065153894</v>
      </c>
      <c r="H152" s="49" t="n">
        <f aca="false">H151-G152</f>
        <v>979254.308732886</v>
      </c>
      <c r="I152" s="49" t="n">
        <f aca="false">K151*Annahmen!$B$57/12</f>
        <v>7035.70064266926</v>
      </c>
      <c r="J152" s="49" t="n">
        <f aca="false">MIN($I$3-I152,K151)</f>
        <v>3372.65646559097</v>
      </c>
      <c r="K152" s="49" t="n">
        <f aca="false">K151-J152</f>
        <v>2107337.53633519</v>
      </c>
      <c r="L152" s="49" t="n">
        <f aca="false">C152+F152+I152</f>
        <v>11635.0210353574</v>
      </c>
      <c r="M152" s="49" t="n">
        <f aca="false">D152+G152+J152</f>
        <v>6098.33607290279</v>
      </c>
      <c r="N152" s="49" t="n">
        <f aca="false">L152+M152</f>
        <v>17733.3571082602</v>
      </c>
      <c r="O152" s="49" t="n">
        <f aca="false">E152+H152+K152</f>
        <v>4116160.09734131</v>
      </c>
    </row>
    <row r="153" customFormat="false" ht="15" hidden="false" customHeight="false" outlineLevel="0" collapsed="false">
      <c r="A153" s="48" t="n">
        <v>147</v>
      </c>
      <c r="B153" s="48" t="n">
        <f aca="false">ROUNDUP(A153/12,0)</f>
        <v>13</v>
      </c>
      <c r="C153" s="49" t="n">
        <f aca="false">E152*Annahmen!$B$55/12</f>
        <v>2144.93385890259</v>
      </c>
      <c r="D153" s="49" t="n">
        <f aca="false">MIN($C$3-C153,E152)</f>
        <v>1355.06614109741</v>
      </c>
      <c r="E153" s="49" t="n">
        <f aca="false">E152-D153</f>
        <v>1028213.18613214</v>
      </c>
      <c r="F153" s="49" t="n">
        <f aca="false">H152*Annahmen!$B$56/12</f>
        <v>2448.13577183222</v>
      </c>
      <c r="G153" s="49" t="n">
        <f aca="false">MIN($F$3-F153,H152)</f>
        <v>1376.86422816779</v>
      </c>
      <c r="H153" s="49" t="n">
        <f aca="false">H152-G153</f>
        <v>977877.444504718</v>
      </c>
      <c r="I153" s="49" t="n">
        <f aca="false">K152*Annahmen!$B$57/12</f>
        <v>7024.45845445062</v>
      </c>
      <c r="J153" s="49" t="n">
        <f aca="false">MIN($I$3-I153,K152)</f>
        <v>3383.8986538096</v>
      </c>
      <c r="K153" s="49" t="n">
        <f aca="false">K152-J153</f>
        <v>2103953.63768138</v>
      </c>
      <c r="L153" s="49" t="n">
        <f aca="false">C153+F153+I153</f>
        <v>11617.5280851854</v>
      </c>
      <c r="M153" s="49" t="n">
        <f aca="false">D153+G153+J153</f>
        <v>6115.8290230748</v>
      </c>
      <c r="N153" s="49" t="n">
        <f aca="false">L153+M153</f>
        <v>17733.3571082602</v>
      </c>
      <c r="O153" s="49" t="n">
        <f aca="false">E153+H153+K153</f>
        <v>4110044.26831824</v>
      </c>
    </row>
    <row r="154" customFormat="false" ht="15" hidden="false" customHeight="false" outlineLevel="0" collapsed="false">
      <c r="A154" s="48" t="n">
        <v>148</v>
      </c>
      <c r="B154" s="48" t="n">
        <f aca="false">ROUNDUP(A154/12,0)</f>
        <v>13</v>
      </c>
      <c r="C154" s="49" t="n">
        <f aca="false">E153*Annahmen!$B$55/12</f>
        <v>2142.11080444197</v>
      </c>
      <c r="D154" s="49" t="n">
        <f aca="false">MIN($C$3-C154,E153)</f>
        <v>1357.88919555803</v>
      </c>
      <c r="E154" s="49" t="n">
        <f aca="false">E153-D154</f>
        <v>1026855.29693659</v>
      </c>
      <c r="F154" s="49" t="n">
        <f aca="false">H153*Annahmen!$B$56/12</f>
        <v>2444.6936112618</v>
      </c>
      <c r="G154" s="49" t="n">
        <f aca="false">MIN($F$3-F154,H153)</f>
        <v>1380.30638873821</v>
      </c>
      <c r="H154" s="49" t="n">
        <f aca="false">H153-G154</f>
        <v>976497.13811598</v>
      </c>
      <c r="I154" s="49" t="n">
        <f aca="false">K153*Annahmen!$B$57/12</f>
        <v>7013.17879227126</v>
      </c>
      <c r="J154" s="49" t="n">
        <f aca="false">MIN($I$3-I154,K153)</f>
        <v>3395.17831598897</v>
      </c>
      <c r="K154" s="49" t="n">
        <f aca="false">K153-J154</f>
        <v>2100558.45936539</v>
      </c>
      <c r="L154" s="49" t="n">
        <f aca="false">C154+F154+I154</f>
        <v>11599.983207975</v>
      </c>
      <c r="M154" s="49" t="n">
        <f aca="false">D154+G154+J154</f>
        <v>6133.37390028521</v>
      </c>
      <c r="N154" s="49" t="n">
        <f aca="false">L154+M154</f>
        <v>17733.3571082602</v>
      </c>
      <c r="O154" s="49" t="n">
        <f aca="false">E154+H154+K154</f>
        <v>4103910.89441795</v>
      </c>
    </row>
    <row r="155" customFormat="false" ht="15" hidden="false" customHeight="false" outlineLevel="0" collapsed="false">
      <c r="A155" s="48" t="n">
        <v>149</v>
      </c>
      <c r="B155" s="48" t="n">
        <f aca="false">ROUNDUP(A155/12,0)</f>
        <v>13</v>
      </c>
      <c r="C155" s="49" t="n">
        <f aca="false">E154*Annahmen!$B$55/12</f>
        <v>2139.28186861789</v>
      </c>
      <c r="D155" s="49" t="n">
        <f aca="false">MIN($C$3-C155,E154)</f>
        <v>1360.71813138211</v>
      </c>
      <c r="E155" s="49" t="n">
        <f aca="false">E154-D155</f>
        <v>1025494.5788052</v>
      </c>
      <c r="F155" s="49" t="n">
        <f aca="false">H154*Annahmen!$B$56/12</f>
        <v>2441.24284528995</v>
      </c>
      <c r="G155" s="49" t="n">
        <f aca="false">MIN($F$3-F155,H154)</f>
        <v>1383.75715471005</v>
      </c>
      <c r="H155" s="49" t="n">
        <f aca="false">H154-G155</f>
        <v>975113.38096127</v>
      </c>
      <c r="I155" s="49" t="n">
        <f aca="false">K154*Annahmen!$B$57/12</f>
        <v>7001.86153121796</v>
      </c>
      <c r="J155" s="49" t="n">
        <f aca="false">MIN($I$3-I155,K154)</f>
        <v>3406.49557704226</v>
      </c>
      <c r="K155" s="49" t="n">
        <f aca="false">K154-J155</f>
        <v>2097151.96378835</v>
      </c>
      <c r="L155" s="49" t="n">
        <f aca="false">C155+F155+I155</f>
        <v>11582.3862451258</v>
      </c>
      <c r="M155" s="49" t="n">
        <f aca="false">D155+G155+J155</f>
        <v>6150.97086313443</v>
      </c>
      <c r="N155" s="49" t="n">
        <f aca="false">L155+M155</f>
        <v>17733.3571082602</v>
      </c>
      <c r="O155" s="49" t="n">
        <f aca="false">E155+H155+K155</f>
        <v>4097759.92355482</v>
      </c>
    </row>
    <row r="156" customFormat="false" ht="15" hidden="false" customHeight="false" outlineLevel="0" collapsed="false">
      <c r="A156" s="48" t="n">
        <v>150</v>
      </c>
      <c r="B156" s="48" t="n">
        <f aca="false">ROUNDUP(A156/12,0)</f>
        <v>13</v>
      </c>
      <c r="C156" s="49" t="n">
        <f aca="false">E155*Annahmen!$B$55/12</f>
        <v>2136.44703917751</v>
      </c>
      <c r="D156" s="49" t="n">
        <f aca="false">MIN($C$3-C156,E155)</f>
        <v>1363.55296082249</v>
      </c>
      <c r="E156" s="49" t="n">
        <f aca="false">E155-D156</f>
        <v>1024131.02584438</v>
      </c>
      <c r="F156" s="49" t="n">
        <f aca="false">H155*Annahmen!$B$56/12</f>
        <v>2437.78345240318</v>
      </c>
      <c r="G156" s="49" t="n">
        <f aca="false">MIN($F$3-F156,H155)</f>
        <v>1387.21654759683</v>
      </c>
      <c r="H156" s="49" t="n">
        <f aca="false">H155-G156</f>
        <v>973726.164413673</v>
      </c>
      <c r="I156" s="49" t="n">
        <f aca="false">K155*Annahmen!$B$57/12</f>
        <v>6990.50654596115</v>
      </c>
      <c r="J156" s="49" t="n">
        <f aca="false">MIN($I$3-I156,K155)</f>
        <v>3417.85056229907</v>
      </c>
      <c r="K156" s="49" t="n">
        <f aca="false">K155-J156</f>
        <v>2093734.11322605</v>
      </c>
      <c r="L156" s="49" t="n">
        <f aca="false">C156+F156+I156</f>
        <v>11564.7370375418</v>
      </c>
      <c r="M156" s="49" t="n">
        <f aca="false">D156+G156+J156</f>
        <v>6168.62007071839</v>
      </c>
      <c r="N156" s="49" t="n">
        <f aca="false">L156+M156</f>
        <v>17733.3571082602</v>
      </c>
      <c r="O156" s="49" t="n">
        <f aca="false">E156+H156+K156</f>
        <v>4091591.3034841</v>
      </c>
    </row>
    <row r="157" customFormat="false" ht="15" hidden="false" customHeight="false" outlineLevel="0" collapsed="false">
      <c r="A157" s="48" t="n">
        <v>151</v>
      </c>
      <c r="B157" s="48" t="n">
        <f aca="false">ROUNDUP(A157/12,0)</f>
        <v>13</v>
      </c>
      <c r="C157" s="49" t="n">
        <f aca="false">E156*Annahmen!$B$55/12</f>
        <v>2133.60630384246</v>
      </c>
      <c r="D157" s="49" t="n">
        <f aca="false">MIN($C$3-C157,E156)</f>
        <v>1366.39369615754</v>
      </c>
      <c r="E157" s="49" t="n">
        <f aca="false">E156-D157</f>
        <v>1022764.63214822</v>
      </c>
      <c r="F157" s="49" t="n">
        <f aca="false">H156*Annahmen!$B$56/12</f>
        <v>2434.31541103418</v>
      </c>
      <c r="G157" s="49" t="n">
        <f aca="false">MIN($F$3-F157,H156)</f>
        <v>1390.68458896582</v>
      </c>
      <c r="H157" s="49" t="n">
        <f aca="false">H156-G157</f>
        <v>972335.479824707</v>
      </c>
      <c r="I157" s="49" t="n">
        <f aca="false">K156*Annahmen!$B$57/12</f>
        <v>6979.11371075349</v>
      </c>
      <c r="J157" s="49" t="n">
        <f aca="false">MIN($I$3-I157,K156)</f>
        <v>3429.24339750673</v>
      </c>
      <c r="K157" s="49" t="n">
        <f aca="false">K156-J157</f>
        <v>2090304.86982854</v>
      </c>
      <c r="L157" s="49" t="n">
        <f aca="false">C157+F157+I157</f>
        <v>11547.0354256301</v>
      </c>
      <c r="M157" s="49" t="n">
        <f aca="false">D157+G157+J157</f>
        <v>6186.32168263009</v>
      </c>
      <c r="N157" s="49" t="n">
        <f aca="false">L157+M157</f>
        <v>17733.3571082602</v>
      </c>
      <c r="O157" s="49" t="n">
        <f aca="false">E157+H157+K157</f>
        <v>4085404.98180147</v>
      </c>
    </row>
    <row r="158" customFormat="false" ht="15" hidden="false" customHeight="false" outlineLevel="0" collapsed="false">
      <c r="A158" s="48" t="n">
        <v>152</v>
      </c>
      <c r="B158" s="48" t="n">
        <f aca="false">ROUNDUP(A158/12,0)</f>
        <v>13</v>
      </c>
      <c r="C158" s="49" t="n">
        <f aca="false">E157*Annahmen!$B$55/12</f>
        <v>2130.7596503088</v>
      </c>
      <c r="D158" s="49" t="n">
        <f aca="false">MIN($C$3-C158,E157)</f>
        <v>1369.2403496912</v>
      </c>
      <c r="E158" s="49" t="n">
        <f aca="false">E157-D158</f>
        <v>1021395.39179853</v>
      </c>
      <c r="F158" s="49" t="n">
        <f aca="false">H157*Annahmen!$B$56/12</f>
        <v>2430.83869956177</v>
      </c>
      <c r="G158" s="49" t="n">
        <f aca="false">MIN($F$3-F158,H157)</f>
        <v>1394.16130043823</v>
      </c>
      <c r="H158" s="49" t="n">
        <f aca="false">H157-G158</f>
        <v>970941.318524269</v>
      </c>
      <c r="I158" s="49" t="n">
        <f aca="false">K157*Annahmen!$B$57/12</f>
        <v>6967.68289942847</v>
      </c>
      <c r="J158" s="49" t="n">
        <f aca="false">MIN($I$3-I158,K157)</f>
        <v>3440.67420883176</v>
      </c>
      <c r="K158" s="49" t="n">
        <f aca="false">K157-J158</f>
        <v>2086864.19561971</v>
      </c>
      <c r="L158" s="49" t="n">
        <f aca="false">C158+F158+I158</f>
        <v>11529.281249299</v>
      </c>
      <c r="M158" s="49" t="n">
        <f aca="false">D158+G158+J158</f>
        <v>6204.07585896119</v>
      </c>
      <c r="N158" s="49" t="n">
        <f aca="false">L158+M158</f>
        <v>17733.3571082602</v>
      </c>
      <c r="O158" s="49" t="n">
        <f aca="false">E158+H158+K158</f>
        <v>4079200.90594251</v>
      </c>
    </row>
    <row r="159" customFormat="false" ht="15" hidden="false" customHeight="false" outlineLevel="0" collapsed="false">
      <c r="A159" s="48" t="n">
        <v>153</v>
      </c>
      <c r="B159" s="48" t="n">
        <f aca="false">ROUNDUP(A159/12,0)</f>
        <v>13</v>
      </c>
      <c r="C159" s="49" t="n">
        <f aca="false">E158*Annahmen!$B$55/12</f>
        <v>2127.90706624694</v>
      </c>
      <c r="D159" s="49" t="n">
        <f aca="false">MIN($C$3-C159,E158)</f>
        <v>1372.09293375306</v>
      </c>
      <c r="E159" s="49" t="n">
        <f aca="false">E158-D159</f>
        <v>1020023.29886478</v>
      </c>
      <c r="F159" s="49" t="n">
        <f aca="false">H158*Annahmen!$B$56/12</f>
        <v>2427.35329631067</v>
      </c>
      <c r="G159" s="49" t="n">
        <f aca="false">MIN($F$3-F159,H158)</f>
        <v>1397.64670368933</v>
      </c>
      <c r="H159" s="49" t="n">
        <f aca="false">H158-G159</f>
        <v>969543.67182058</v>
      </c>
      <c r="I159" s="49" t="n">
        <f aca="false">K158*Annahmen!$B$57/12</f>
        <v>6956.21398539903</v>
      </c>
      <c r="J159" s="49" t="n">
        <f aca="false">MIN($I$3-I159,K158)</f>
        <v>3452.1431228612</v>
      </c>
      <c r="K159" s="49" t="n">
        <f aca="false">K158-J159</f>
        <v>2083412.05249685</v>
      </c>
      <c r="L159" s="49" t="n">
        <f aca="false">C159+F159+I159</f>
        <v>11511.4743479566</v>
      </c>
      <c r="M159" s="49" t="n">
        <f aca="false">D159+G159+J159</f>
        <v>6221.88276030358</v>
      </c>
      <c r="N159" s="49" t="n">
        <f aca="false">L159+M159</f>
        <v>17733.3571082602</v>
      </c>
      <c r="O159" s="49" t="n">
        <f aca="false">E159+H159+K159</f>
        <v>4072979.02318221</v>
      </c>
    </row>
    <row r="160" customFormat="false" ht="15" hidden="false" customHeight="false" outlineLevel="0" collapsed="false">
      <c r="A160" s="48" t="n">
        <v>154</v>
      </c>
      <c r="B160" s="48" t="n">
        <f aca="false">ROUNDUP(A160/12,0)</f>
        <v>13</v>
      </c>
      <c r="C160" s="49" t="n">
        <f aca="false">E159*Annahmen!$B$55/12</f>
        <v>2125.04853930162</v>
      </c>
      <c r="D160" s="49" t="n">
        <f aca="false">MIN($C$3-C160,E159)</f>
        <v>1374.95146069838</v>
      </c>
      <c r="E160" s="49" t="n">
        <f aca="false">E159-D160</f>
        <v>1018648.34740408</v>
      </c>
      <c r="F160" s="49" t="n">
        <f aca="false">H159*Annahmen!$B$56/12</f>
        <v>2423.85917955145</v>
      </c>
      <c r="G160" s="49" t="n">
        <f aca="false">MIN($F$3-F160,H159)</f>
        <v>1401.14082044855</v>
      </c>
      <c r="H160" s="49" t="n">
        <f aca="false">H159-G160</f>
        <v>968142.531000131</v>
      </c>
      <c r="I160" s="49" t="n">
        <f aca="false">K159*Annahmen!$B$57/12</f>
        <v>6944.70684165616</v>
      </c>
      <c r="J160" s="49" t="n">
        <f aca="false">MIN($I$3-I160,K159)</f>
        <v>3463.65026660407</v>
      </c>
      <c r="K160" s="49" t="n">
        <f aca="false">K159-J160</f>
        <v>2079948.40223024</v>
      </c>
      <c r="L160" s="49" t="n">
        <f aca="false">C160+F160+I160</f>
        <v>11493.6145605092</v>
      </c>
      <c r="M160" s="49" t="n">
        <f aca="false">D160+G160+J160</f>
        <v>6239.74254775099</v>
      </c>
      <c r="N160" s="49" t="n">
        <f aca="false">L160+M160</f>
        <v>17733.3571082602</v>
      </c>
      <c r="O160" s="49" t="n">
        <f aca="false">E160+H160+K160</f>
        <v>4066739.28063446</v>
      </c>
    </row>
    <row r="161" customFormat="false" ht="15" hidden="false" customHeight="false" outlineLevel="0" collapsed="false">
      <c r="A161" s="48" t="n">
        <v>155</v>
      </c>
      <c r="B161" s="48" t="n">
        <f aca="false">ROUNDUP(A161/12,0)</f>
        <v>13</v>
      </c>
      <c r="C161" s="49" t="n">
        <f aca="false">E160*Annahmen!$B$55/12</f>
        <v>2122.18405709184</v>
      </c>
      <c r="D161" s="49" t="n">
        <f aca="false">MIN($C$3-C161,E160)</f>
        <v>1377.81594290817</v>
      </c>
      <c r="E161" s="49" t="n">
        <f aca="false">E160-D161</f>
        <v>1017270.53146117</v>
      </c>
      <c r="F161" s="49" t="n">
        <f aca="false">H160*Annahmen!$B$56/12</f>
        <v>2420.35632750033</v>
      </c>
      <c r="G161" s="49" t="n">
        <f aca="false">MIN($F$3-F161,H160)</f>
        <v>1404.64367249967</v>
      </c>
      <c r="H161" s="49" t="n">
        <f aca="false">H160-G161</f>
        <v>966737.887327632</v>
      </c>
      <c r="I161" s="49" t="n">
        <f aca="false">K160*Annahmen!$B$57/12</f>
        <v>6933.16134076748</v>
      </c>
      <c r="J161" s="49" t="n">
        <f aca="false">MIN($I$3-I161,K160)</f>
        <v>3475.19576749275</v>
      </c>
      <c r="K161" s="49" t="n">
        <f aca="false">K160-J161</f>
        <v>2076473.20646275</v>
      </c>
      <c r="L161" s="49" t="n">
        <f aca="false">C161+F161+I161</f>
        <v>11475.7017253596</v>
      </c>
      <c r="M161" s="49" t="n">
        <f aca="false">D161+G161+J161</f>
        <v>6257.65538290058</v>
      </c>
      <c r="N161" s="49" t="n">
        <f aca="false">L161+M161</f>
        <v>17733.3571082602</v>
      </c>
      <c r="O161" s="49" t="n">
        <f aca="false">E161+H161+K161</f>
        <v>4060481.62525156</v>
      </c>
    </row>
    <row r="162" customFormat="false" ht="15" hidden="false" customHeight="false" outlineLevel="0" collapsed="false">
      <c r="A162" s="48" t="n">
        <v>156</v>
      </c>
      <c r="B162" s="48" t="n">
        <f aca="false">ROUNDUP(A162/12,0)</f>
        <v>13</v>
      </c>
      <c r="C162" s="49" t="n">
        <f aca="false">E161*Annahmen!$B$55/12</f>
        <v>2119.31360721078</v>
      </c>
      <c r="D162" s="49" t="n">
        <f aca="false">MIN($C$3-C162,E161)</f>
        <v>1380.68639278922</v>
      </c>
      <c r="E162" s="49" t="n">
        <f aca="false">E161-D162</f>
        <v>1015889.84506838</v>
      </c>
      <c r="F162" s="49" t="n">
        <f aca="false">H161*Annahmen!$B$56/12</f>
        <v>2416.84471831908</v>
      </c>
      <c r="G162" s="49" t="n">
        <f aca="false">MIN($F$3-F162,H161)</f>
        <v>1408.15528168092</v>
      </c>
      <c r="H162" s="49" t="n">
        <f aca="false">H161-G162</f>
        <v>965329.732045951</v>
      </c>
      <c r="I162" s="49" t="n">
        <f aca="false">K161*Annahmen!$B$57/12</f>
        <v>6921.57735487583</v>
      </c>
      <c r="J162" s="49" t="n">
        <f aca="false">MIN($I$3-I162,K161)</f>
        <v>3486.77975338439</v>
      </c>
      <c r="K162" s="49" t="n">
        <f aca="false">K161-J162</f>
        <v>2072986.42670937</v>
      </c>
      <c r="L162" s="49" t="n">
        <f aca="false">C162+F162+I162</f>
        <v>11457.7356804057</v>
      </c>
      <c r="M162" s="49" t="n">
        <f aca="false">D162+G162+J162</f>
        <v>6275.62142785453</v>
      </c>
      <c r="N162" s="49" t="n">
        <f aca="false">L162+M162</f>
        <v>17733.3571082602</v>
      </c>
      <c r="O162" s="49" t="n">
        <f aca="false">E162+H162+K162</f>
        <v>4054206.0038237</v>
      </c>
    </row>
    <row r="163" customFormat="false" ht="15" hidden="false" customHeight="false" outlineLevel="0" collapsed="false">
      <c r="A163" s="48" t="n">
        <v>157</v>
      </c>
      <c r="B163" s="48" t="n">
        <f aca="false">ROUNDUP(A163/12,0)</f>
        <v>14</v>
      </c>
      <c r="C163" s="49" t="n">
        <f aca="false">E162*Annahmen!$B$55/12</f>
        <v>2116.4371772258</v>
      </c>
      <c r="D163" s="49" t="n">
        <f aca="false">MIN($C$3-C163,E162)</f>
        <v>1383.5628227742</v>
      </c>
      <c r="E163" s="49" t="n">
        <f aca="false">E162-D163</f>
        <v>1014506.28224561</v>
      </c>
      <c r="F163" s="49" t="n">
        <f aca="false">H162*Annahmen!$B$56/12</f>
        <v>2413.32433011488</v>
      </c>
      <c r="G163" s="49" t="n">
        <f aca="false">MIN($F$3-F163,H162)</f>
        <v>1411.67566988512</v>
      </c>
      <c r="H163" s="49" t="n">
        <f aca="false">H162-G163</f>
        <v>963918.056376066</v>
      </c>
      <c r="I163" s="49" t="n">
        <f aca="false">K162*Annahmen!$B$57/12</f>
        <v>6909.95475569789</v>
      </c>
      <c r="J163" s="49" t="n">
        <f aca="false">MIN($I$3-I163,K162)</f>
        <v>3498.40235256234</v>
      </c>
      <c r="K163" s="49" t="n">
        <f aca="false">K162-J163</f>
        <v>2069488.0243568</v>
      </c>
      <c r="L163" s="49" t="n">
        <f aca="false">C163+F163+I163</f>
        <v>11439.7162630386</v>
      </c>
      <c r="M163" s="49" t="n">
        <f aca="false">D163+G163+J163</f>
        <v>6293.64084522166</v>
      </c>
      <c r="N163" s="49" t="n">
        <f aca="false">L163+M163</f>
        <v>17733.3571082602</v>
      </c>
      <c r="O163" s="49" t="n">
        <f aca="false">E163+H163+K163</f>
        <v>4047912.36297848</v>
      </c>
    </row>
    <row r="164" customFormat="false" ht="15" hidden="false" customHeight="false" outlineLevel="0" collapsed="false">
      <c r="A164" s="48" t="n">
        <v>158</v>
      </c>
      <c r="B164" s="48" t="n">
        <f aca="false">ROUNDUP(A164/12,0)</f>
        <v>14</v>
      </c>
      <c r="C164" s="49" t="n">
        <f aca="false">E163*Annahmen!$B$55/12</f>
        <v>2113.55475467835</v>
      </c>
      <c r="D164" s="49" t="n">
        <f aca="false">MIN($C$3-C164,E163)</f>
        <v>1386.44524532165</v>
      </c>
      <c r="E164" s="49" t="n">
        <f aca="false">E163-D164</f>
        <v>1013119.83700029</v>
      </c>
      <c r="F164" s="49" t="n">
        <f aca="false">H163*Annahmen!$B$56/12</f>
        <v>2409.79514094016</v>
      </c>
      <c r="G164" s="49" t="n">
        <f aca="false">MIN($F$3-F164,H163)</f>
        <v>1415.20485905984</v>
      </c>
      <c r="H164" s="49" t="n">
        <f aca="false">H163-G164</f>
        <v>962502.851517006</v>
      </c>
      <c r="I164" s="49" t="n">
        <f aca="false">K163*Annahmen!$B$57/12</f>
        <v>6898.29341452268</v>
      </c>
      <c r="J164" s="49" t="n">
        <f aca="false">MIN($I$3-I164,K163)</f>
        <v>3510.06369373755</v>
      </c>
      <c r="K164" s="49" t="n">
        <f aca="false">K163-J164</f>
        <v>2065977.96066307</v>
      </c>
      <c r="L164" s="49" t="n">
        <f aca="false">C164+F164+I164</f>
        <v>11421.6433101412</v>
      </c>
      <c r="M164" s="49" t="n">
        <f aca="false">D164+G164+J164</f>
        <v>6311.71379811903</v>
      </c>
      <c r="N164" s="49" t="n">
        <f aca="false">L164+M164</f>
        <v>17733.3571082602</v>
      </c>
      <c r="O164" s="49" t="n">
        <f aca="false">E164+H164+K164</f>
        <v>4041600.64918036</v>
      </c>
    </row>
    <row r="165" customFormat="false" ht="15" hidden="false" customHeight="false" outlineLevel="0" collapsed="false">
      <c r="A165" s="48" t="n">
        <v>159</v>
      </c>
      <c r="B165" s="48" t="n">
        <f aca="false">ROUNDUP(A165/12,0)</f>
        <v>14</v>
      </c>
      <c r="C165" s="49" t="n">
        <f aca="false">E164*Annahmen!$B$55/12</f>
        <v>2110.66632708393</v>
      </c>
      <c r="D165" s="49" t="n">
        <f aca="false">MIN($C$3-C165,E164)</f>
        <v>1389.33367291607</v>
      </c>
      <c r="E165" s="49" t="n">
        <f aca="false">E164-D165</f>
        <v>1011730.50332737</v>
      </c>
      <c r="F165" s="49" t="n">
        <f aca="false">H164*Annahmen!$B$56/12</f>
        <v>2406.25712879251</v>
      </c>
      <c r="G165" s="49" t="n">
        <f aca="false">MIN($F$3-F165,H164)</f>
        <v>1418.74287120749</v>
      </c>
      <c r="H165" s="49" t="n">
        <f aca="false">H164-G165</f>
        <v>961084.108645798</v>
      </c>
      <c r="I165" s="49" t="n">
        <f aca="false">K164*Annahmen!$B$57/12</f>
        <v>6886.59320221022</v>
      </c>
      <c r="J165" s="49" t="n">
        <f aca="false">MIN($I$3-I165,K164)</f>
        <v>3521.76390605</v>
      </c>
      <c r="K165" s="49" t="n">
        <f aca="false">K164-J165</f>
        <v>2062456.19675702</v>
      </c>
      <c r="L165" s="49" t="n">
        <f aca="false">C165+F165+I165</f>
        <v>11403.5166580867</v>
      </c>
      <c r="M165" s="49" t="n">
        <f aca="false">D165+G165+J165</f>
        <v>6329.84045017356</v>
      </c>
      <c r="N165" s="49" t="n">
        <f aca="false">L165+M165</f>
        <v>17733.3571082602</v>
      </c>
      <c r="O165" s="49" t="n">
        <f aca="false">E165+H165+K165</f>
        <v>4035270.80873019</v>
      </c>
    </row>
    <row r="166" customFormat="false" ht="15" hidden="false" customHeight="false" outlineLevel="0" collapsed="false">
      <c r="A166" s="48" t="n">
        <v>160</v>
      </c>
      <c r="B166" s="48" t="n">
        <f aca="false">ROUNDUP(A166/12,0)</f>
        <v>14</v>
      </c>
      <c r="C166" s="49" t="n">
        <f aca="false">E165*Annahmen!$B$55/12</f>
        <v>2107.77188193203</v>
      </c>
      <c r="D166" s="49" t="n">
        <f aca="false">MIN($C$3-C166,E165)</f>
        <v>1392.22811806798</v>
      </c>
      <c r="E166" s="49" t="n">
        <f aca="false">E165-D166</f>
        <v>1010338.2752093</v>
      </c>
      <c r="F166" s="49" t="n">
        <f aca="false">H165*Annahmen!$B$56/12</f>
        <v>2402.7102716145</v>
      </c>
      <c r="G166" s="49" t="n">
        <f aca="false">MIN($F$3-F166,H165)</f>
        <v>1422.28972838551</v>
      </c>
      <c r="H166" s="49" t="n">
        <f aca="false">H165-G166</f>
        <v>959661.818917413</v>
      </c>
      <c r="I166" s="49" t="n">
        <f aca="false">K165*Annahmen!$B$57/12</f>
        <v>6874.85398919005</v>
      </c>
      <c r="J166" s="49" t="n">
        <f aca="false">MIN($I$3-I166,K165)</f>
        <v>3533.50311907017</v>
      </c>
      <c r="K166" s="49" t="n">
        <f aca="false">K165-J166</f>
        <v>2058922.69363795</v>
      </c>
      <c r="L166" s="49" t="n">
        <f aca="false">C166+F166+I166</f>
        <v>11385.3361427366</v>
      </c>
      <c r="M166" s="49" t="n">
        <f aca="false">D166+G166+J166</f>
        <v>6348.02096552365</v>
      </c>
      <c r="N166" s="49" t="n">
        <f aca="false">L166+M166</f>
        <v>17733.3571082602</v>
      </c>
      <c r="O166" s="49" t="n">
        <f aca="false">E166+H166+K166</f>
        <v>4028922.78776466</v>
      </c>
    </row>
    <row r="167" customFormat="false" ht="15" hidden="false" customHeight="false" outlineLevel="0" collapsed="false">
      <c r="A167" s="48" t="n">
        <v>161</v>
      </c>
      <c r="B167" s="48" t="n">
        <f aca="false">ROUNDUP(A167/12,0)</f>
        <v>14</v>
      </c>
      <c r="C167" s="49" t="n">
        <f aca="false">E166*Annahmen!$B$55/12</f>
        <v>2104.87140668605</v>
      </c>
      <c r="D167" s="49" t="n">
        <f aca="false">MIN($C$3-C167,E166)</f>
        <v>1395.12859331395</v>
      </c>
      <c r="E167" s="49" t="n">
        <f aca="false">E166-D167</f>
        <v>1008943.14661599</v>
      </c>
      <c r="F167" s="49" t="n">
        <f aca="false">H166*Annahmen!$B$56/12</f>
        <v>2399.15454729353</v>
      </c>
      <c r="G167" s="49" t="n">
        <f aca="false">MIN($F$3-F167,H166)</f>
        <v>1425.84545270647</v>
      </c>
      <c r="H167" s="49" t="n">
        <f aca="false">H166-G167</f>
        <v>958235.973464706</v>
      </c>
      <c r="I167" s="49" t="n">
        <f aca="false">K166*Annahmen!$B$57/12</f>
        <v>6863.07564545982</v>
      </c>
      <c r="J167" s="49" t="n">
        <f aca="false">MIN($I$3-I167,K166)</f>
        <v>3545.2814628004</v>
      </c>
      <c r="K167" s="49" t="n">
        <f aca="false">K166-J167</f>
        <v>2055377.41217515</v>
      </c>
      <c r="L167" s="49" t="n">
        <f aca="false">C167+F167+I167</f>
        <v>11367.1015994394</v>
      </c>
      <c r="M167" s="49" t="n">
        <f aca="false">D167+G167+J167</f>
        <v>6366.25550882082</v>
      </c>
      <c r="N167" s="49" t="n">
        <f aca="false">L167+M167</f>
        <v>17733.3571082602</v>
      </c>
      <c r="O167" s="49" t="n">
        <f aca="false">E167+H167+K167</f>
        <v>4022556.53225584</v>
      </c>
    </row>
    <row r="168" customFormat="false" ht="15" hidden="false" customHeight="false" outlineLevel="0" collapsed="false">
      <c r="A168" s="48" t="n">
        <v>162</v>
      </c>
      <c r="B168" s="48" t="n">
        <f aca="false">ROUNDUP(A168/12,0)</f>
        <v>14</v>
      </c>
      <c r="C168" s="49" t="n">
        <f aca="false">E167*Annahmen!$B$55/12</f>
        <v>2101.96488878331</v>
      </c>
      <c r="D168" s="49" t="n">
        <f aca="false">MIN($C$3-C168,E167)</f>
        <v>1398.03511121669</v>
      </c>
      <c r="E168" s="49" t="n">
        <f aca="false">E167-D168</f>
        <v>1007545.11150477</v>
      </c>
      <c r="F168" s="49" t="n">
        <f aca="false">H167*Annahmen!$B$56/12</f>
        <v>2395.58993366177</v>
      </c>
      <c r="G168" s="49" t="n">
        <f aca="false">MIN($F$3-F168,H167)</f>
        <v>1429.41006633824</v>
      </c>
      <c r="H168" s="49" t="n">
        <f aca="false">H167-G168</f>
        <v>956806.563398368</v>
      </c>
      <c r="I168" s="49" t="n">
        <f aca="false">K167*Annahmen!$B$57/12</f>
        <v>6851.25804058382</v>
      </c>
      <c r="J168" s="49" t="n">
        <f aca="false">MIN($I$3-I168,K167)</f>
        <v>3557.09906767641</v>
      </c>
      <c r="K168" s="49" t="n">
        <f aca="false">K167-J168</f>
        <v>2051820.31310747</v>
      </c>
      <c r="L168" s="49" t="n">
        <f aca="false">C168+F168+I168</f>
        <v>11348.8128630289</v>
      </c>
      <c r="M168" s="49" t="n">
        <f aca="false">D168+G168+J168</f>
        <v>6384.54424523133</v>
      </c>
      <c r="N168" s="49" t="n">
        <f aca="false">L168+M168</f>
        <v>17733.3571082602</v>
      </c>
      <c r="O168" s="49" t="n">
        <f aca="false">E168+H168+K168</f>
        <v>4016171.98801061</v>
      </c>
    </row>
    <row r="169" customFormat="false" ht="15" hidden="false" customHeight="false" outlineLevel="0" collapsed="false">
      <c r="A169" s="48" t="n">
        <v>163</v>
      </c>
      <c r="B169" s="48" t="n">
        <f aca="false">ROUNDUP(A169/12,0)</f>
        <v>14</v>
      </c>
      <c r="C169" s="49" t="n">
        <f aca="false">E168*Annahmen!$B$55/12</f>
        <v>2099.05231563495</v>
      </c>
      <c r="D169" s="49" t="n">
        <f aca="false">MIN($C$3-C169,E168)</f>
        <v>1400.94768436506</v>
      </c>
      <c r="E169" s="49" t="n">
        <f aca="false">E168-D169</f>
        <v>1006144.16382041</v>
      </c>
      <c r="F169" s="49" t="n">
        <f aca="false">H168*Annahmen!$B$56/12</f>
        <v>2392.01640849592</v>
      </c>
      <c r="G169" s="49" t="n">
        <f aca="false">MIN($F$3-F169,H168)</f>
        <v>1432.98359150408</v>
      </c>
      <c r="H169" s="49" t="n">
        <f aca="false">H168-G169</f>
        <v>955373.579806864</v>
      </c>
      <c r="I169" s="49" t="n">
        <f aca="false">K168*Annahmen!$B$57/12</f>
        <v>6839.40104369156</v>
      </c>
      <c r="J169" s="49" t="n">
        <f aca="false">MIN($I$3-I169,K168)</f>
        <v>3568.95606456866</v>
      </c>
      <c r="K169" s="49" t="n">
        <f aca="false">K168-J169</f>
        <v>2048251.3570429</v>
      </c>
      <c r="L169" s="49" t="n">
        <f aca="false">C169+F169+I169</f>
        <v>11330.4697678224</v>
      </c>
      <c r="M169" s="49" t="n">
        <f aca="false">D169+G169+J169</f>
        <v>6402.8873404378</v>
      </c>
      <c r="N169" s="49" t="n">
        <f aca="false">L169+M169</f>
        <v>17733.3571082602</v>
      </c>
      <c r="O169" s="49" t="n">
        <f aca="false">E169+H169+K169</f>
        <v>4009769.10067017</v>
      </c>
    </row>
    <row r="170" customFormat="false" ht="15" hidden="false" customHeight="false" outlineLevel="0" collapsed="false">
      <c r="A170" s="48" t="n">
        <v>164</v>
      </c>
      <c r="B170" s="48" t="n">
        <f aca="false">ROUNDUP(A170/12,0)</f>
        <v>14</v>
      </c>
      <c r="C170" s="49" t="n">
        <f aca="false">E169*Annahmen!$B$55/12</f>
        <v>2096.13367462585</v>
      </c>
      <c r="D170" s="49" t="n">
        <f aca="false">MIN($C$3-C170,E169)</f>
        <v>1403.86632537415</v>
      </c>
      <c r="E170" s="49" t="n">
        <f aca="false">E169-D170</f>
        <v>1004740.29749503</v>
      </c>
      <c r="F170" s="49" t="n">
        <f aca="false">H169*Annahmen!$B$56/12</f>
        <v>2388.43394951716</v>
      </c>
      <c r="G170" s="49" t="n">
        <f aca="false">MIN($F$3-F170,H169)</f>
        <v>1436.56605048284</v>
      </c>
      <c r="H170" s="49" t="n">
        <f aca="false">H169-G170</f>
        <v>953937.013756381</v>
      </c>
      <c r="I170" s="49" t="n">
        <f aca="false">K169*Annahmen!$B$57/12</f>
        <v>6827.50452347634</v>
      </c>
      <c r="J170" s="49" t="n">
        <f aca="false">MIN($I$3-I170,K169)</f>
        <v>3580.85258478389</v>
      </c>
      <c r="K170" s="49" t="n">
        <f aca="false">K169-J170</f>
        <v>2044670.50445812</v>
      </c>
      <c r="L170" s="49" t="n">
        <f aca="false">C170+F170+I170</f>
        <v>11312.0721476193</v>
      </c>
      <c r="M170" s="49" t="n">
        <f aca="false">D170+G170+J170</f>
        <v>6421.28496064088</v>
      </c>
      <c r="N170" s="49" t="n">
        <f aca="false">L170+M170</f>
        <v>17733.3571082602</v>
      </c>
      <c r="O170" s="49" t="n">
        <f aca="false">E170+H170+K170</f>
        <v>4003347.81570953</v>
      </c>
    </row>
    <row r="171" customFormat="false" ht="15" hidden="false" customHeight="false" outlineLevel="0" collapsed="false">
      <c r="A171" s="48" t="n">
        <v>165</v>
      </c>
      <c r="B171" s="48" t="n">
        <f aca="false">ROUNDUP(A171/12,0)</f>
        <v>14</v>
      </c>
      <c r="C171" s="49" t="n">
        <f aca="false">E170*Annahmen!$B$55/12</f>
        <v>2093.20895311466</v>
      </c>
      <c r="D171" s="49" t="n">
        <f aca="false">MIN($C$3-C171,E170)</f>
        <v>1406.79104688535</v>
      </c>
      <c r="E171" s="49" t="n">
        <f aca="false">E170-D171</f>
        <v>1003333.50644815</v>
      </c>
      <c r="F171" s="49" t="n">
        <f aca="false">H170*Annahmen!$B$56/12</f>
        <v>2384.84253439095</v>
      </c>
      <c r="G171" s="49" t="n">
        <f aca="false">MIN($F$3-F171,H170)</f>
        <v>1440.15746560905</v>
      </c>
      <c r="H171" s="49" t="n">
        <f aca="false">H170-G171</f>
        <v>952496.856290772</v>
      </c>
      <c r="I171" s="49" t="n">
        <f aca="false">K170*Annahmen!$B$57/12</f>
        <v>6815.56834819372</v>
      </c>
      <c r="J171" s="49" t="n">
        <f aca="false">MIN($I$3-I171,K170)</f>
        <v>3592.7887600665</v>
      </c>
      <c r="K171" s="49" t="n">
        <f aca="false">K170-J171</f>
        <v>2041077.71569805</v>
      </c>
      <c r="L171" s="49" t="n">
        <f aca="false">C171+F171+I171</f>
        <v>11293.6198356993</v>
      </c>
      <c r="M171" s="49" t="n">
        <f aca="false">D171+G171+J171</f>
        <v>6439.7372725609</v>
      </c>
      <c r="N171" s="49" t="n">
        <f aca="false">L171+M171</f>
        <v>17733.3571082602</v>
      </c>
      <c r="O171" s="49" t="n">
        <f aca="false">E171+H171+K171</f>
        <v>3996908.07843697</v>
      </c>
    </row>
    <row r="172" customFormat="false" ht="15" hidden="false" customHeight="false" outlineLevel="0" collapsed="false">
      <c r="A172" s="48" t="n">
        <v>166</v>
      </c>
      <c r="B172" s="48" t="n">
        <f aca="false">ROUNDUP(A172/12,0)</f>
        <v>14</v>
      </c>
      <c r="C172" s="49" t="n">
        <f aca="false">E171*Annahmen!$B$55/12</f>
        <v>2090.27813843364</v>
      </c>
      <c r="D172" s="49" t="n">
        <f aca="false">MIN($C$3-C172,E171)</f>
        <v>1409.72186156636</v>
      </c>
      <c r="E172" s="49" t="n">
        <f aca="false">E171-D172</f>
        <v>1001923.78458658</v>
      </c>
      <c r="F172" s="49" t="n">
        <f aca="false">H171*Annahmen!$B$56/12</f>
        <v>2381.24214072693</v>
      </c>
      <c r="G172" s="49" t="n">
        <f aca="false">MIN($F$3-F172,H171)</f>
        <v>1443.75785927307</v>
      </c>
      <c r="H172" s="49" t="n">
        <f aca="false">H171-G172</f>
        <v>951053.098431499</v>
      </c>
      <c r="I172" s="49" t="n">
        <f aca="false">K171*Annahmen!$B$57/12</f>
        <v>6803.59238566017</v>
      </c>
      <c r="J172" s="49" t="n">
        <f aca="false">MIN($I$3-I172,K171)</f>
        <v>3604.76472260006</v>
      </c>
      <c r="K172" s="49" t="n">
        <f aca="false">K171-J172</f>
        <v>2037472.95097545</v>
      </c>
      <c r="L172" s="49" t="n">
        <f aca="false">C172+F172+I172</f>
        <v>11275.1126648207</v>
      </c>
      <c r="M172" s="49" t="n">
        <f aca="false">D172+G172+J172</f>
        <v>6458.24444343949</v>
      </c>
      <c r="N172" s="49" t="n">
        <f aca="false">L172+M172</f>
        <v>17733.3571082602</v>
      </c>
      <c r="O172" s="49" t="n">
        <f aca="false">E172+H172+K172</f>
        <v>3990449.83399353</v>
      </c>
    </row>
    <row r="173" customFormat="false" ht="15" hidden="false" customHeight="false" outlineLevel="0" collapsed="false">
      <c r="A173" s="48" t="n">
        <v>167</v>
      </c>
      <c r="B173" s="48" t="n">
        <f aca="false">ROUNDUP(A173/12,0)</f>
        <v>14</v>
      </c>
      <c r="C173" s="49" t="n">
        <f aca="false">E172*Annahmen!$B$55/12</f>
        <v>2087.34121788871</v>
      </c>
      <c r="D173" s="49" t="n">
        <f aca="false">MIN($C$3-C173,E172)</f>
        <v>1412.65878211129</v>
      </c>
      <c r="E173" s="49" t="n">
        <f aca="false">E172-D173</f>
        <v>1000511.12580447</v>
      </c>
      <c r="F173" s="49" t="n">
        <f aca="false">H172*Annahmen!$B$56/12</f>
        <v>2377.63274607875</v>
      </c>
      <c r="G173" s="49" t="n">
        <f aca="false">MIN($F$3-F173,H172)</f>
        <v>1447.36725392125</v>
      </c>
      <c r="H173" s="49" t="n">
        <f aca="false">H172-G173</f>
        <v>949605.731177578</v>
      </c>
      <c r="I173" s="49" t="n">
        <f aca="false">K172*Annahmen!$B$57/12</f>
        <v>6791.5765032515</v>
      </c>
      <c r="J173" s="49" t="n">
        <f aca="false">MIN($I$3-I173,K172)</f>
        <v>3616.78060500872</v>
      </c>
      <c r="K173" s="49" t="n">
        <f aca="false">K172-J173</f>
        <v>2033856.17037044</v>
      </c>
      <c r="L173" s="49" t="n">
        <f aca="false">C173+F173+I173</f>
        <v>11256.550467219</v>
      </c>
      <c r="M173" s="49" t="n">
        <f aca="false">D173+G173+J173</f>
        <v>6476.80664104126</v>
      </c>
      <c r="N173" s="49" t="n">
        <f aca="false">L173+M173</f>
        <v>17733.3571082602</v>
      </c>
      <c r="O173" s="49" t="n">
        <f aca="false">E173+H173+K173</f>
        <v>3983973.02735249</v>
      </c>
    </row>
    <row r="174" customFormat="false" ht="15" hidden="false" customHeight="false" outlineLevel="0" collapsed="false">
      <c r="A174" s="48" t="n">
        <v>168</v>
      </c>
      <c r="B174" s="48" t="n">
        <f aca="false">ROUNDUP(A174/12,0)</f>
        <v>14</v>
      </c>
      <c r="C174" s="49" t="n">
        <f aca="false">E173*Annahmen!$B$55/12</f>
        <v>2084.39817875932</v>
      </c>
      <c r="D174" s="49" t="n">
        <f aca="false">MIN($C$3-C174,E173)</f>
        <v>1415.60182124069</v>
      </c>
      <c r="E174" s="49" t="n">
        <f aca="false">E173-D174</f>
        <v>999095.523983231</v>
      </c>
      <c r="F174" s="49" t="n">
        <f aca="false">H173*Annahmen!$B$56/12</f>
        <v>2374.01432794394</v>
      </c>
      <c r="G174" s="49" t="n">
        <f aca="false">MIN($F$3-F174,H173)</f>
        <v>1450.98567205606</v>
      </c>
      <c r="H174" s="49" t="n">
        <f aca="false">H173-G174</f>
        <v>948154.745505522</v>
      </c>
      <c r="I174" s="49" t="n">
        <f aca="false">K173*Annahmen!$B$57/12</f>
        <v>6779.52056790147</v>
      </c>
      <c r="J174" s="49" t="n">
        <f aca="false">MIN($I$3-I174,K173)</f>
        <v>3628.83654035875</v>
      </c>
      <c r="K174" s="49" t="n">
        <f aca="false">K173-J174</f>
        <v>2030227.33383008</v>
      </c>
      <c r="L174" s="49" t="n">
        <f aca="false">C174+F174+I174</f>
        <v>11237.9330746047</v>
      </c>
      <c r="M174" s="49" t="n">
        <f aca="false">D174+G174+J174</f>
        <v>6495.4240336555</v>
      </c>
      <c r="N174" s="49" t="n">
        <f aca="false">L174+M174</f>
        <v>17733.3571082602</v>
      </c>
      <c r="O174" s="49" t="n">
        <f aca="false">E174+H174+K174</f>
        <v>3977477.60331883</v>
      </c>
    </row>
    <row r="175" customFormat="false" ht="15" hidden="false" customHeight="false" outlineLevel="0" collapsed="false">
      <c r="A175" s="48" t="n">
        <v>169</v>
      </c>
      <c r="B175" s="48" t="n">
        <f aca="false">ROUNDUP(A175/12,0)</f>
        <v>15</v>
      </c>
      <c r="C175" s="49" t="n">
        <f aca="false">E174*Annahmen!$B$55/12</f>
        <v>2081.4490082984</v>
      </c>
      <c r="D175" s="49" t="n">
        <f aca="false">MIN($C$3-C175,E174)</f>
        <v>1418.5509917016</v>
      </c>
      <c r="E175" s="49" t="n">
        <f aca="false">E174-D175</f>
        <v>997676.972991529</v>
      </c>
      <c r="F175" s="49" t="n">
        <f aca="false">H174*Annahmen!$B$56/12</f>
        <v>2370.3868637638</v>
      </c>
      <c r="G175" s="49" t="n">
        <f aca="false">MIN($F$3-F175,H174)</f>
        <v>1454.6131362362</v>
      </c>
      <c r="H175" s="49" t="n">
        <f aca="false">H174-G175</f>
        <v>946700.132369285</v>
      </c>
      <c r="I175" s="49" t="n">
        <f aca="false">K174*Annahmen!$B$57/12</f>
        <v>6767.42444610027</v>
      </c>
      <c r="J175" s="49" t="n">
        <f aca="false">MIN($I$3-I175,K174)</f>
        <v>3640.93266215995</v>
      </c>
      <c r="K175" s="49" t="n">
        <f aca="false">K174-J175</f>
        <v>2026586.40116792</v>
      </c>
      <c r="L175" s="49" t="n">
        <f aca="false">C175+F175+I175</f>
        <v>11219.2603181625</v>
      </c>
      <c r="M175" s="49" t="n">
        <f aca="false">D175+G175+J175</f>
        <v>6514.09679009775</v>
      </c>
      <c r="N175" s="49" t="n">
        <f aca="false">L175+M175</f>
        <v>17733.3571082602</v>
      </c>
      <c r="O175" s="49" t="n">
        <f aca="false">E175+H175+K175</f>
        <v>3970963.50652874</v>
      </c>
    </row>
    <row r="176" customFormat="false" ht="15" hidden="false" customHeight="false" outlineLevel="0" collapsed="false">
      <c r="A176" s="48" t="n">
        <v>170</v>
      </c>
      <c r="B176" s="48" t="n">
        <f aca="false">ROUNDUP(A176/12,0)</f>
        <v>15</v>
      </c>
      <c r="C176" s="49" t="n">
        <f aca="false">E175*Annahmen!$B$55/12</f>
        <v>2078.49369373235</v>
      </c>
      <c r="D176" s="49" t="n">
        <f aca="false">MIN($C$3-C176,E175)</f>
        <v>1421.50630626765</v>
      </c>
      <c r="E176" s="49" t="n">
        <f aca="false">E175-D176</f>
        <v>996255.466685261</v>
      </c>
      <c r="F176" s="49" t="n">
        <f aca="false">H175*Annahmen!$B$56/12</f>
        <v>2366.75033092321</v>
      </c>
      <c r="G176" s="49" t="n">
        <f aca="false">MIN($F$3-F176,H175)</f>
        <v>1458.24966907679</v>
      </c>
      <c r="H176" s="49" t="n">
        <f aca="false">H175-G176</f>
        <v>945241.882700209</v>
      </c>
      <c r="I176" s="49" t="n">
        <f aca="false">K175*Annahmen!$B$57/12</f>
        <v>6755.28800389307</v>
      </c>
      <c r="J176" s="49" t="n">
        <f aca="false">MIN($I$3-I176,K175)</f>
        <v>3653.06910436715</v>
      </c>
      <c r="K176" s="49" t="n">
        <f aca="false">K175-J176</f>
        <v>2022933.33206356</v>
      </c>
      <c r="L176" s="49" t="n">
        <f aca="false">C176+F176+I176</f>
        <v>11200.5320285486</v>
      </c>
      <c r="M176" s="49" t="n">
        <f aca="false">D176+G176+J176</f>
        <v>6532.82507971159</v>
      </c>
      <c r="N176" s="49" t="n">
        <f aca="false">L176+M176</f>
        <v>17733.3571082602</v>
      </c>
      <c r="O176" s="49" t="n">
        <f aca="false">E176+H176+K176</f>
        <v>3964430.68144903</v>
      </c>
    </row>
    <row r="177" customFormat="false" ht="15" hidden="false" customHeight="false" outlineLevel="0" collapsed="false">
      <c r="A177" s="48" t="n">
        <v>171</v>
      </c>
      <c r="B177" s="48" t="n">
        <f aca="false">ROUNDUP(A177/12,0)</f>
        <v>15</v>
      </c>
      <c r="C177" s="49" t="n">
        <f aca="false">E176*Annahmen!$B$55/12</f>
        <v>2075.53222226096</v>
      </c>
      <c r="D177" s="49" t="n">
        <f aca="false">MIN($C$3-C177,E176)</f>
        <v>1424.46777773904</v>
      </c>
      <c r="E177" s="49" t="n">
        <f aca="false">E176-D177</f>
        <v>994830.998907522</v>
      </c>
      <c r="F177" s="49" t="n">
        <f aca="false">H176*Annahmen!$B$56/12</f>
        <v>2363.10470675052</v>
      </c>
      <c r="G177" s="49" t="n">
        <f aca="false">MIN($F$3-F177,H176)</f>
        <v>1461.89529324948</v>
      </c>
      <c r="H177" s="49" t="n">
        <f aca="false">H176-G177</f>
        <v>943779.987406959</v>
      </c>
      <c r="I177" s="49" t="n">
        <f aca="false">K176*Annahmen!$B$57/12</f>
        <v>6743.11110687852</v>
      </c>
      <c r="J177" s="49" t="n">
        <f aca="false">MIN($I$3-I177,K176)</f>
        <v>3665.24600138171</v>
      </c>
      <c r="K177" s="49" t="n">
        <f aca="false">K176-J177</f>
        <v>2019268.08606217</v>
      </c>
      <c r="L177" s="49" t="n">
        <f aca="false">C177+F177+I177</f>
        <v>11181.74803589</v>
      </c>
      <c r="M177" s="49" t="n">
        <f aca="false">D177+G177+J177</f>
        <v>6551.60907237023</v>
      </c>
      <c r="N177" s="49" t="n">
        <f aca="false">L177+M177</f>
        <v>17733.3571082602</v>
      </c>
      <c r="O177" s="49" t="n">
        <f aca="false">E177+H177+K177</f>
        <v>3957879.07237666</v>
      </c>
    </row>
    <row r="178" customFormat="false" ht="15" hidden="false" customHeight="false" outlineLevel="0" collapsed="false">
      <c r="A178" s="48" t="n">
        <v>172</v>
      </c>
      <c r="B178" s="48" t="n">
        <f aca="false">ROUNDUP(A178/12,0)</f>
        <v>15</v>
      </c>
      <c r="C178" s="49" t="n">
        <f aca="false">E177*Annahmen!$B$55/12</f>
        <v>2072.56458105734</v>
      </c>
      <c r="D178" s="49" t="n">
        <f aca="false">MIN($C$3-C178,E177)</f>
        <v>1427.43541894266</v>
      </c>
      <c r="E178" s="49" t="n">
        <f aca="false">E177-D178</f>
        <v>993403.56348858</v>
      </c>
      <c r="F178" s="49" t="n">
        <f aca="false">H177*Annahmen!$B$56/12</f>
        <v>2359.4499685174</v>
      </c>
      <c r="G178" s="49" t="n">
        <f aca="false">MIN($F$3-F178,H177)</f>
        <v>1465.5500314826</v>
      </c>
      <c r="H178" s="49" t="n">
        <f aca="false">H177-G178</f>
        <v>942314.437375477</v>
      </c>
      <c r="I178" s="49" t="n">
        <f aca="false">K177*Annahmen!$B$57/12</f>
        <v>6730.89362020725</v>
      </c>
      <c r="J178" s="49" t="n">
        <f aca="false">MIN($I$3-I178,K177)</f>
        <v>3677.46348805298</v>
      </c>
      <c r="K178" s="49" t="n">
        <f aca="false">K177-J178</f>
        <v>2015590.62257412</v>
      </c>
      <c r="L178" s="49" t="n">
        <f aca="false">C178+F178+I178</f>
        <v>11162.908169782</v>
      </c>
      <c r="M178" s="49" t="n">
        <f aca="false">D178+G178+J178</f>
        <v>6570.44893847825</v>
      </c>
      <c r="N178" s="49" t="n">
        <f aca="false">L178+M178</f>
        <v>17733.3571082602</v>
      </c>
      <c r="O178" s="49" t="n">
        <f aca="false">E178+H178+K178</f>
        <v>3951308.62343818</v>
      </c>
    </row>
    <row r="179" customFormat="false" ht="15" hidden="false" customHeight="false" outlineLevel="0" collapsed="false">
      <c r="A179" s="48" t="n">
        <v>173</v>
      </c>
      <c r="B179" s="48" t="n">
        <f aca="false">ROUNDUP(A179/12,0)</f>
        <v>15</v>
      </c>
      <c r="C179" s="49" t="n">
        <f aca="false">E178*Annahmen!$B$55/12</f>
        <v>2069.59075726787</v>
      </c>
      <c r="D179" s="49" t="n">
        <f aca="false">MIN($C$3-C179,E178)</f>
        <v>1430.40924273213</v>
      </c>
      <c r="E179" s="49" t="n">
        <f aca="false">E178-D179</f>
        <v>991973.154245848</v>
      </c>
      <c r="F179" s="49" t="n">
        <f aca="false">H178*Annahmen!$B$56/12</f>
        <v>2355.78609343869</v>
      </c>
      <c r="G179" s="49" t="n">
        <f aca="false">MIN($F$3-F179,H178)</f>
        <v>1469.21390656131</v>
      </c>
      <c r="H179" s="49" t="n">
        <f aca="false">H178-G179</f>
        <v>940845.223468915</v>
      </c>
      <c r="I179" s="49" t="n">
        <f aca="false">K178*Annahmen!$B$57/12</f>
        <v>6718.6354085804</v>
      </c>
      <c r="J179" s="49" t="n">
        <f aca="false">MIN($I$3-I179,K178)</f>
        <v>3689.72169967982</v>
      </c>
      <c r="K179" s="49" t="n">
        <f aca="false">K178-J179</f>
        <v>2011900.90087444</v>
      </c>
      <c r="L179" s="49" t="n">
        <f aca="false">C179+F179+I179</f>
        <v>11144.012259287</v>
      </c>
      <c r="M179" s="49" t="n">
        <f aca="false">D179+G179+J179</f>
        <v>6589.34484897326</v>
      </c>
      <c r="N179" s="49" t="n">
        <f aca="false">L179+M179</f>
        <v>17733.3571082602</v>
      </c>
      <c r="O179" s="49" t="n">
        <f aca="false">E179+H179+K179</f>
        <v>3944719.2785892</v>
      </c>
    </row>
    <row r="180" customFormat="false" ht="15" hidden="false" customHeight="false" outlineLevel="0" collapsed="false">
      <c r="A180" s="48" t="n">
        <v>174</v>
      </c>
      <c r="B180" s="48" t="n">
        <f aca="false">ROUNDUP(A180/12,0)</f>
        <v>15</v>
      </c>
      <c r="C180" s="49" t="n">
        <f aca="false">E179*Annahmen!$B$55/12</f>
        <v>2066.61073801218</v>
      </c>
      <c r="D180" s="49" t="n">
        <f aca="false">MIN($C$3-C180,E179)</f>
        <v>1433.38926198782</v>
      </c>
      <c r="E180" s="49" t="n">
        <f aca="false">E179-D180</f>
        <v>990539.76498386</v>
      </c>
      <c r="F180" s="49" t="n">
        <f aca="false">H179*Annahmen!$B$56/12</f>
        <v>2352.11305867229</v>
      </c>
      <c r="G180" s="49" t="n">
        <f aca="false">MIN($F$3-F180,H179)</f>
        <v>1472.88694132771</v>
      </c>
      <c r="H180" s="49" t="n">
        <f aca="false">H179-G180</f>
        <v>939372.336527588</v>
      </c>
      <c r="I180" s="49" t="n">
        <f aca="false">K179*Annahmen!$B$57/12</f>
        <v>6706.33633624814</v>
      </c>
      <c r="J180" s="49" t="n">
        <f aca="false">MIN($I$3-I180,K179)</f>
        <v>3702.02077201209</v>
      </c>
      <c r="K180" s="49" t="n">
        <f aca="false">K179-J180</f>
        <v>2008198.88010243</v>
      </c>
      <c r="L180" s="49" t="n">
        <f aca="false">C180+F180+I180</f>
        <v>11125.0601329326</v>
      </c>
      <c r="M180" s="49" t="n">
        <f aca="false">D180+G180+J180</f>
        <v>6608.29697532762</v>
      </c>
      <c r="N180" s="49" t="n">
        <f aca="false">L180+M180</f>
        <v>17733.3571082602</v>
      </c>
      <c r="O180" s="49" t="n">
        <f aca="false">E180+H180+K180</f>
        <v>3938110.98161388</v>
      </c>
    </row>
    <row r="181" customFormat="false" ht="15" hidden="false" customHeight="false" outlineLevel="0" collapsed="false">
      <c r="A181" s="48" t="n">
        <v>175</v>
      </c>
      <c r="B181" s="48" t="n">
        <f aca="false">ROUNDUP(A181/12,0)</f>
        <v>15</v>
      </c>
      <c r="C181" s="49" t="n">
        <f aca="false">E180*Annahmen!$B$55/12</f>
        <v>2063.62451038304</v>
      </c>
      <c r="D181" s="49" t="n">
        <f aca="false">MIN($C$3-C181,E180)</f>
        <v>1436.37548961696</v>
      </c>
      <c r="E181" s="49" t="n">
        <f aca="false">E180-D181</f>
        <v>989103.389494243</v>
      </c>
      <c r="F181" s="49" t="n">
        <f aca="false">H180*Annahmen!$B$56/12</f>
        <v>2348.43084131897</v>
      </c>
      <c r="G181" s="49" t="n">
        <f aca="false">MIN($F$3-F181,H180)</f>
        <v>1476.56915868103</v>
      </c>
      <c r="H181" s="49" t="n">
        <f aca="false">H180-G181</f>
        <v>937895.767368907</v>
      </c>
      <c r="I181" s="49" t="n">
        <f aca="false">K180*Annahmen!$B$57/12</f>
        <v>6693.99626700809</v>
      </c>
      <c r="J181" s="49" t="n">
        <f aca="false">MIN($I$3-I181,K180)</f>
        <v>3714.36084125213</v>
      </c>
      <c r="K181" s="49" t="n">
        <f aca="false">K180-J181</f>
        <v>2004484.51926118</v>
      </c>
      <c r="L181" s="49" t="n">
        <f aca="false">C181+F181+I181</f>
        <v>11106.0516187101</v>
      </c>
      <c r="M181" s="49" t="n">
        <f aca="false">D181+G181+J181</f>
        <v>6627.30548955012</v>
      </c>
      <c r="N181" s="49" t="n">
        <f aca="false">L181+M181</f>
        <v>17733.3571082602</v>
      </c>
      <c r="O181" s="49" t="n">
        <f aca="false">E181+H181+K181</f>
        <v>3931483.67612433</v>
      </c>
    </row>
    <row r="182" customFormat="false" ht="15" hidden="false" customHeight="false" outlineLevel="0" collapsed="false">
      <c r="A182" s="48" t="n">
        <v>176</v>
      </c>
      <c r="B182" s="48" t="n">
        <f aca="false">ROUNDUP(A182/12,0)</f>
        <v>15</v>
      </c>
      <c r="C182" s="49" t="n">
        <f aca="false">E181*Annahmen!$B$55/12</f>
        <v>2060.63206144634</v>
      </c>
      <c r="D182" s="49" t="n">
        <f aca="false">MIN($C$3-C182,E181)</f>
        <v>1439.36793855366</v>
      </c>
      <c r="E182" s="49" t="n">
        <f aca="false">E181-D182</f>
        <v>987664.021555689</v>
      </c>
      <c r="F182" s="49" t="n">
        <f aca="false">H181*Annahmen!$B$56/12</f>
        <v>2344.73941842227</v>
      </c>
      <c r="G182" s="49" t="n">
        <f aca="false">MIN($F$3-F182,H181)</f>
        <v>1480.26058157773</v>
      </c>
      <c r="H182" s="49" t="n">
        <f aca="false">H181-G182</f>
        <v>936415.506787329</v>
      </c>
      <c r="I182" s="49" t="n">
        <f aca="false">K181*Annahmen!$B$57/12</f>
        <v>6681.61506420392</v>
      </c>
      <c r="J182" s="49" t="n">
        <f aca="false">MIN($I$3-I182,K181)</f>
        <v>3726.7420440563</v>
      </c>
      <c r="K182" s="49" t="n">
        <f aca="false">K181-J182</f>
        <v>2000757.77721712</v>
      </c>
      <c r="L182" s="49" t="n">
        <f aca="false">C182+F182+I182</f>
        <v>11086.9865440725</v>
      </c>
      <c r="M182" s="49" t="n">
        <f aca="false">D182+G182+J182</f>
        <v>6646.3705641877</v>
      </c>
      <c r="N182" s="49" t="n">
        <f aca="false">L182+M182</f>
        <v>17733.3571082602</v>
      </c>
      <c r="O182" s="49" t="n">
        <f aca="false">E182+H182+K182</f>
        <v>3924837.30556014</v>
      </c>
    </row>
    <row r="183" customFormat="false" ht="15" hidden="false" customHeight="false" outlineLevel="0" collapsed="false">
      <c r="A183" s="48" t="n">
        <v>177</v>
      </c>
      <c r="B183" s="48" t="n">
        <f aca="false">ROUNDUP(A183/12,0)</f>
        <v>15</v>
      </c>
      <c r="C183" s="49" t="n">
        <f aca="false">E182*Annahmen!$B$55/12</f>
        <v>2057.63337824102</v>
      </c>
      <c r="D183" s="49" t="n">
        <f aca="false">MIN($C$3-C183,E182)</f>
        <v>1442.36662175898</v>
      </c>
      <c r="E183" s="49" t="n">
        <f aca="false">E182-D183</f>
        <v>986221.65493393</v>
      </c>
      <c r="F183" s="49" t="n">
        <f aca="false">H182*Annahmen!$B$56/12</f>
        <v>2341.03876696832</v>
      </c>
      <c r="G183" s="49" t="n">
        <f aca="false">MIN($F$3-F183,H182)</f>
        <v>1483.96123303168</v>
      </c>
      <c r="H183" s="49" t="n">
        <f aca="false">H182-G183</f>
        <v>934931.545554297</v>
      </c>
      <c r="I183" s="49" t="n">
        <f aca="false">K182*Annahmen!$B$57/12</f>
        <v>6669.19259072373</v>
      </c>
      <c r="J183" s="49" t="n">
        <f aca="false">MIN($I$3-I183,K182)</f>
        <v>3739.16451753649</v>
      </c>
      <c r="K183" s="49" t="n">
        <f aca="false">K182-J183</f>
        <v>1997018.61269958</v>
      </c>
      <c r="L183" s="49" t="n">
        <f aca="false">C183+F183+I183</f>
        <v>11067.8647359331</v>
      </c>
      <c r="M183" s="49" t="n">
        <f aca="false">D183+G183+J183</f>
        <v>6665.49237232715</v>
      </c>
      <c r="N183" s="49" t="n">
        <f aca="false">L183+M183</f>
        <v>17733.3571082602</v>
      </c>
      <c r="O183" s="49" t="n">
        <f aca="false">E183+H183+K183</f>
        <v>3918171.81318781</v>
      </c>
    </row>
    <row r="184" customFormat="false" ht="15" hidden="false" customHeight="false" outlineLevel="0" collapsed="false">
      <c r="A184" s="48" t="n">
        <v>178</v>
      </c>
      <c r="B184" s="48" t="n">
        <f aca="false">ROUNDUP(A184/12,0)</f>
        <v>15</v>
      </c>
      <c r="C184" s="49" t="n">
        <f aca="false">E183*Annahmen!$B$55/12</f>
        <v>2054.62844777902</v>
      </c>
      <c r="D184" s="49" t="n">
        <f aca="false">MIN($C$3-C184,E183)</f>
        <v>1445.37155222098</v>
      </c>
      <c r="E184" s="49" t="n">
        <f aca="false">E183-D184</f>
        <v>984776.283381709</v>
      </c>
      <c r="F184" s="49" t="n">
        <f aca="false">H183*Annahmen!$B$56/12</f>
        <v>2337.32886388574</v>
      </c>
      <c r="G184" s="49" t="n">
        <f aca="false">MIN($F$3-F184,H183)</f>
        <v>1487.67113611426</v>
      </c>
      <c r="H184" s="49" t="n">
        <f aca="false">H183-G184</f>
        <v>933443.874418183</v>
      </c>
      <c r="I184" s="49" t="n">
        <f aca="false">K183*Annahmen!$B$57/12</f>
        <v>6656.72870899861</v>
      </c>
      <c r="J184" s="49" t="n">
        <f aca="false">MIN($I$3-I184,K183)</f>
        <v>3751.62839926161</v>
      </c>
      <c r="K184" s="49" t="n">
        <f aca="false">K183-J184</f>
        <v>1993266.98430032</v>
      </c>
      <c r="L184" s="49" t="n">
        <f aca="false">C184+F184+I184</f>
        <v>11048.6860206634</v>
      </c>
      <c r="M184" s="49" t="n">
        <f aca="false">D184+G184+J184</f>
        <v>6684.67108759685</v>
      </c>
      <c r="N184" s="49" t="n">
        <f aca="false">L184+M184</f>
        <v>17733.3571082602</v>
      </c>
      <c r="O184" s="49" t="n">
        <f aca="false">E184+H184+K184</f>
        <v>3911487.14210021</v>
      </c>
    </row>
    <row r="185" customFormat="false" ht="15" hidden="false" customHeight="false" outlineLevel="0" collapsed="false">
      <c r="A185" s="48" t="n">
        <v>179</v>
      </c>
      <c r="B185" s="48" t="n">
        <f aca="false">ROUNDUP(A185/12,0)</f>
        <v>15</v>
      </c>
      <c r="C185" s="49" t="n">
        <f aca="false">E184*Annahmen!$B$55/12</f>
        <v>2051.61725704523</v>
      </c>
      <c r="D185" s="49" t="n">
        <f aca="false">MIN($C$3-C185,E184)</f>
        <v>1448.38274295478</v>
      </c>
      <c r="E185" s="49" t="n">
        <f aca="false">E184-D185</f>
        <v>983327.900638754</v>
      </c>
      <c r="F185" s="49" t="n">
        <f aca="false">H184*Annahmen!$B$56/12</f>
        <v>2333.60968604546</v>
      </c>
      <c r="G185" s="49" t="n">
        <f aca="false">MIN($F$3-F185,H184)</f>
        <v>1491.39031395454</v>
      </c>
      <c r="H185" s="49" t="n">
        <f aca="false">H184-G185</f>
        <v>931952.484104228</v>
      </c>
      <c r="I185" s="49" t="n">
        <f aca="false">K184*Annahmen!$B$57/12</f>
        <v>6644.22328100107</v>
      </c>
      <c r="J185" s="49" t="n">
        <f aca="false">MIN($I$3-I185,K184)</f>
        <v>3764.13382725915</v>
      </c>
      <c r="K185" s="49" t="n">
        <f aca="false">K184-J185</f>
        <v>1989502.85047306</v>
      </c>
      <c r="L185" s="49" t="n">
        <f aca="false">C185+F185+I185</f>
        <v>11029.4502240918</v>
      </c>
      <c r="M185" s="49" t="n">
        <f aca="false">D185+G185+J185</f>
        <v>6703.90688416847</v>
      </c>
      <c r="N185" s="49" t="n">
        <f aca="false">L185+M185</f>
        <v>17733.3571082602</v>
      </c>
      <c r="O185" s="49" t="n">
        <f aca="false">E185+H185+K185</f>
        <v>3904783.23521605</v>
      </c>
    </row>
    <row r="186" customFormat="false" ht="15" hidden="false" customHeight="false" outlineLevel="0" collapsed="false">
      <c r="A186" s="48" t="n">
        <v>180</v>
      </c>
      <c r="B186" s="48" t="n">
        <f aca="false">ROUNDUP(A186/12,0)</f>
        <v>15</v>
      </c>
      <c r="C186" s="49" t="n">
        <f aca="false">E185*Annahmen!$B$55/12</f>
        <v>2048.5997929974</v>
      </c>
      <c r="D186" s="49" t="n">
        <f aca="false">MIN($C$3-C186,E185)</f>
        <v>1451.4002070026</v>
      </c>
      <c r="E186" s="49" t="n">
        <f aca="false">E185-D186</f>
        <v>981876.500431752</v>
      </c>
      <c r="F186" s="49" t="n">
        <f aca="false">H185*Annahmen!$B$56/12</f>
        <v>2329.88121026057</v>
      </c>
      <c r="G186" s="49" t="n">
        <f aca="false">MIN($F$3-F186,H185)</f>
        <v>1495.11878973943</v>
      </c>
      <c r="H186" s="49" t="n">
        <f aca="false">H185-G186</f>
        <v>930457.365314489</v>
      </c>
      <c r="I186" s="49" t="n">
        <f aca="false">K185*Annahmen!$B$57/12</f>
        <v>6631.67616824354</v>
      </c>
      <c r="J186" s="49" t="n">
        <f aca="false">MIN($I$3-I186,K185)</f>
        <v>3776.68094001668</v>
      </c>
      <c r="K186" s="49" t="n">
        <f aca="false">K185-J186</f>
        <v>1985726.16953305</v>
      </c>
      <c r="L186" s="49" t="n">
        <f aca="false">C186+F186+I186</f>
        <v>11010.1571715015</v>
      </c>
      <c r="M186" s="49" t="n">
        <f aca="false">D186+G186+J186</f>
        <v>6723.19993675871</v>
      </c>
      <c r="N186" s="49" t="n">
        <f aca="false">L186+M186</f>
        <v>17733.3571082602</v>
      </c>
      <c r="O186" s="49" t="n">
        <f aca="false">E186+H186+K186</f>
        <v>3898060.03527929</v>
      </c>
    </row>
    <row r="187" customFormat="false" ht="15" hidden="false" customHeight="false" outlineLevel="0" collapsed="false">
      <c r="A187" s="48" t="n">
        <v>181</v>
      </c>
      <c r="B187" s="48" t="n">
        <f aca="false">ROUNDUP(A187/12,0)</f>
        <v>16</v>
      </c>
      <c r="C187" s="49" t="n">
        <f aca="false">E186*Annahmen!$B$55/12</f>
        <v>2045.57604256615</v>
      </c>
      <c r="D187" s="49" t="n">
        <f aca="false">MIN($C$3-C187,E186)</f>
        <v>1454.42395743385</v>
      </c>
      <c r="E187" s="49" t="n">
        <f aca="false">E186-D187</f>
        <v>980422.076474318</v>
      </c>
      <c r="F187" s="49" t="n">
        <f aca="false">H186*Annahmen!$B$56/12</f>
        <v>2326.14341328622</v>
      </c>
      <c r="G187" s="49" t="n">
        <f aca="false">MIN($F$3-F187,H186)</f>
        <v>1498.85658671378</v>
      </c>
      <c r="H187" s="49" t="n">
        <f aca="false">H186-G187</f>
        <v>928958.508727775</v>
      </c>
      <c r="I187" s="49" t="n">
        <f aca="false">K186*Annahmen!$B$57/12</f>
        <v>6619.08723177682</v>
      </c>
      <c r="J187" s="49" t="n">
        <f aca="false">MIN($I$3-I187,K186)</f>
        <v>3789.2698764834</v>
      </c>
      <c r="K187" s="49" t="n">
        <f aca="false">K186-J187</f>
        <v>1981936.89965656</v>
      </c>
      <c r="L187" s="49" t="n">
        <f aca="false">C187+F187+I187</f>
        <v>10990.8066876292</v>
      </c>
      <c r="M187" s="49" t="n">
        <f aca="false">D187+G187+J187</f>
        <v>6742.55042063103</v>
      </c>
      <c r="N187" s="49" t="n">
        <f aca="false">L187+M187</f>
        <v>17733.3571082602</v>
      </c>
      <c r="O187" s="49" t="n">
        <f aca="false">E187+H187+K187</f>
        <v>3891317.48485866</v>
      </c>
    </row>
    <row r="188" customFormat="false" ht="15" hidden="false" customHeight="false" outlineLevel="0" collapsed="false">
      <c r="A188" s="48" t="n">
        <v>182</v>
      </c>
      <c r="B188" s="48" t="n">
        <f aca="false">ROUNDUP(A188/12,0)</f>
        <v>16</v>
      </c>
      <c r="C188" s="49" t="n">
        <f aca="false">E187*Annahmen!$B$55/12</f>
        <v>2042.54599265483</v>
      </c>
      <c r="D188" s="49" t="n">
        <f aca="false">MIN($C$3-C188,E187)</f>
        <v>1457.45400734517</v>
      </c>
      <c r="E188" s="49" t="n">
        <f aca="false">E187-D188</f>
        <v>978964.622466972</v>
      </c>
      <c r="F188" s="49" t="n">
        <f aca="false">H187*Annahmen!$B$56/12</f>
        <v>2322.39627181944</v>
      </c>
      <c r="G188" s="49" t="n">
        <f aca="false">MIN($F$3-F188,H187)</f>
        <v>1502.60372818056</v>
      </c>
      <c r="H188" s="49" t="n">
        <f aca="false">H187-G188</f>
        <v>927455.904999594</v>
      </c>
      <c r="I188" s="49" t="n">
        <f aca="false">K187*Annahmen!$B$57/12</f>
        <v>6606.45633218854</v>
      </c>
      <c r="J188" s="49" t="n">
        <f aca="false">MIN($I$3-I188,K187)</f>
        <v>3801.90077607168</v>
      </c>
      <c r="K188" s="49" t="n">
        <f aca="false">K187-J188</f>
        <v>1978134.99888049</v>
      </c>
      <c r="L188" s="49" t="n">
        <f aca="false">C188+F188+I188</f>
        <v>10971.3985966628</v>
      </c>
      <c r="M188" s="49" t="n">
        <f aca="false">D188+G188+J188</f>
        <v>6761.95851159742</v>
      </c>
      <c r="N188" s="49" t="n">
        <f aca="false">L188+M188</f>
        <v>17733.3571082602</v>
      </c>
      <c r="O188" s="49" t="n">
        <f aca="false">E188+H188+K188</f>
        <v>3884555.52634706</v>
      </c>
    </row>
    <row r="189" customFormat="false" ht="15" hidden="false" customHeight="false" outlineLevel="0" collapsed="false">
      <c r="A189" s="48" t="n">
        <v>183</v>
      </c>
      <c r="B189" s="48" t="n">
        <f aca="false">ROUNDUP(A189/12,0)</f>
        <v>16</v>
      </c>
      <c r="C189" s="49" t="n">
        <f aca="false">E188*Annahmen!$B$55/12</f>
        <v>2039.50963013953</v>
      </c>
      <c r="D189" s="49" t="n">
        <f aca="false">MIN($C$3-C189,E188)</f>
        <v>1460.49036986048</v>
      </c>
      <c r="E189" s="49" t="n">
        <f aca="false">E188-D189</f>
        <v>977504.132097112</v>
      </c>
      <c r="F189" s="49" t="n">
        <f aca="false">H188*Annahmen!$B$56/12</f>
        <v>2318.63976249899</v>
      </c>
      <c r="G189" s="49" t="n">
        <f aca="false">MIN($F$3-F189,H188)</f>
        <v>1506.36023750101</v>
      </c>
      <c r="H189" s="49" t="n">
        <f aca="false">H188-G189</f>
        <v>925949.544762094</v>
      </c>
      <c r="I189" s="49" t="n">
        <f aca="false">K188*Annahmen!$B$57/12</f>
        <v>6593.78332960164</v>
      </c>
      <c r="J189" s="49" t="n">
        <f aca="false">MIN($I$3-I189,K188)</f>
        <v>3814.57377865859</v>
      </c>
      <c r="K189" s="49" t="n">
        <f aca="false">K188-J189</f>
        <v>1974320.42510183</v>
      </c>
      <c r="L189" s="49" t="n">
        <f aca="false">C189+F189+I189</f>
        <v>10951.9327222401</v>
      </c>
      <c r="M189" s="49" t="n">
        <f aca="false">D189+G189+J189</f>
        <v>6781.42438602008</v>
      </c>
      <c r="N189" s="49" t="n">
        <f aca="false">L189+M189</f>
        <v>17733.3571082602</v>
      </c>
      <c r="O189" s="49" t="n">
        <f aca="false">E189+H189+K189</f>
        <v>3877774.10196104</v>
      </c>
    </row>
    <row r="190" customFormat="false" ht="15" hidden="false" customHeight="false" outlineLevel="0" collapsed="false">
      <c r="A190" s="48" t="n">
        <v>184</v>
      </c>
      <c r="B190" s="48" t="n">
        <f aca="false">ROUNDUP(A190/12,0)</f>
        <v>16</v>
      </c>
      <c r="C190" s="49" t="n">
        <f aca="false">E189*Annahmen!$B$55/12</f>
        <v>2036.46694186898</v>
      </c>
      <c r="D190" s="49" t="n">
        <f aca="false">MIN($C$3-C190,E189)</f>
        <v>1463.53305813102</v>
      </c>
      <c r="E190" s="49" t="n">
        <f aca="false">E189-D190</f>
        <v>976040.599038981</v>
      </c>
      <c r="F190" s="49" t="n">
        <f aca="false">H189*Annahmen!$B$56/12</f>
        <v>2314.87386190523</v>
      </c>
      <c r="G190" s="49" t="n">
        <f aca="false">MIN($F$3-F190,H189)</f>
        <v>1510.12613809477</v>
      </c>
      <c r="H190" s="49" t="n">
        <f aca="false">H189-G190</f>
        <v>924439.418623999</v>
      </c>
      <c r="I190" s="49" t="n">
        <f aca="false">K189*Annahmen!$B$57/12</f>
        <v>6581.06808367277</v>
      </c>
      <c r="J190" s="49" t="n">
        <f aca="false">MIN($I$3-I190,K189)</f>
        <v>3827.28902458745</v>
      </c>
      <c r="K190" s="49" t="n">
        <f aca="false">K189-J190</f>
        <v>1970493.13607725</v>
      </c>
      <c r="L190" s="49" t="n">
        <f aca="false">C190+F190+I190</f>
        <v>10932.408887447</v>
      </c>
      <c r="M190" s="49" t="n">
        <f aca="false">D190+G190+J190</f>
        <v>6800.94822081323</v>
      </c>
      <c r="N190" s="49" t="n">
        <f aca="false">L190+M190</f>
        <v>17733.3571082602</v>
      </c>
      <c r="O190" s="49" t="n">
        <f aca="false">E190+H190+K190</f>
        <v>3870973.15374022</v>
      </c>
    </row>
    <row r="191" customFormat="false" ht="15" hidden="false" customHeight="false" outlineLevel="0" collapsed="false">
      <c r="A191" s="48" t="n">
        <v>185</v>
      </c>
      <c r="B191" s="48" t="n">
        <f aca="false">ROUNDUP(A191/12,0)</f>
        <v>16</v>
      </c>
      <c r="C191" s="49" t="n">
        <f aca="false">E190*Annahmen!$B$55/12</f>
        <v>2033.41791466454</v>
      </c>
      <c r="D191" s="49" t="n">
        <f aca="false">MIN($C$3-C191,E190)</f>
        <v>1466.58208533546</v>
      </c>
      <c r="E191" s="49" t="n">
        <f aca="false">E190-D191</f>
        <v>974574.016953646</v>
      </c>
      <c r="F191" s="49" t="n">
        <f aca="false">H190*Annahmen!$B$56/12</f>
        <v>2311.09854656</v>
      </c>
      <c r="G191" s="49" t="n">
        <f aca="false">MIN($F$3-F191,H190)</f>
        <v>1513.90145344</v>
      </c>
      <c r="H191" s="49" t="n">
        <f aca="false">H190-G191</f>
        <v>922925.517170559</v>
      </c>
      <c r="I191" s="49" t="n">
        <f aca="false">K190*Annahmen!$B$57/12</f>
        <v>6568.31045359082</v>
      </c>
      <c r="J191" s="49" t="n">
        <f aca="false">MIN($I$3-I191,K190)</f>
        <v>3840.04665466941</v>
      </c>
      <c r="K191" s="49" t="n">
        <f aca="false">K190-J191</f>
        <v>1966653.08942258</v>
      </c>
      <c r="L191" s="49" t="n">
        <f aca="false">C191+F191+I191</f>
        <v>10912.8269148154</v>
      </c>
      <c r="M191" s="49" t="n">
        <f aca="false">D191+G191+J191</f>
        <v>6820.53019344487</v>
      </c>
      <c r="N191" s="49" t="n">
        <f aca="false">L191+M191</f>
        <v>17733.3571082602</v>
      </c>
      <c r="O191" s="49" t="n">
        <f aca="false">E191+H191+K191</f>
        <v>3864152.62354678</v>
      </c>
    </row>
    <row r="192" customFormat="false" ht="15" hidden="false" customHeight="false" outlineLevel="0" collapsed="false">
      <c r="A192" s="48" t="n">
        <v>186</v>
      </c>
      <c r="B192" s="48" t="n">
        <f aca="false">ROUNDUP(A192/12,0)</f>
        <v>16</v>
      </c>
      <c r="C192" s="49" t="n">
        <f aca="false">E191*Annahmen!$B$55/12</f>
        <v>2030.3625353201</v>
      </c>
      <c r="D192" s="49" t="n">
        <f aca="false">MIN($C$3-C192,E191)</f>
        <v>1469.63746467991</v>
      </c>
      <c r="E192" s="49" t="n">
        <f aca="false">E191-D192</f>
        <v>973104.379488966</v>
      </c>
      <c r="F192" s="49" t="n">
        <f aca="false">H191*Annahmen!$B$56/12</f>
        <v>2307.3137929264</v>
      </c>
      <c r="G192" s="49" t="n">
        <f aca="false">MIN($F$3-F192,H191)</f>
        <v>1517.6862070736</v>
      </c>
      <c r="H192" s="49" t="n">
        <f aca="false">H191-G192</f>
        <v>921407.830963485</v>
      </c>
      <c r="I192" s="49" t="n">
        <f aca="false">K191*Annahmen!$B$57/12</f>
        <v>6555.51029807525</v>
      </c>
      <c r="J192" s="49" t="n">
        <f aca="false">MIN($I$3-I192,K191)</f>
        <v>3852.84681018497</v>
      </c>
      <c r="K192" s="49" t="n">
        <f aca="false">K191-J192</f>
        <v>1962800.24261239</v>
      </c>
      <c r="L192" s="49" t="n">
        <f aca="false">C192+F192+I192</f>
        <v>10893.1866263217</v>
      </c>
      <c r="M192" s="49" t="n">
        <f aca="false">D192+G192+J192</f>
        <v>6840.17048193848</v>
      </c>
      <c r="N192" s="49" t="n">
        <f aca="false">L192+M192</f>
        <v>17733.3571082602</v>
      </c>
      <c r="O192" s="49" t="n">
        <f aca="false">E192+H192+K192</f>
        <v>3857312.45306484</v>
      </c>
    </row>
    <row r="193" customFormat="false" ht="15" hidden="false" customHeight="false" outlineLevel="0" collapsed="false">
      <c r="A193" s="48" t="n">
        <v>187</v>
      </c>
      <c r="B193" s="48" t="n">
        <f aca="false">ROUNDUP(A193/12,0)</f>
        <v>16</v>
      </c>
      <c r="C193" s="49" t="n">
        <f aca="false">E192*Annahmen!$B$55/12</f>
        <v>2027.30079060201</v>
      </c>
      <c r="D193" s="49" t="n">
        <f aca="false">MIN($C$3-C193,E192)</f>
        <v>1472.69920939799</v>
      </c>
      <c r="E193" s="49" t="n">
        <f aca="false">E192-D193</f>
        <v>971631.680279568</v>
      </c>
      <c r="F193" s="49" t="n">
        <f aca="false">H192*Annahmen!$B$56/12</f>
        <v>2303.51957740871</v>
      </c>
      <c r="G193" s="49" t="n">
        <f aca="false">MIN($F$3-F193,H192)</f>
        <v>1521.48042259129</v>
      </c>
      <c r="H193" s="49" t="n">
        <f aca="false">H192-G193</f>
        <v>919886.350540894</v>
      </c>
      <c r="I193" s="49" t="n">
        <f aca="false">K192*Annahmen!$B$57/12</f>
        <v>6542.66747537464</v>
      </c>
      <c r="J193" s="49" t="n">
        <f aca="false">MIN($I$3-I193,K192)</f>
        <v>3865.68963288559</v>
      </c>
      <c r="K193" s="49" t="n">
        <f aca="false">K192-J193</f>
        <v>1958934.55297951</v>
      </c>
      <c r="L193" s="49" t="n">
        <f aca="false">C193+F193+I193</f>
        <v>10873.4878433854</v>
      </c>
      <c r="M193" s="49" t="n">
        <f aca="false">D193+G193+J193</f>
        <v>6859.86926487486</v>
      </c>
      <c r="N193" s="49" t="n">
        <f aca="false">L193+M193</f>
        <v>17733.3571082602</v>
      </c>
      <c r="O193" s="49" t="n">
        <f aca="false">E193+H193+K193</f>
        <v>3850452.58379997</v>
      </c>
    </row>
    <row r="194" customFormat="false" ht="15" hidden="false" customHeight="false" outlineLevel="0" collapsed="false">
      <c r="A194" s="48" t="n">
        <v>188</v>
      </c>
      <c r="B194" s="48" t="n">
        <f aca="false">ROUNDUP(A194/12,0)</f>
        <v>16</v>
      </c>
      <c r="C194" s="49" t="n">
        <f aca="false">E193*Annahmen!$B$55/12</f>
        <v>2024.2326672491</v>
      </c>
      <c r="D194" s="49" t="n">
        <f aca="false">MIN($C$3-C194,E193)</f>
        <v>1475.7673327509</v>
      </c>
      <c r="E194" s="49" t="n">
        <f aca="false">E193-D194</f>
        <v>970155.912946817</v>
      </c>
      <c r="F194" s="49" t="n">
        <f aca="false">H193*Annahmen!$B$56/12</f>
        <v>2299.71587635223</v>
      </c>
      <c r="G194" s="49" t="n">
        <f aca="false">MIN($F$3-F194,H193)</f>
        <v>1525.28412364777</v>
      </c>
      <c r="H194" s="49" t="n">
        <f aca="false">H193-G194</f>
        <v>918361.066417246</v>
      </c>
      <c r="I194" s="49" t="n">
        <f aca="false">K193*Annahmen!$B$57/12</f>
        <v>6529.78184326502</v>
      </c>
      <c r="J194" s="49" t="n">
        <f aca="false">MIN($I$3-I194,K193)</f>
        <v>3878.57526499521</v>
      </c>
      <c r="K194" s="49" t="n">
        <f aca="false">K193-J194</f>
        <v>1955055.97771451</v>
      </c>
      <c r="L194" s="49" t="n">
        <f aca="false">C194+F194+I194</f>
        <v>10853.7303868664</v>
      </c>
      <c r="M194" s="49" t="n">
        <f aca="false">D194+G194+J194</f>
        <v>6879.62672139387</v>
      </c>
      <c r="N194" s="49" t="n">
        <f aca="false">L194+M194</f>
        <v>17733.3571082602</v>
      </c>
      <c r="O194" s="49" t="n">
        <f aca="false">E194+H194+K194</f>
        <v>3843572.95707857</v>
      </c>
    </row>
    <row r="195" customFormat="false" ht="15" hidden="false" customHeight="false" outlineLevel="0" collapsed="false">
      <c r="A195" s="48" t="n">
        <v>189</v>
      </c>
      <c r="B195" s="48" t="n">
        <f aca="false">ROUNDUP(A195/12,0)</f>
        <v>16</v>
      </c>
      <c r="C195" s="49" t="n">
        <f aca="false">E194*Annahmen!$B$55/12</f>
        <v>2021.15815197253</v>
      </c>
      <c r="D195" s="49" t="n">
        <f aca="false">MIN($C$3-C195,E194)</f>
        <v>1478.84184802747</v>
      </c>
      <c r="E195" s="49" t="n">
        <f aca="false">E194-D195</f>
        <v>968677.071098789</v>
      </c>
      <c r="F195" s="49" t="n">
        <f aca="false">H194*Annahmen!$B$56/12</f>
        <v>2295.90266604312</v>
      </c>
      <c r="G195" s="49" t="n">
        <f aca="false">MIN($F$3-F195,H194)</f>
        <v>1529.09733395689</v>
      </c>
      <c r="H195" s="49" t="n">
        <f aca="false">H194-G195</f>
        <v>916831.969083289</v>
      </c>
      <c r="I195" s="49" t="n">
        <f aca="false">K194*Annahmen!$B$57/12</f>
        <v>6516.85325904837</v>
      </c>
      <c r="J195" s="49" t="n">
        <f aca="false">MIN($I$3-I195,K194)</f>
        <v>3891.50384921186</v>
      </c>
      <c r="K195" s="49" t="n">
        <f aca="false">K194-J195</f>
        <v>1951164.4738653</v>
      </c>
      <c r="L195" s="49" t="n">
        <f aca="false">C195+F195+I195</f>
        <v>10833.914077064</v>
      </c>
      <c r="M195" s="49" t="n">
        <f aca="false">D195+G195+J195</f>
        <v>6899.44303119621</v>
      </c>
      <c r="N195" s="49" t="n">
        <f aca="false">L195+M195</f>
        <v>17733.3571082602</v>
      </c>
      <c r="O195" s="49" t="n">
        <f aca="false">E195+H195+K195</f>
        <v>3836673.51404738</v>
      </c>
    </row>
    <row r="196" customFormat="false" ht="15" hidden="false" customHeight="false" outlineLevel="0" collapsed="false">
      <c r="A196" s="48" t="n">
        <v>190</v>
      </c>
      <c r="B196" s="48" t="n">
        <f aca="false">ROUNDUP(A196/12,0)</f>
        <v>16</v>
      </c>
      <c r="C196" s="49" t="n">
        <f aca="false">E195*Annahmen!$B$55/12</f>
        <v>2018.07723145581</v>
      </c>
      <c r="D196" s="49" t="n">
        <f aca="false">MIN($C$3-C196,E195)</f>
        <v>1481.92276854419</v>
      </c>
      <c r="E196" s="49" t="n">
        <f aca="false">E195-D196</f>
        <v>967195.148330245</v>
      </c>
      <c r="F196" s="49" t="n">
        <f aca="false">H195*Annahmen!$B$56/12</f>
        <v>2292.07992270822</v>
      </c>
      <c r="G196" s="49" t="n">
        <f aca="false">MIN($F$3-F196,H195)</f>
        <v>1532.92007729178</v>
      </c>
      <c r="H196" s="49" t="n">
        <f aca="false">H195-G196</f>
        <v>915299.049005997</v>
      </c>
      <c r="I196" s="49" t="n">
        <f aca="false">K195*Annahmen!$B$57/12</f>
        <v>6503.88157955099</v>
      </c>
      <c r="J196" s="49" t="n">
        <f aca="false">MIN($I$3-I196,K195)</f>
        <v>3904.47552870923</v>
      </c>
      <c r="K196" s="49" t="n">
        <f aca="false">K195-J196</f>
        <v>1947259.99833659</v>
      </c>
      <c r="L196" s="49" t="n">
        <f aca="false">C196+F196+I196</f>
        <v>10814.038733715</v>
      </c>
      <c r="M196" s="49" t="n">
        <f aca="false">D196+G196+J196</f>
        <v>6919.3183745452</v>
      </c>
      <c r="N196" s="49" t="n">
        <f aca="false">L196+M196</f>
        <v>17733.3571082602</v>
      </c>
      <c r="O196" s="49" t="n">
        <f aca="false">E196+H196+K196</f>
        <v>3829754.19567283</v>
      </c>
    </row>
    <row r="197" customFormat="false" ht="15" hidden="false" customHeight="false" outlineLevel="0" collapsed="false">
      <c r="A197" s="48" t="n">
        <v>191</v>
      </c>
      <c r="B197" s="48" t="n">
        <f aca="false">ROUNDUP(A197/12,0)</f>
        <v>16</v>
      </c>
      <c r="C197" s="49" t="n">
        <f aca="false">E196*Annahmen!$B$55/12</f>
        <v>2014.98989235468</v>
      </c>
      <c r="D197" s="49" t="n">
        <f aca="false">MIN($C$3-C197,E196)</f>
        <v>1485.01010764532</v>
      </c>
      <c r="E197" s="49" t="n">
        <f aca="false">E196-D197</f>
        <v>965710.1382226</v>
      </c>
      <c r="F197" s="49" t="n">
        <f aca="false">H196*Annahmen!$B$56/12</f>
        <v>2288.24762251499</v>
      </c>
      <c r="G197" s="49" t="n">
        <f aca="false">MIN($F$3-F197,H196)</f>
        <v>1536.75237748501</v>
      </c>
      <c r="H197" s="49" t="n">
        <f aca="false">H196-G197</f>
        <v>913762.296628512</v>
      </c>
      <c r="I197" s="49" t="n">
        <f aca="false">K196*Annahmen!$B$57/12</f>
        <v>6490.86666112196</v>
      </c>
      <c r="J197" s="49" t="n">
        <f aca="false">MIN($I$3-I197,K196)</f>
        <v>3917.49044713826</v>
      </c>
      <c r="K197" s="49" t="n">
        <f aca="false">K196-J197</f>
        <v>1943342.50788945</v>
      </c>
      <c r="L197" s="49" t="n">
        <f aca="false">C197+F197+I197</f>
        <v>10794.1041759916</v>
      </c>
      <c r="M197" s="49" t="n">
        <f aca="false">D197+G197+J197</f>
        <v>6939.25293226859</v>
      </c>
      <c r="N197" s="49" t="n">
        <f aca="false">L197+M197</f>
        <v>17733.3571082602</v>
      </c>
      <c r="O197" s="49" t="n">
        <f aca="false">E197+H197+K197</f>
        <v>3822814.94274056</v>
      </c>
    </row>
    <row r="198" customFormat="false" ht="15" hidden="false" customHeight="false" outlineLevel="0" collapsed="false">
      <c r="A198" s="48" t="n">
        <v>192</v>
      </c>
      <c r="B198" s="48" t="n">
        <f aca="false">ROUNDUP(A198/12,0)</f>
        <v>16</v>
      </c>
      <c r="C198" s="49" t="n">
        <f aca="false">E197*Annahmen!$B$55/12</f>
        <v>2011.89612129708</v>
      </c>
      <c r="D198" s="49" t="n">
        <f aca="false">MIN($C$3-C198,E197)</f>
        <v>1488.10387870292</v>
      </c>
      <c r="E198" s="49" t="n">
        <f aca="false">E197-D198</f>
        <v>964222.034343897</v>
      </c>
      <c r="F198" s="49" t="n">
        <f aca="false">H197*Annahmen!$B$56/12</f>
        <v>2284.40574157128</v>
      </c>
      <c r="G198" s="49" t="n">
        <f aca="false">MIN($F$3-F198,H197)</f>
        <v>1540.59425842872</v>
      </c>
      <c r="H198" s="49" t="n">
        <f aca="false">H197-G198</f>
        <v>912221.702370084</v>
      </c>
      <c r="I198" s="49" t="n">
        <f aca="false">K197*Annahmen!$B$57/12</f>
        <v>6477.8083596315</v>
      </c>
      <c r="J198" s="49" t="n">
        <f aca="false">MIN($I$3-I198,K197)</f>
        <v>3930.54874862872</v>
      </c>
      <c r="K198" s="49" t="n">
        <f aca="false">K197-J198</f>
        <v>1939411.95914082</v>
      </c>
      <c r="L198" s="49" t="n">
        <f aca="false">C198+F198+I198</f>
        <v>10774.1102224999</v>
      </c>
      <c r="M198" s="49" t="n">
        <f aca="false">D198+G198+J198</f>
        <v>6959.24688576036</v>
      </c>
      <c r="N198" s="49" t="n">
        <f aca="false">L198+M198</f>
        <v>17733.3571082602</v>
      </c>
      <c r="O198" s="49" t="n">
        <f aca="false">E198+H198+K198</f>
        <v>3815855.6958548</v>
      </c>
    </row>
    <row r="199" customFormat="false" ht="15" hidden="false" customHeight="false" outlineLevel="0" collapsed="false">
      <c r="A199" s="48" t="n">
        <v>193</v>
      </c>
      <c r="B199" s="48" t="n">
        <f aca="false">ROUNDUP(A199/12,0)</f>
        <v>17</v>
      </c>
      <c r="C199" s="49" t="n">
        <f aca="false">E198*Annahmen!$B$55/12</f>
        <v>2008.79590488312</v>
      </c>
      <c r="D199" s="49" t="n">
        <f aca="false">MIN($C$3-C199,E198)</f>
        <v>1491.20409511688</v>
      </c>
      <c r="E199" s="49" t="n">
        <f aca="false">E198-D199</f>
        <v>962730.83024878</v>
      </c>
      <c r="F199" s="49" t="n">
        <f aca="false">H198*Annahmen!$B$56/12</f>
        <v>2280.55425592521</v>
      </c>
      <c r="G199" s="49" t="n">
        <f aca="false">MIN($F$3-F199,H198)</f>
        <v>1544.44574407479</v>
      </c>
      <c r="H199" s="49" t="n">
        <f aca="false">H198-G199</f>
        <v>910677.256626009</v>
      </c>
      <c r="I199" s="49" t="n">
        <f aca="false">K198*Annahmen!$B$57/12</f>
        <v>6464.70653046941</v>
      </c>
      <c r="J199" s="49" t="n">
        <f aca="false">MIN($I$3-I199,K198)</f>
        <v>3943.65057779082</v>
      </c>
      <c r="K199" s="49" t="n">
        <f aca="false">K198-J199</f>
        <v>1935468.30856303</v>
      </c>
      <c r="L199" s="49" t="n">
        <f aca="false">C199+F199+I199</f>
        <v>10754.0566912777</v>
      </c>
      <c r="M199" s="49" t="n">
        <f aca="false">D199+G199+J199</f>
        <v>6979.30041698249</v>
      </c>
      <c r="N199" s="49" t="n">
        <f aca="false">L199+M199</f>
        <v>17733.3571082602</v>
      </c>
      <c r="O199" s="49" t="n">
        <f aca="false">E199+H199+K199</f>
        <v>3808876.39543782</v>
      </c>
    </row>
    <row r="200" customFormat="false" ht="15" hidden="false" customHeight="false" outlineLevel="0" collapsed="false">
      <c r="A200" s="48" t="n">
        <v>194</v>
      </c>
      <c r="B200" s="48" t="n">
        <f aca="false">ROUNDUP(A200/12,0)</f>
        <v>17</v>
      </c>
      <c r="C200" s="49" t="n">
        <f aca="false">E199*Annahmen!$B$55/12</f>
        <v>2005.68922968496</v>
      </c>
      <c r="D200" s="49" t="n">
        <f aca="false">MIN($C$3-C200,E199)</f>
        <v>1494.31077031504</v>
      </c>
      <c r="E200" s="49" t="n">
        <f aca="false">E199-D200</f>
        <v>961236.519478465</v>
      </c>
      <c r="F200" s="49" t="n">
        <f aca="false">H199*Annahmen!$B$56/12</f>
        <v>2276.69314156502</v>
      </c>
      <c r="G200" s="49" t="n">
        <f aca="false">MIN($F$3-F200,H199)</f>
        <v>1548.30685843498</v>
      </c>
      <c r="H200" s="49" t="n">
        <f aca="false">H199-G200</f>
        <v>909128.949767574</v>
      </c>
      <c r="I200" s="49" t="n">
        <f aca="false">K199*Annahmen!$B$57/12</f>
        <v>6451.56102854344</v>
      </c>
      <c r="J200" s="49" t="n">
        <f aca="false">MIN($I$3-I200,K199)</f>
        <v>3956.79607971679</v>
      </c>
      <c r="K200" s="49" t="n">
        <f aca="false">K199-J200</f>
        <v>1931511.51248331</v>
      </c>
      <c r="L200" s="49" t="n">
        <f aca="false">C200+F200+I200</f>
        <v>10733.9433997934</v>
      </c>
      <c r="M200" s="49" t="n">
        <f aca="false">D200+G200+J200</f>
        <v>6999.41370846681</v>
      </c>
      <c r="N200" s="49" t="n">
        <f aca="false">L200+M200</f>
        <v>17733.3571082602</v>
      </c>
      <c r="O200" s="49" t="n">
        <f aca="false">E200+H200+K200</f>
        <v>3801876.98172935</v>
      </c>
    </row>
    <row r="201" customFormat="false" ht="15" hidden="false" customHeight="false" outlineLevel="0" collapsed="false">
      <c r="A201" s="48" t="n">
        <v>195</v>
      </c>
      <c r="B201" s="48" t="n">
        <f aca="false">ROUNDUP(A201/12,0)</f>
        <v>17</v>
      </c>
      <c r="C201" s="49" t="n">
        <f aca="false">E200*Annahmen!$B$55/12</f>
        <v>2002.5760822468</v>
      </c>
      <c r="D201" s="49" t="n">
        <f aca="false">MIN($C$3-C201,E200)</f>
        <v>1497.4239177532</v>
      </c>
      <c r="E201" s="49" t="n">
        <f aca="false">E200-D201</f>
        <v>959739.095560712</v>
      </c>
      <c r="F201" s="49" t="n">
        <f aca="false">H200*Annahmen!$B$56/12</f>
        <v>2272.82237441894</v>
      </c>
      <c r="G201" s="49" t="n">
        <f aca="false">MIN($F$3-F201,H200)</f>
        <v>1552.17762558107</v>
      </c>
      <c r="H201" s="49" t="n">
        <f aca="false">H200-G201</f>
        <v>907576.772141993</v>
      </c>
      <c r="I201" s="49" t="n">
        <f aca="false">K200*Annahmen!$B$57/12</f>
        <v>6438.37170827772</v>
      </c>
      <c r="J201" s="49" t="n">
        <f aca="false">MIN($I$3-I201,K200)</f>
        <v>3969.98539998251</v>
      </c>
      <c r="K201" s="49" t="n">
        <f aca="false">K200-J201</f>
        <v>1927541.52708333</v>
      </c>
      <c r="L201" s="49" t="n">
        <f aca="false">C201+F201+I201</f>
        <v>10713.7701649435</v>
      </c>
      <c r="M201" s="49" t="n">
        <f aca="false">D201+G201+J201</f>
        <v>7019.58694331677</v>
      </c>
      <c r="N201" s="49" t="n">
        <f aca="false">L201+M201</f>
        <v>17733.3571082602</v>
      </c>
      <c r="O201" s="49" t="n">
        <f aca="false">E201+H201+K201</f>
        <v>3794857.39478604</v>
      </c>
    </row>
    <row r="202" customFormat="false" ht="15" hidden="false" customHeight="false" outlineLevel="0" collapsed="false">
      <c r="A202" s="48" t="n">
        <v>196</v>
      </c>
      <c r="B202" s="48" t="n">
        <f aca="false">ROUNDUP(A202/12,0)</f>
        <v>17</v>
      </c>
      <c r="C202" s="49" t="n">
        <f aca="false">E201*Annahmen!$B$55/12</f>
        <v>1999.45644908482</v>
      </c>
      <c r="D202" s="49" t="n">
        <f aca="false">MIN($C$3-C202,E201)</f>
        <v>1500.54355091519</v>
      </c>
      <c r="E202" s="49" t="n">
        <f aca="false">E201-D202</f>
        <v>958238.552009797</v>
      </c>
      <c r="F202" s="49" t="n">
        <f aca="false">H201*Annahmen!$B$56/12</f>
        <v>2268.94193035498</v>
      </c>
      <c r="G202" s="49" t="n">
        <f aca="false">MIN($F$3-F202,H201)</f>
        <v>1556.05806964502</v>
      </c>
      <c r="H202" s="49" t="n">
        <f aca="false">H201-G202</f>
        <v>906020.714072348</v>
      </c>
      <c r="I202" s="49" t="n">
        <f aca="false">K201*Annahmen!$B$57/12</f>
        <v>6425.13842361111</v>
      </c>
      <c r="J202" s="49" t="n">
        <f aca="false">MIN($I$3-I202,K201)</f>
        <v>3983.21868464912</v>
      </c>
      <c r="K202" s="49" t="n">
        <f aca="false">K201-J202</f>
        <v>1923558.30839868</v>
      </c>
      <c r="L202" s="49" t="n">
        <f aca="false">C202+F202+I202</f>
        <v>10693.5368030509</v>
      </c>
      <c r="M202" s="49" t="n">
        <f aca="false">D202+G202+J202</f>
        <v>7039.82030520932</v>
      </c>
      <c r="N202" s="49" t="n">
        <f aca="false">L202+M202</f>
        <v>17733.3571082602</v>
      </c>
      <c r="O202" s="49" t="n">
        <f aca="false">E202+H202+K202</f>
        <v>3787817.57448083</v>
      </c>
    </row>
    <row r="203" customFormat="false" ht="15" hidden="false" customHeight="false" outlineLevel="0" collapsed="false">
      <c r="A203" s="48" t="n">
        <v>197</v>
      </c>
      <c r="B203" s="48" t="n">
        <f aca="false">ROUNDUP(A203/12,0)</f>
        <v>17</v>
      </c>
      <c r="C203" s="49" t="n">
        <f aca="false">E202*Annahmen!$B$55/12</f>
        <v>1996.33031668708</v>
      </c>
      <c r="D203" s="49" t="n">
        <f aca="false">MIN($C$3-C203,E202)</f>
        <v>1503.66968331293</v>
      </c>
      <c r="E203" s="49" t="n">
        <f aca="false">E202-D203</f>
        <v>956734.882326484</v>
      </c>
      <c r="F203" s="49" t="n">
        <f aca="false">H202*Annahmen!$B$56/12</f>
        <v>2265.05178518087</v>
      </c>
      <c r="G203" s="49" t="n">
        <f aca="false">MIN($F$3-F203,H202)</f>
        <v>1559.94821481913</v>
      </c>
      <c r="H203" s="49" t="n">
        <f aca="false">H202-G203</f>
        <v>904460.765857529</v>
      </c>
      <c r="I203" s="49" t="n">
        <f aca="false">K202*Annahmen!$B$57/12</f>
        <v>6411.86102799561</v>
      </c>
      <c r="J203" s="49" t="n">
        <f aca="false">MIN($I$3-I203,K202)</f>
        <v>3996.49608026461</v>
      </c>
      <c r="K203" s="49" t="n">
        <f aca="false">K202-J203</f>
        <v>1919561.81231842</v>
      </c>
      <c r="L203" s="49" t="n">
        <f aca="false">C203+F203+I203</f>
        <v>10673.2431298636</v>
      </c>
      <c r="M203" s="49" t="n">
        <f aca="false">D203+G203+J203</f>
        <v>7060.11397839667</v>
      </c>
      <c r="N203" s="49" t="n">
        <f aca="false">L203+M203</f>
        <v>17733.3571082602</v>
      </c>
      <c r="O203" s="49" t="n">
        <f aca="false">E203+H203+K203</f>
        <v>3780757.46050243</v>
      </c>
    </row>
    <row r="204" customFormat="false" ht="15" hidden="false" customHeight="false" outlineLevel="0" collapsed="false">
      <c r="A204" s="48" t="n">
        <v>198</v>
      </c>
      <c r="B204" s="48" t="n">
        <f aca="false">ROUNDUP(A204/12,0)</f>
        <v>17</v>
      </c>
      <c r="C204" s="49" t="n">
        <f aca="false">E203*Annahmen!$B$55/12</f>
        <v>1993.19767151351</v>
      </c>
      <c r="D204" s="49" t="n">
        <f aca="false">MIN($C$3-C204,E203)</f>
        <v>1506.80232848649</v>
      </c>
      <c r="E204" s="49" t="n">
        <f aca="false">E203-D204</f>
        <v>955228.079997997</v>
      </c>
      <c r="F204" s="49" t="n">
        <f aca="false">H203*Annahmen!$B$56/12</f>
        <v>2261.15191464382</v>
      </c>
      <c r="G204" s="49" t="n">
        <f aca="false">MIN($F$3-F204,H203)</f>
        <v>1563.84808535618</v>
      </c>
      <c r="H204" s="49" t="n">
        <f aca="false">H203-G204</f>
        <v>902896.917772173</v>
      </c>
      <c r="I204" s="49" t="n">
        <f aca="false">K203*Annahmen!$B$57/12</f>
        <v>6398.53937439473</v>
      </c>
      <c r="J204" s="49" t="n">
        <f aca="false">MIN($I$3-I204,K203)</f>
        <v>4009.8177338655</v>
      </c>
      <c r="K204" s="49" t="n">
        <f aca="false">K203-J204</f>
        <v>1915551.99458455</v>
      </c>
      <c r="L204" s="49" t="n">
        <f aca="false">C204+F204+I204</f>
        <v>10652.8889605521</v>
      </c>
      <c r="M204" s="49" t="n">
        <f aca="false">D204+G204+J204</f>
        <v>7080.46814770817</v>
      </c>
      <c r="N204" s="49" t="n">
        <f aca="false">L204+M204</f>
        <v>17733.3571082602</v>
      </c>
      <c r="O204" s="49" t="n">
        <f aca="false">E204+H204+K204</f>
        <v>3773676.99235472</v>
      </c>
    </row>
    <row r="205" customFormat="false" ht="15" hidden="false" customHeight="false" outlineLevel="0" collapsed="false">
      <c r="A205" s="48" t="n">
        <v>199</v>
      </c>
      <c r="B205" s="48" t="n">
        <f aca="false">ROUNDUP(A205/12,0)</f>
        <v>17</v>
      </c>
      <c r="C205" s="49" t="n">
        <f aca="false">E204*Annahmen!$B$55/12</f>
        <v>1990.05849999583</v>
      </c>
      <c r="D205" s="49" t="n">
        <f aca="false">MIN($C$3-C205,E204)</f>
        <v>1509.94150000417</v>
      </c>
      <c r="E205" s="49" t="n">
        <f aca="false">E204-D205</f>
        <v>953718.138497993</v>
      </c>
      <c r="F205" s="49" t="n">
        <f aca="false">H204*Annahmen!$B$56/12</f>
        <v>2257.24229443043</v>
      </c>
      <c r="G205" s="49" t="n">
        <f aca="false">MIN($F$3-F205,H204)</f>
        <v>1567.75770556957</v>
      </c>
      <c r="H205" s="49" t="n">
        <f aca="false">H204-G205</f>
        <v>901329.160066603</v>
      </c>
      <c r="I205" s="49" t="n">
        <f aca="false">K204*Annahmen!$B$57/12</f>
        <v>6385.17331528184</v>
      </c>
      <c r="J205" s="49" t="n">
        <f aca="false">MIN($I$3-I205,K204)</f>
        <v>4023.18379297838</v>
      </c>
      <c r="K205" s="49" t="n">
        <f aca="false">K204-J205</f>
        <v>1911528.81079157</v>
      </c>
      <c r="L205" s="49" t="n">
        <f aca="false">C205+F205+I205</f>
        <v>10632.4741097081</v>
      </c>
      <c r="M205" s="49" t="n">
        <f aca="false">D205+G205+J205</f>
        <v>7100.88299855212</v>
      </c>
      <c r="N205" s="49" t="n">
        <f aca="false">L205+M205</f>
        <v>17733.3571082602</v>
      </c>
      <c r="O205" s="49" t="n">
        <f aca="false">E205+H205+K205</f>
        <v>3766576.10935617</v>
      </c>
    </row>
    <row r="206" customFormat="false" ht="15" hidden="false" customHeight="false" outlineLevel="0" collapsed="false">
      <c r="A206" s="48" t="n">
        <v>200</v>
      </c>
      <c r="B206" s="48" t="n">
        <f aca="false">ROUNDUP(A206/12,0)</f>
        <v>17</v>
      </c>
      <c r="C206" s="49" t="n">
        <f aca="false">E205*Annahmen!$B$55/12</f>
        <v>1986.91278853749</v>
      </c>
      <c r="D206" s="49" t="n">
        <f aca="false">MIN($C$3-C206,E205)</f>
        <v>1513.08721146252</v>
      </c>
      <c r="E206" s="49" t="n">
        <f aca="false">E205-D206</f>
        <v>952205.05128653</v>
      </c>
      <c r="F206" s="49" t="n">
        <f aca="false">H205*Annahmen!$B$56/12</f>
        <v>2253.32290016651</v>
      </c>
      <c r="G206" s="49" t="n">
        <f aca="false">MIN($F$3-F206,H205)</f>
        <v>1571.67709983349</v>
      </c>
      <c r="H206" s="49" t="n">
        <f aca="false">H205-G206</f>
        <v>899757.48296677</v>
      </c>
      <c r="I206" s="49" t="n">
        <f aca="false">K205*Annahmen!$B$57/12</f>
        <v>6371.76270263858</v>
      </c>
      <c r="J206" s="49" t="n">
        <f aca="false">MIN($I$3-I206,K205)</f>
        <v>4036.59440562164</v>
      </c>
      <c r="K206" s="49" t="n">
        <f aca="false">K205-J206</f>
        <v>1907492.21638595</v>
      </c>
      <c r="L206" s="49" t="n">
        <f aca="false">C206+F206+I206</f>
        <v>10611.9983913426</v>
      </c>
      <c r="M206" s="49" t="n">
        <f aca="false">D206+G206+J206</f>
        <v>7121.35871691765</v>
      </c>
      <c r="N206" s="49" t="n">
        <f aca="false">L206+M206</f>
        <v>17733.3571082602</v>
      </c>
      <c r="O206" s="49" t="n">
        <f aca="false">E206+H206+K206</f>
        <v>3759454.75063925</v>
      </c>
    </row>
    <row r="207" customFormat="false" ht="15" hidden="false" customHeight="false" outlineLevel="0" collapsed="false">
      <c r="A207" s="48" t="n">
        <v>201</v>
      </c>
      <c r="B207" s="48" t="n">
        <f aca="false">ROUNDUP(A207/12,0)</f>
        <v>17</v>
      </c>
      <c r="C207" s="49" t="n">
        <f aca="false">E206*Annahmen!$B$55/12</f>
        <v>1983.76052351361</v>
      </c>
      <c r="D207" s="49" t="n">
        <f aca="false">MIN($C$3-C207,E206)</f>
        <v>1516.2394764864</v>
      </c>
      <c r="E207" s="49" t="n">
        <f aca="false">E206-D207</f>
        <v>950688.811810044</v>
      </c>
      <c r="F207" s="49" t="n">
        <f aca="false">H206*Annahmen!$B$56/12</f>
        <v>2249.39370741692</v>
      </c>
      <c r="G207" s="49" t="n">
        <f aca="false">MIN($F$3-F207,H206)</f>
        <v>1575.60629258308</v>
      </c>
      <c r="H207" s="49" t="n">
        <f aca="false">H206-G207</f>
        <v>898181.876674187</v>
      </c>
      <c r="I207" s="49" t="n">
        <f aca="false">K206*Annahmen!$B$57/12</f>
        <v>6358.30738795318</v>
      </c>
      <c r="J207" s="49" t="n">
        <f aca="false">MIN($I$3-I207,K206)</f>
        <v>4050.04972030705</v>
      </c>
      <c r="K207" s="49" t="n">
        <f aca="false">K206-J207</f>
        <v>1903442.16666565</v>
      </c>
      <c r="L207" s="49" t="n">
        <f aca="false">C207+F207+I207</f>
        <v>10591.4616188837</v>
      </c>
      <c r="M207" s="49" t="n">
        <f aca="false">D207+G207+J207</f>
        <v>7141.89548937652</v>
      </c>
      <c r="N207" s="49" t="n">
        <f aca="false">L207+M207</f>
        <v>17733.3571082602</v>
      </c>
      <c r="O207" s="49" t="n">
        <f aca="false">E207+H207+K207</f>
        <v>3752312.85514988</v>
      </c>
    </row>
    <row r="208" customFormat="false" ht="15" hidden="false" customHeight="false" outlineLevel="0" collapsed="false">
      <c r="A208" s="48" t="n">
        <v>202</v>
      </c>
      <c r="B208" s="48" t="n">
        <f aca="false">ROUNDUP(A208/12,0)</f>
        <v>17</v>
      </c>
      <c r="C208" s="49" t="n">
        <f aca="false">E207*Annahmen!$B$55/12</f>
        <v>1980.60169127093</v>
      </c>
      <c r="D208" s="49" t="n">
        <f aca="false">MIN($C$3-C208,E207)</f>
        <v>1519.39830872908</v>
      </c>
      <c r="E208" s="49" t="n">
        <f aca="false">E207-D208</f>
        <v>949169.413501315</v>
      </c>
      <c r="F208" s="49" t="n">
        <f aca="false">H207*Annahmen!$B$56/12</f>
        <v>2245.45469168547</v>
      </c>
      <c r="G208" s="49" t="n">
        <f aca="false">MIN($F$3-F208,H207)</f>
        <v>1579.54530831453</v>
      </c>
      <c r="H208" s="49" t="n">
        <f aca="false">H207-G208</f>
        <v>896602.331365872</v>
      </c>
      <c r="I208" s="49" t="n">
        <f aca="false">K207*Annahmen!$B$57/12</f>
        <v>6344.80722221882</v>
      </c>
      <c r="J208" s="49" t="n">
        <f aca="false">MIN($I$3-I208,K207)</f>
        <v>4063.5498860414</v>
      </c>
      <c r="K208" s="49" t="n">
        <f aca="false">K207-J208</f>
        <v>1899378.6167796</v>
      </c>
      <c r="L208" s="49" t="n">
        <f aca="false">C208+F208+I208</f>
        <v>10570.8636051752</v>
      </c>
      <c r="M208" s="49" t="n">
        <f aca="false">D208+G208+J208</f>
        <v>7162.49350308501</v>
      </c>
      <c r="N208" s="49" t="n">
        <f aca="false">L208+M208</f>
        <v>17733.3571082602</v>
      </c>
      <c r="O208" s="49" t="n">
        <f aca="false">E208+H208+K208</f>
        <v>3745150.36164679</v>
      </c>
    </row>
    <row r="209" customFormat="false" ht="15" hidden="false" customHeight="false" outlineLevel="0" collapsed="false">
      <c r="A209" s="48" t="n">
        <v>203</v>
      </c>
      <c r="B209" s="48" t="n">
        <f aca="false">ROUNDUP(A209/12,0)</f>
        <v>17</v>
      </c>
      <c r="C209" s="49" t="n">
        <f aca="false">E208*Annahmen!$B$55/12</f>
        <v>1977.43627812774</v>
      </c>
      <c r="D209" s="49" t="n">
        <f aca="false">MIN($C$3-C209,E208)</f>
        <v>1522.56372187226</v>
      </c>
      <c r="E209" s="49" t="n">
        <f aca="false">E208-D209</f>
        <v>947646.849779443</v>
      </c>
      <c r="F209" s="49" t="n">
        <f aca="false">H208*Annahmen!$B$56/12</f>
        <v>2241.50582841468</v>
      </c>
      <c r="G209" s="49" t="n">
        <f aca="false">MIN($F$3-F209,H208)</f>
        <v>1583.49417158532</v>
      </c>
      <c r="H209" s="49" t="n">
        <f aca="false">H208-G209</f>
        <v>895018.837194287</v>
      </c>
      <c r="I209" s="49" t="n">
        <f aca="false">K208*Annahmen!$B$57/12</f>
        <v>6331.26205593201</v>
      </c>
      <c r="J209" s="49" t="n">
        <f aca="false">MIN($I$3-I209,K208)</f>
        <v>4077.09505232821</v>
      </c>
      <c r="K209" s="49" t="n">
        <f aca="false">K208-J209</f>
        <v>1895301.52172728</v>
      </c>
      <c r="L209" s="49" t="n">
        <f aca="false">C209+F209+I209</f>
        <v>10550.2041624744</v>
      </c>
      <c r="M209" s="49" t="n">
        <f aca="false">D209+G209+J209</f>
        <v>7183.15294578579</v>
      </c>
      <c r="N209" s="49" t="n">
        <f aca="false">L209+M209</f>
        <v>17733.3571082602</v>
      </c>
      <c r="O209" s="49" t="n">
        <f aca="false">E209+H209+K209</f>
        <v>3737967.20870101</v>
      </c>
    </row>
    <row r="210" customFormat="false" ht="15" hidden="false" customHeight="false" outlineLevel="0" collapsed="false">
      <c r="A210" s="48" t="n">
        <v>204</v>
      </c>
      <c r="B210" s="48" t="n">
        <f aca="false">ROUNDUP(A210/12,0)</f>
        <v>17</v>
      </c>
      <c r="C210" s="49" t="n">
        <f aca="false">E209*Annahmen!$B$55/12</f>
        <v>1974.26427037384</v>
      </c>
      <c r="D210" s="49" t="n">
        <f aca="false">MIN($C$3-C210,E209)</f>
        <v>1525.73572962616</v>
      </c>
      <c r="E210" s="49" t="n">
        <f aca="false">E209-D210</f>
        <v>946121.114049817</v>
      </c>
      <c r="F210" s="49" t="n">
        <f aca="false">H209*Annahmen!$B$56/12</f>
        <v>2237.54709298572</v>
      </c>
      <c r="G210" s="49" t="n">
        <f aca="false">MIN($F$3-F210,H209)</f>
        <v>1587.45290701428</v>
      </c>
      <c r="H210" s="49" t="n">
        <f aca="false">H209-G210</f>
        <v>893431.384287273</v>
      </c>
      <c r="I210" s="49" t="n">
        <f aca="false">K209*Annahmen!$B$57/12</f>
        <v>6317.67173909092</v>
      </c>
      <c r="J210" s="49" t="n">
        <f aca="false">MIN($I$3-I210,K209)</f>
        <v>4090.6853691693</v>
      </c>
      <c r="K210" s="49" t="n">
        <f aca="false">K209-J210</f>
        <v>1891210.83635811</v>
      </c>
      <c r="L210" s="49" t="n">
        <f aca="false">C210+F210+I210</f>
        <v>10529.4831024505</v>
      </c>
      <c r="M210" s="49" t="n">
        <f aca="false">D210+G210+J210</f>
        <v>7203.87400580975</v>
      </c>
      <c r="N210" s="49" t="n">
        <f aca="false">L210+M210</f>
        <v>17733.3571082602</v>
      </c>
      <c r="O210" s="49" t="n">
        <f aca="false">E210+H210+K210</f>
        <v>3730763.3346952</v>
      </c>
    </row>
    <row r="211" customFormat="false" ht="15" hidden="false" customHeight="false" outlineLevel="0" collapsed="false">
      <c r="A211" s="48" t="n">
        <v>205</v>
      </c>
      <c r="B211" s="48" t="n">
        <f aca="false">ROUNDUP(A211/12,0)</f>
        <v>18</v>
      </c>
      <c r="C211" s="49" t="n">
        <f aca="false">E210*Annahmen!$B$55/12</f>
        <v>1971.08565427045</v>
      </c>
      <c r="D211" s="49" t="n">
        <f aca="false">MIN($C$3-C211,E210)</f>
        <v>1528.91434572955</v>
      </c>
      <c r="E211" s="49" t="n">
        <f aca="false">E210-D211</f>
        <v>944592.199704087</v>
      </c>
      <c r="F211" s="49" t="n">
        <f aca="false">H210*Annahmen!$B$56/12</f>
        <v>2233.57846071818</v>
      </c>
      <c r="G211" s="49" t="n">
        <f aca="false">MIN($F$3-F211,H210)</f>
        <v>1591.42153928182</v>
      </c>
      <c r="H211" s="49" t="n">
        <f aca="false">H210-G211</f>
        <v>891839.962747991</v>
      </c>
      <c r="I211" s="49" t="n">
        <f aca="false">K210*Annahmen!$B$57/12</f>
        <v>6304.03612119369</v>
      </c>
      <c r="J211" s="49" t="n">
        <f aca="false">MIN($I$3-I211,K210)</f>
        <v>4104.32098706653</v>
      </c>
      <c r="K211" s="49" t="n">
        <f aca="false">K210-J211</f>
        <v>1887106.51537104</v>
      </c>
      <c r="L211" s="49" t="n">
        <f aca="false">C211+F211+I211</f>
        <v>10508.7002361823</v>
      </c>
      <c r="M211" s="49" t="n">
        <f aca="false">D211+G211+J211</f>
        <v>7224.6568720779</v>
      </c>
      <c r="N211" s="49" t="n">
        <f aca="false">L211+M211</f>
        <v>17733.3571082602</v>
      </c>
      <c r="O211" s="49" t="n">
        <f aca="false">E211+H211+K211</f>
        <v>3723538.67782312</v>
      </c>
    </row>
    <row r="212" customFormat="false" ht="15" hidden="false" customHeight="false" outlineLevel="0" collapsed="false">
      <c r="A212" s="48" t="n">
        <v>206</v>
      </c>
      <c r="B212" s="48" t="n">
        <f aca="false">ROUNDUP(A212/12,0)</f>
        <v>18</v>
      </c>
      <c r="C212" s="49" t="n">
        <f aca="false">E211*Annahmen!$B$55/12</f>
        <v>1967.90041605018</v>
      </c>
      <c r="D212" s="49" t="n">
        <f aca="false">MIN($C$3-C212,E211)</f>
        <v>1532.09958394982</v>
      </c>
      <c r="E212" s="49" t="n">
        <f aca="false">E211-D212</f>
        <v>943060.100120137</v>
      </c>
      <c r="F212" s="49" t="n">
        <f aca="false">H211*Annahmen!$B$56/12</f>
        <v>2229.59990686998</v>
      </c>
      <c r="G212" s="49" t="n">
        <f aca="false">MIN($F$3-F212,H211)</f>
        <v>1595.40009313002</v>
      </c>
      <c r="H212" s="49" t="n">
        <f aca="false">H211-G212</f>
        <v>890244.562654861</v>
      </c>
      <c r="I212" s="49" t="n">
        <f aca="false">K211*Annahmen!$B$57/12</f>
        <v>6290.3550512368</v>
      </c>
      <c r="J212" s="49" t="n">
        <f aca="false">MIN($I$3-I212,K211)</f>
        <v>4118.00205702342</v>
      </c>
      <c r="K212" s="49" t="n">
        <f aca="false">K211-J212</f>
        <v>1882988.51331402</v>
      </c>
      <c r="L212" s="49" t="n">
        <f aca="false">C212+F212+I212</f>
        <v>10487.855374157</v>
      </c>
      <c r="M212" s="49" t="n">
        <f aca="false">D212+G212+J212</f>
        <v>7245.50173410327</v>
      </c>
      <c r="N212" s="49" t="n">
        <f aca="false">L212+M212</f>
        <v>17733.3571082602</v>
      </c>
      <c r="O212" s="49" t="n">
        <f aca="false">E212+H212+K212</f>
        <v>3716293.17608902</v>
      </c>
    </row>
    <row r="213" customFormat="false" ht="15" hidden="false" customHeight="false" outlineLevel="0" collapsed="false">
      <c r="A213" s="48" t="n">
        <v>207</v>
      </c>
      <c r="B213" s="48" t="n">
        <f aca="false">ROUNDUP(A213/12,0)</f>
        <v>18</v>
      </c>
      <c r="C213" s="49" t="n">
        <f aca="false">E212*Annahmen!$B$55/12</f>
        <v>1964.70854191695</v>
      </c>
      <c r="D213" s="49" t="n">
        <f aca="false">MIN($C$3-C213,E212)</f>
        <v>1535.29145808305</v>
      </c>
      <c r="E213" s="49" t="n">
        <f aca="false">E212-D213</f>
        <v>941524.808662054</v>
      </c>
      <c r="F213" s="49" t="n">
        <f aca="false">H212*Annahmen!$B$56/12</f>
        <v>2225.61140663715</v>
      </c>
      <c r="G213" s="49" t="n">
        <f aca="false">MIN($F$3-F213,H212)</f>
        <v>1599.38859336285</v>
      </c>
      <c r="H213" s="49" t="n">
        <f aca="false">H212-G213</f>
        <v>888645.174061498</v>
      </c>
      <c r="I213" s="49" t="n">
        <f aca="false">K212*Annahmen!$B$57/12</f>
        <v>6276.62837771339</v>
      </c>
      <c r="J213" s="49" t="n">
        <f aca="false">MIN($I$3-I213,K212)</f>
        <v>4131.72873054683</v>
      </c>
      <c r="K213" s="49" t="n">
        <f aca="false">K212-J213</f>
        <v>1878856.78458347</v>
      </c>
      <c r="L213" s="49" t="n">
        <f aca="false">C213+F213+I213</f>
        <v>10466.9483262675</v>
      </c>
      <c r="M213" s="49" t="n">
        <f aca="false">D213+G213+J213</f>
        <v>7266.40878199273</v>
      </c>
      <c r="N213" s="49" t="n">
        <f aca="false">L213+M213</f>
        <v>17733.3571082602</v>
      </c>
      <c r="O213" s="49" t="n">
        <f aca="false">E213+H213+K213</f>
        <v>3709026.76730702</v>
      </c>
    </row>
    <row r="214" customFormat="false" ht="15" hidden="false" customHeight="false" outlineLevel="0" collapsed="false">
      <c r="A214" s="48" t="n">
        <v>208</v>
      </c>
      <c r="B214" s="48" t="n">
        <f aca="false">ROUNDUP(A214/12,0)</f>
        <v>18</v>
      </c>
      <c r="C214" s="49" t="n">
        <f aca="false">E213*Annahmen!$B$55/12</f>
        <v>1961.51001804595</v>
      </c>
      <c r="D214" s="49" t="n">
        <f aca="false">MIN($C$3-C214,E213)</f>
        <v>1538.48998195406</v>
      </c>
      <c r="E214" s="49" t="n">
        <f aca="false">E213-D214</f>
        <v>939986.3186801</v>
      </c>
      <c r="F214" s="49" t="n">
        <f aca="false">H213*Annahmen!$B$56/12</f>
        <v>2221.61293515374</v>
      </c>
      <c r="G214" s="49" t="n">
        <f aca="false">MIN($F$3-F214,H213)</f>
        <v>1603.38706484626</v>
      </c>
      <c r="H214" s="49" t="n">
        <f aca="false">H213-G214</f>
        <v>887041.786996651</v>
      </c>
      <c r="I214" s="49" t="n">
        <f aca="false">K213*Annahmen!$B$57/12</f>
        <v>6262.85594861157</v>
      </c>
      <c r="J214" s="49" t="n">
        <f aca="false">MIN($I$3-I214,K213)</f>
        <v>4145.50115964866</v>
      </c>
      <c r="K214" s="49" t="n">
        <f aca="false">K213-J214</f>
        <v>1874711.28342382</v>
      </c>
      <c r="L214" s="49" t="n">
        <f aca="false">C214+F214+I214</f>
        <v>10445.9789018113</v>
      </c>
      <c r="M214" s="49" t="n">
        <f aca="false">D214+G214+J214</f>
        <v>7287.37820644897</v>
      </c>
      <c r="N214" s="49" t="n">
        <f aca="false">L214+M214</f>
        <v>17733.3571082602</v>
      </c>
      <c r="O214" s="49" t="n">
        <f aca="false">E214+H214+K214</f>
        <v>3701739.38910057</v>
      </c>
    </row>
    <row r="215" customFormat="false" ht="15" hidden="false" customHeight="false" outlineLevel="0" collapsed="false">
      <c r="A215" s="48" t="n">
        <v>209</v>
      </c>
      <c r="B215" s="48" t="n">
        <f aca="false">ROUNDUP(A215/12,0)</f>
        <v>18</v>
      </c>
      <c r="C215" s="49" t="n">
        <f aca="false">E214*Annahmen!$B$55/12</f>
        <v>1958.30483058354</v>
      </c>
      <c r="D215" s="49" t="n">
        <f aca="false">MIN($C$3-C215,E214)</f>
        <v>1541.69516941646</v>
      </c>
      <c r="E215" s="49" t="n">
        <f aca="false">E214-D215</f>
        <v>938444.623510684</v>
      </c>
      <c r="F215" s="49" t="n">
        <f aca="false">H214*Annahmen!$B$56/12</f>
        <v>2217.60446749163</v>
      </c>
      <c r="G215" s="49" t="n">
        <f aca="false">MIN($F$3-F215,H214)</f>
        <v>1607.39553250837</v>
      </c>
      <c r="H215" s="49" t="n">
        <f aca="false">H214-G215</f>
        <v>885434.391464143</v>
      </c>
      <c r="I215" s="49" t="n">
        <f aca="false">K214*Annahmen!$B$57/12</f>
        <v>6249.03761141274</v>
      </c>
      <c r="J215" s="49" t="n">
        <f aca="false">MIN($I$3-I215,K214)</f>
        <v>4159.31949684748</v>
      </c>
      <c r="K215" s="49" t="n">
        <f aca="false">K214-J215</f>
        <v>1870551.96392697</v>
      </c>
      <c r="L215" s="49" t="n">
        <f aca="false">C215+F215+I215</f>
        <v>10424.9469094879</v>
      </c>
      <c r="M215" s="49" t="n">
        <f aca="false">D215+G215+J215</f>
        <v>7308.41019877232</v>
      </c>
      <c r="N215" s="49" t="n">
        <f aca="false">L215+M215</f>
        <v>17733.3571082602</v>
      </c>
      <c r="O215" s="49" t="n">
        <f aca="false">E215+H215+K215</f>
        <v>3694430.9789018</v>
      </c>
    </row>
    <row r="216" customFormat="false" ht="15" hidden="false" customHeight="false" outlineLevel="0" collapsed="false">
      <c r="A216" s="48" t="n">
        <v>210</v>
      </c>
      <c r="B216" s="48" t="n">
        <f aca="false">ROUNDUP(A216/12,0)</f>
        <v>18</v>
      </c>
      <c r="C216" s="49" t="n">
        <f aca="false">E215*Annahmen!$B$55/12</f>
        <v>1955.09296564726</v>
      </c>
      <c r="D216" s="49" t="n">
        <f aca="false">MIN($C$3-C216,E215)</f>
        <v>1544.90703435274</v>
      </c>
      <c r="E216" s="49" t="n">
        <f aca="false">E215-D216</f>
        <v>936899.716476331</v>
      </c>
      <c r="F216" s="49" t="n">
        <f aca="false">H215*Annahmen!$B$56/12</f>
        <v>2213.58597866036</v>
      </c>
      <c r="G216" s="49" t="n">
        <f aca="false">MIN($F$3-F216,H215)</f>
        <v>1611.41402133964</v>
      </c>
      <c r="H216" s="49" t="n">
        <f aca="false">H215-G216</f>
        <v>883822.977442803</v>
      </c>
      <c r="I216" s="49" t="n">
        <f aca="false">K215*Annahmen!$B$57/12</f>
        <v>6235.17321308991</v>
      </c>
      <c r="J216" s="49" t="n">
        <f aca="false">MIN($I$3-I216,K215)</f>
        <v>4173.18389517031</v>
      </c>
      <c r="K216" s="49" t="n">
        <f aca="false">K215-J216</f>
        <v>1866378.7800318</v>
      </c>
      <c r="L216" s="49" t="n">
        <f aca="false">C216+F216+I216</f>
        <v>10403.8521573975</v>
      </c>
      <c r="M216" s="49" t="n">
        <f aca="false">D216+G216+J216</f>
        <v>7329.5049508627</v>
      </c>
      <c r="N216" s="49" t="n">
        <f aca="false">L216+M216</f>
        <v>17733.3571082602</v>
      </c>
      <c r="O216" s="49" t="n">
        <f aca="false">E216+H216+K216</f>
        <v>3687101.47395094</v>
      </c>
    </row>
    <row r="217" customFormat="false" ht="15" hidden="false" customHeight="false" outlineLevel="0" collapsed="false">
      <c r="A217" s="48" t="n">
        <v>211</v>
      </c>
      <c r="B217" s="48" t="n">
        <f aca="false">ROUNDUP(A217/12,0)</f>
        <v>18</v>
      </c>
      <c r="C217" s="49" t="n">
        <f aca="false">E216*Annahmen!$B$55/12</f>
        <v>1951.87440932569</v>
      </c>
      <c r="D217" s="49" t="n">
        <f aca="false">MIN($C$3-C217,E216)</f>
        <v>1548.12559067431</v>
      </c>
      <c r="E217" s="49" t="n">
        <f aca="false">E216-D217</f>
        <v>935351.590885657</v>
      </c>
      <c r="F217" s="49" t="n">
        <f aca="false">H216*Annahmen!$B$56/12</f>
        <v>2209.55744360701</v>
      </c>
      <c r="G217" s="49" t="n">
        <f aca="false">MIN($F$3-F217,H216)</f>
        <v>1615.44255639299</v>
      </c>
      <c r="H217" s="49" t="n">
        <f aca="false">H216-G217</f>
        <v>882207.534886411</v>
      </c>
      <c r="I217" s="49" t="n">
        <f aca="false">K216*Annahmen!$B$57/12</f>
        <v>6221.26260010601</v>
      </c>
      <c r="J217" s="49" t="n">
        <f aca="false">MIN($I$3-I217,K216)</f>
        <v>4187.09450815421</v>
      </c>
      <c r="K217" s="49" t="n">
        <f aca="false">K216-J217</f>
        <v>1862191.68552365</v>
      </c>
      <c r="L217" s="49" t="n">
        <f aca="false">C217+F217+I217</f>
        <v>10382.6944530387</v>
      </c>
      <c r="M217" s="49" t="n">
        <f aca="false">D217+G217+J217</f>
        <v>7350.66265522152</v>
      </c>
      <c r="N217" s="49" t="n">
        <f aca="false">L217+M217</f>
        <v>17733.3571082602</v>
      </c>
      <c r="O217" s="49" t="n">
        <f aca="false">E217+H217+K217</f>
        <v>3679750.81129572</v>
      </c>
    </row>
    <row r="218" customFormat="false" ht="15" hidden="false" customHeight="false" outlineLevel="0" collapsed="false">
      <c r="A218" s="48" t="n">
        <v>212</v>
      </c>
      <c r="B218" s="48" t="n">
        <f aca="false">ROUNDUP(A218/12,0)</f>
        <v>18</v>
      </c>
      <c r="C218" s="49" t="n">
        <f aca="false">E217*Annahmen!$B$55/12</f>
        <v>1948.64914767845</v>
      </c>
      <c r="D218" s="49" t="n">
        <f aca="false">MIN($C$3-C218,E217)</f>
        <v>1551.35085232155</v>
      </c>
      <c r="E218" s="49" t="n">
        <f aca="false">E217-D218</f>
        <v>933800.240033335</v>
      </c>
      <c r="F218" s="49" t="n">
        <f aca="false">H217*Annahmen!$B$56/12</f>
        <v>2205.51883721603</v>
      </c>
      <c r="G218" s="49" t="n">
        <f aca="false">MIN($F$3-F218,H217)</f>
        <v>1619.48116278397</v>
      </c>
      <c r="H218" s="49" t="n">
        <f aca="false">H217-G218</f>
        <v>880588.053723627</v>
      </c>
      <c r="I218" s="49" t="n">
        <f aca="false">K217*Annahmen!$B$57/12</f>
        <v>6207.30561841216</v>
      </c>
      <c r="J218" s="49" t="n">
        <f aca="false">MIN($I$3-I218,K217)</f>
        <v>4201.05148984806</v>
      </c>
      <c r="K218" s="49" t="n">
        <f aca="false">K217-J218</f>
        <v>1857990.6340338</v>
      </c>
      <c r="L218" s="49" t="n">
        <f aca="false">C218+F218+I218</f>
        <v>10361.4736033066</v>
      </c>
      <c r="M218" s="49" t="n">
        <f aca="false">D218+G218+J218</f>
        <v>7371.88350495358</v>
      </c>
      <c r="N218" s="49" t="n">
        <f aca="false">L218+M218</f>
        <v>17733.3571082602</v>
      </c>
      <c r="O218" s="49" t="n">
        <f aca="false">E218+H218+K218</f>
        <v>3672378.92779076</v>
      </c>
    </row>
    <row r="219" customFormat="false" ht="15" hidden="false" customHeight="false" outlineLevel="0" collapsed="false">
      <c r="A219" s="48" t="n">
        <v>213</v>
      </c>
      <c r="B219" s="48" t="n">
        <f aca="false">ROUNDUP(A219/12,0)</f>
        <v>18</v>
      </c>
      <c r="C219" s="49" t="n">
        <f aca="false">E218*Annahmen!$B$55/12</f>
        <v>1945.41716673611</v>
      </c>
      <c r="D219" s="49" t="n">
        <f aca="false">MIN($C$3-C219,E218)</f>
        <v>1554.58283326389</v>
      </c>
      <c r="E219" s="49" t="n">
        <f aca="false">E218-D219</f>
        <v>932245.657200071</v>
      </c>
      <c r="F219" s="49" t="n">
        <f aca="false">H218*Annahmen!$B$56/12</f>
        <v>2201.47013430907</v>
      </c>
      <c r="G219" s="49" t="n">
        <f aca="false">MIN($F$3-F219,H218)</f>
        <v>1623.52986569093</v>
      </c>
      <c r="H219" s="49" t="n">
        <f aca="false">H218-G219</f>
        <v>878964.523857936</v>
      </c>
      <c r="I219" s="49" t="n">
        <f aca="false">K218*Annahmen!$B$57/12</f>
        <v>6193.30211344601</v>
      </c>
      <c r="J219" s="49" t="n">
        <f aca="false">MIN($I$3-I219,K218)</f>
        <v>4215.05499481422</v>
      </c>
      <c r="K219" s="49" t="n">
        <f aca="false">K218-J219</f>
        <v>1853775.57903899</v>
      </c>
      <c r="L219" s="49" t="n">
        <f aca="false">C219+F219+I219</f>
        <v>10340.1894144912</v>
      </c>
      <c r="M219" s="49" t="n">
        <f aca="false">D219+G219+J219</f>
        <v>7393.16769376904</v>
      </c>
      <c r="N219" s="49" t="n">
        <f aca="false">L219+M219</f>
        <v>17733.3571082602</v>
      </c>
      <c r="O219" s="49" t="n">
        <f aca="false">E219+H219+K219</f>
        <v>3664985.76009699</v>
      </c>
    </row>
    <row r="220" customFormat="false" ht="15" hidden="false" customHeight="false" outlineLevel="0" collapsed="false">
      <c r="A220" s="48" t="n">
        <v>214</v>
      </c>
      <c r="B220" s="48" t="n">
        <f aca="false">ROUNDUP(A220/12,0)</f>
        <v>18</v>
      </c>
      <c r="C220" s="49" t="n">
        <f aca="false">E219*Annahmen!$B$55/12</f>
        <v>1942.17845250015</v>
      </c>
      <c r="D220" s="49" t="n">
        <f aca="false">MIN($C$3-C220,E219)</f>
        <v>1557.82154749985</v>
      </c>
      <c r="E220" s="49" t="n">
        <f aca="false">E219-D220</f>
        <v>930687.835652571</v>
      </c>
      <c r="F220" s="49" t="n">
        <f aca="false">H219*Annahmen!$B$56/12</f>
        <v>2197.41130964484</v>
      </c>
      <c r="G220" s="49" t="n">
        <f aca="false">MIN($F$3-F220,H219)</f>
        <v>1627.58869035516</v>
      </c>
      <c r="H220" s="49" t="n">
        <f aca="false">H219-G220</f>
        <v>877336.93516758</v>
      </c>
      <c r="I220" s="49" t="n">
        <f aca="false">K219*Annahmen!$B$57/12</f>
        <v>6179.25193012996</v>
      </c>
      <c r="J220" s="49" t="n">
        <f aca="false">MIN($I$3-I220,K219)</f>
        <v>4229.10517813027</v>
      </c>
      <c r="K220" s="49" t="n">
        <f aca="false">K219-J220</f>
        <v>1849546.47386086</v>
      </c>
      <c r="L220" s="49" t="n">
        <f aca="false">C220+F220+I220</f>
        <v>10318.8416922749</v>
      </c>
      <c r="M220" s="49" t="n">
        <f aca="false">D220+G220+J220</f>
        <v>7414.51541598528</v>
      </c>
      <c r="N220" s="49" t="n">
        <f aca="false">L220+M220</f>
        <v>17733.3571082602</v>
      </c>
      <c r="O220" s="49" t="n">
        <f aca="false">E220+H220+K220</f>
        <v>3657571.24468101</v>
      </c>
    </row>
    <row r="221" customFormat="false" ht="15" hidden="false" customHeight="false" outlineLevel="0" collapsed="false">
      <c r="A221" s="48" t="n">
        <v>215</v>
      </c>
      <c r="B221" s="48" t="n">
        <f aca="false">ROUNDUP(A221/12,0)</f>
        <v>18</v>
      </c>
      <c r="C221" s="49" t="n">
        <f aca="false">E220*Annahmen!$B$55/12</f>
        <v>1938.93299094286</v>
      </c>
      <c r="D221" s="49" t="n">
        <f aca="false">MIN($C$3-C221,E220)</f>
        <v>1561.06700905715</v>
      </c>
      <c r="E221" s="49" t="n">
        <f aca="false">E220-D221</f>
        <v>929126.768643514</v>
      </c>
      <c r="F221" s="49" t="n">
        <f aca="false">H220*Annahmen!$B$56/12</f>
        <v>2193.34233791895</v>
      </c>
      <c r="G221" s="49" t="n">
        <f aca="false">MIN($F$3-F221,H220)</f>
        <v>1631.65766208105</v>
      </c>
      <c r="H221" s="49" t="n">
        <f aca="false">H220-G221</f>
        <v>875705.277505499</v>
      </c>
      <c r="I221" s="49" t="n">
        <f aca="false">K220*Annahmen!$B$57/12</f>
        <v>6165.15491286952</v>
      </c>
      <c r="J221" s="49" t="n">
        <f aca="false">MIN($I$3-I221,K220)</f>
        <v>4243.2021953907</v>
      </c>
      <c r="K221" s="49" t="n">
        <f aca="false">K220-J221</f>
        <v>1845303.27166547</v>
      </c>
      <c r="L221" s="49" t="n">
        <f aca="false">C221+F221+I221</f>
        <v>10297.4302417313</v>
      </c>
      <c r="M221" s="49" t="n">
        <f aca="false">D221+G221+J221</f>
        <v>7435.9268665289</v>
      </c>
      <c r="N221" s="49" t="n">
        <f aca="false">L221+M221</f>
        <v>17733.3571082602</v>
      </c>
      <c r="O221" s="49" t="n">
        <f aca="false">E221+H221+K221</f>
        <v>3650135.31781448</v>
      </c>
    </row>
    <row r="222" customFormat="false" ht="15" hidden="false" customHeight="false" outlineLevel="0" collapsed="false">
      <c r="A222" s="48" t="n">
        <v>216</v>
      </c>
      <c r="B222" s="48" t="n">
        <f aca="false">ROUNDUP(A222/12,0)</f>
        <v>18</v>
      </c>
      <c r="C222" s="49" t="n">
        <f aca="false">E221*Annahmen!$B$55/12</f>
        <v>1935.68076800732</v>
      </c>
      <c r="D222" s="49" t="n">
        <f aca="false">MIN($C$3-C222,E221)</f>
        <v>1564.31923199268</v>
      </c>
      <c r="E222" s="49" t="n">
        <f aca="false">E221-D222</f>
        <v>927562.449411521</v>
      </c>
      <c r="F222" s="49" t="n">
        <f aca="false">H221*Annahmen!$B$56/12</f>
        <v>2189.26319376375</v>
      </c>
      <c r="G222" s="49" t="n">
        <f aca="false">MIN($F$3-F222,H221)</f>
        <v>1635.73680623625</v>
      </c>
      <c r="H222" s="49" t="n">
        <f aca="false">H221-G222</f>
        <v>874069.540699263</v>
      </c>
      <c r="I222" s="49" t="n">
        <f aca="false">K221*Annahmen!$B$57/12</f>
        <v>6151.01090555155</v>
      </c>
      <c r="J222" s="49" t="n">
        <f aca="false">MIN($I$3-I222,K221)</f>
        <v>4257.34620270867</v>
      </c>
      <c r="K222" s="49" t="n">
        <f aca="false">K221-J222</f>
        <v>1841045.92546276</v>
      </c>
      <c r="L222" s="49" t="n">
        <f aca="false">C222+F222+I222</f>
        <v>10275.9548673226</v>
      </c>
      <c r="M222" s="49" t="n">
        <f aca="false">D222+G222+J222</f>
        <v>7457.4022409376</v>
      </c>
      <c r="N222" s="49" t="n">
        <f aca="false">L222+M222</f>
        <v>17733.3571082602</v>
      </c>
      <c r="O222" s="49" t="n">
        <f aca="false">E222+H222+K222</f>
        <v>3642677.91557354</v>
      </c>
    </row>
    <row r="223" customFormat="false" ht="15" hidden="false" customHeight="false" outlineLevel="0" collapsed="false">
      <c r="A223" s="48" t="n">
        <v>217</v>
      </c>
      <c r="B223" s="48" t="n">
        <f aca="false">ROUNDUP(A223/12,0)</f>
        <v>19</v>
      </c>
      <c r="C223" s="49" t="n">
        <f aca="false">E222*Annahmen!$B$55/12</f>
        <v>1932.42176960734</v>
      </c>
      <c r="D223" s="49" t="n">
        <f aca="false">MIN($C$3-C223,E222)</f>
        <v>1567.57823039267</v>
      </c>
      <c r="E223" s="49" t="n">
        <f aca="false">E222-D223</f>
        <v>925994.871181129</v>
      </c>
      <c r="F223" s="49" t="n">
        <f aca="false">H222*Annahmen!$B$56/12</f>
        <v>2185.17385174816</v>
      </c>
      <c r="G223" s="49" t="n">
        <f aca="false">MIN($F$3-F223,H222)</f>
        <v>1639.82614825184</v>
      </c>
      <c r="H223" s="49" t="n">
        <f aca="false">H222-G223</f>
        <v>872429.714551011</v>
      </c>
      <c r="I223" s="49" t="n">
        <f aca="false">K222*Annahmen!$B$57/12</f>
        <v>6136.81975154252</v>
      </c>
      <c r="J223" s="49" t="n">
        <f aca="false">MIN($I$3-I223,K222)</f>
        <v>4271.5373567177</v>
      </c>
      <c r="K223" s="49" t="n">
        <f aca="false">K222-J223</f>
        <v>1836774.38810604</v>
      </c>
      <c r="L223" s="49" t="n">
        <f aca="false">C223+F223+I223</f>
        <v>10254.415372898</v>
      </c>
      <c r="M223" s="49" t="n">
        <f aca="false">D223+G223+J223</f>
        <v>7478.94173536221</v>
      </c>
      <c r="N223" s="49" t="n">
        <f aca="false">L223+M223</f>
        <v>17733.3571082602</v>
      </c>
      <c r="O223" s="49" t="n">
        <f aca="false">E223+H223+K223</f>
        <v>3635198.97383818</v>
      </c>
    </row>
    <row r="224" customFormat="false" ht="15" hidden="false" customHeight="false" outlineLevel="0" collapsed="false">
      <c r="A224" s="48" t="n">
        <v>218</v>
      </c>
      <c r="B224" s="48" t="n">
        <f aca="false">ROUNDUP(A224/12,0)</f>
        <v>19</v>
      </c>
      <c r="C224" s="49" t="n">
        <f aca="false">E223*Annahmen!$B$55/12</f>
        <v>1929.15598162735</v>
      </c>
      <c r="D224" s="49" t="n">
        <f aca="false">MIN($C$3-C224,E223)</f>
        <v>1570.84401837265</v>
      </c>
      <c r="E224" s="49" t="n">
        <f aca="false">E223-D224</f>
        <v>924424.027162756</v>
      </c>
      <c r="F224" s="49" t="n">
        <f aca="false">H223*Annahmen!$B$56/12</f>
        <v>2181.07428637753</v>
      </c>
      <c r="G224" s="49" t="n">
        <f aca="false">MIN($F$3-F224,H223)</f>
        <v>1643.92571362247</v>
      </c>
      <c r="H224" s="49" t="n">
        <f aca="false">H223-G224</f>
        <v>870785.788837389</v>
      </c>
      <c r="I224" s="49" t="n">
        <f aca="false">K223*Annahmen!$B$57/12</f>
        <v>6122.5812936868</v>
      </c>
      <c r="J224" s="49" t="n">
        <f aca="false">MIN($I$3-I224,K223)</f>
        <v>4285.77581457342</v>
      </c>
      <c r="K224" s="49" t="n">
        <f aca="false">K223-J224</f>
        <v>1832488.61229147</v>
      </c>
      <c r="L224" s="49" t="n">
        <f aca="false">C224+F224+I224</f>
        <v>10232.8115616917</v>
      </c>
      <c r="M224" s="49" t="n">
        <f aca="false">D224+G224+J224</f>
        <v>7500.54554656855</v>
      </c>
      <c r="N224" s="49" t="n">
        <f aca="false">L224+M224</f>
        <v>17733.3571082602</v>
      </c>
      <c r="O224" s="49" t="n">
        <f aca="false">E224+H224+K224</f>
        <v>3627698.42829161</v>
      </c>
    </row>
    <row r="225" customFormat="false" ht="15" hidden="false" customHeight="false" outlineLevel="0" collapsed="false">
      <c r="A225" s="48" t="n">
        <v>219</v>
      </c>
      <c r="B225" s="48" t="n">
        <f aca="false">ROUNDUP(A225/12,0)</f>
        <v>19</v>
      </c>
      <c r="C225" s="49" t="n">
        <f aca="false">E224*Annahmen!$B$55/12</f>
        <v>1925.88338992241</v>
      </c>
      <c r="D225" s="49" t="n">
        <f aca="false">MIN($C$3-C225,E224)</f>
        <v>1574.11661007759</v>
      </c>
      <c r="E225" s="49" t="n">
        <f aca="false">E224-D225</f>
        <v>922849.910552678</v>
      </c>
      <c r="F225" s="49" t="n">
        <f aca="false">H224*Annahmen!$B$56/12</f>
        <v>2176.96447209347</v>
      </c>
      <c r="G225" s="49" t="n">
        <f aca="false">MIN($F$3-F225,H224)</f>
        <v>1648.03552790653</v>
      </c>
      <c r="H225" s="49" t="n">
        <f aca="false">H224-G225</f>
        <v>869137.753309482</v>
      </c>
      <c r="I225" s="49" t="n">
        <f aca="false">K224*Annahmen!$B$57/12</f>
        <v>6108.29537430489</v>
      </c>
      <c r="J225" s="49" t="n">
        <f aca="false">MIN($I$3-I225,K224)</f>
        <v>4300.06173395534</v>
      </c>
      <c r="K225" s="49" t="n">
        <f aca="false">K224-J225</f>
        <v>1828188.55055751</v>
      </c>
      <c r="L225" s="49" t="n">
        <f aca="false">C225+F225+I225</f>
        <v>10211.1432363208</v>
      </c>
      <c r="M225" s="49" t="n">
        <f aca="false">D225+G225+J225</f>
        <v>7522.21387193946</v>
      </c>
      <c r="N225" s="49" t="n">
        <f aca="false">L225+M225</f>
        <v>17733.3571082602</v>
      </c>
      <c r="O225" s="49" t="n">
        <f aca="false">E225+H225+K225</f>
        <v>3620176.21441967</v>
      </c>
    </row>
    <row r="226" customFormat="false" ht="15" hidden="false" customHeight="false" outlineLevel="0" collapsed="false">
      <c r="A226" s="48" t="n">
        <v>220</v>
      </c>
      <c r="B226" s="48" t="n">
        <f aca="false">ROUNDUP(A226/12,0)</f>
        <v>19</v>
      </c>
      <c r="C226" s="49" t="n">
        <f aca="false">E225*Annahmen!$B$55/12</f>
        <v>1922.60398031808</v>
      </c>
      <c r="D226" s="49" t="n">
        <f aca="false">MIN($C$3-C226,E225)</f>
        <v>1577.39601968192</v>
      </c>
      <c r="E226" s="49" t="n">
        <f aca="false">E225-D226</f>
        <v>921272.514532997</v>
      </c>
      <c r="F226" s="49" t="n">
        <f aca="false">H225*Annahmen!$B$56/12</f>
        <v>2172.84438327371</v>
      </c>
      <c r="G226" s="49" t="n">
        <f aca="false">MIN($F$3-F226,H225)</f>
        <v>1652.1556167263</v>
      </c>
      <c r="H226" s="49" t="n">
        <f aca="false">H225-G226</f>
        <v>867485.597692756</v>
      </c>
      <c r="I226" s="49" t="n">
        <f aca="false">K225*Annahmen!$B$57/12</f>
        <v>6093.9618351917</v>
      </c>
      <c r="J226" s="49" t="n">
        <f aca="false">MIN($I$3-I226,K225)</f>
        <v>4314.39527306852</v>
      </c>
      <c r="K226" s="49" t="n">
        <f aca="false">K225-J226</f>
        <v>1823874.15528444</v>
      </c>
      <c r="L226" s="49" t="n">
        <f aca="false">C226+F226+I226</f>
        <v>10189.4101987835</v>
      </c>
      <c r="M226" s="49" t="n">
        <f aca="false">D226+G226+J226</f>
        <v>7543.94690947674</v>
      </c>
      <c r="N226" s="49" t="n">
        <f aca="false">L226+M226</f>
        <v>17733.3571082602</v>
      </c>
      <c r="O226" s="49" t="n">
        <f aca="false">E226+H226+K226</f>
        <v>3612632.2675102</v>
      </c>
    </row>
    <row r="227" customFormat="false" ht="15" hidden="false" customHeight="false" outlineLevel="0" collapsed="false">
      <c r="A227" s="48" t="n">
        <v>221</v>
      </c>
      <c r="B227" s="48" t="n">
        <f aca="false">ROUNDUP(A227/12,0)</f>
        <v>19</v>
      </c>
      <c r="C227" s="49" t="n">
        <f aca="false">E226*Annahmen!$B$55/12</f>
        <v>1919.31773861041</v>
      </c>
      <c r="D227" s="49" t="n">
        <f aca="false">MIN($C$3-C227,E226)</f>
        <v>1580.68226138959</v>
      </c>
      <c r="E227" s="49" t="n">
        <f aca="false">E226-D227</f>
        <v>919691.832271607</v>
      </c>
      <c r="F227" s="49" t="n">
        <f aca="false">H226*Annahmen!$B$56/12</f>
        <v>2168.71399423189</v>
      </c>
      <c r="G227" s="49" t="n">
        <f aca="false">MIN($F$3-F227,H226)</f>
        <v>1656.28600576811</v>
      </c>
      <c r="H227" s="49" t="n">
        <f aca="false">H226-G227</f>
        <v>865829.311686988</v>
      </c>
      <c r="I227" s="49" t="n">
        <f aca="false">K226*Annahmen!$B$57/12</f>
        <v>6079.58051761481</v>
      </c>
      <c r="J227" s="49" t="n">
        <f aca="false">MIN($I$3-I227,K226)</f>
        <v>4328.77659064541</v>
      </c>
      <c r="K227" s="49" t="n">
        <f aca="false">K226-J227</f>
        <v>1819545.3786938</v>
      </c>
      <c r="L227" s="49" t="n">
        <f aca="false">C227+F227+I227</f>
        <v>10167.6122504571</v>
      </c>
      <c r="M227" s="49" t="n">
        <f aca="false">D227+G227+J227</f>
        <v>7565.74485780312</v>
      </c>
      <c r="N227" s="49" t="n">
        <f aca="false">L227+M227</f>
        <v>17733.3571082602</v>
      </c>
      <c r="O227" s="49" t="n">
        <f aca="false">E227+H227+K227</f>
        <v>3605066.52265239</v>
      </c>
    </row>
    <row r="228" customFormat="false" ht="15" hidden="false" customHeight="false" outlineLevel="0" collapsed="false">
      <c r="A228" s="48" t="n">
        <v>222</v>
      </c>
      <c r="B228" s="48" t="n">
        <f aca="false">ROUNDUP(A228/12,0)</f>
        <v>19</v>
      </c>
      <c r="C228" s="49" t="n">
        <f aca="false">E227*Annahmen!$B$55/12</f>
        <v>1916.02465056585</v>
      </c>
      <c r="D228" s="49" t="n">
        <f aca="false">MIN($C$3-C228,E227)</f>
        <v>1583.97534943415</v>
      </c>
      <c r="E228" s="49" t="n">
        <f aca="false">E227-D228</f>
        <v>918107.856922173</v>
      </c>
      <c r="F228" s="49" t="n">
        <f aca="false">H227*Annahmen!$B$56/12</f>
        <v>2164.57327921747</v>
      </c>
      <c r="G228" s="49" t="n">
        <f aca="false">MIN($F$3-F228,H227)</f>
        <v>1660.42672078253</v>
      </c>
      <c r="H228" s="49" t="n">
        <f aca="false">H227-G228</f>
        <v>864168.884966205</v>
      </c>
      <c r="I228" s="49" t="n">
        <f aca="false">K227*Annahmen!$B$57/12</f>
        <v>6065.15126231266</v>
      </c>
      <c r="J228" s="49" t="n">
        <f aca="false">MIN($I$3-I228,K227)</f>
        <v>4343.20584594757</v>
      </c>
      <c r="K228" s="49" t="n">
        <f aca="false">K227-J228</f>
        <v>1815202.17284785</v>
      </c>
      <c r="L228" s="49" t="n">
        <f aca="false">C228+F228+I228</f>
        <v>10145.749192096</v>
      </c>
      <c r="M228" s="49" t="n">
        <f aca="false">D228+G228+J228</f>
        <v>7587.60791616425</v>
      </c>
      <c r="N228" s="49" t="n">
        <f aca="false">L228+M228</f>
        <v>17733.3571082602</v>
      </c>
      <c r="O228" s="49" t="n">
        <f aca="false">E228+H228+K228</f>
        <v>3597478.91473623</v>
      </c>
    </row>
    <row r="229" customFormat="false" ht="15" hidden="false" customHeight="false" outlineLevel="0" collapsed="false">
      <c r="A229" s="48" t="n">
        <v>223</v>
      </c>
      <c r="B229" s="48" t="n">
        <f aca="false">ROUNDUP(A229/12,0)</f>
        <v>19</v>
      </c>
      <c r="C229" s="49" t="n">
        <f aca="false">E228*Annahmen!$B$55/12</f>
        <v>1912.72470192119</v>
      </c>
      <c r="D229" s="49" t="n">
        <f aca="false">MIN($C$3-C229,E228)</f>
        <v>1587.27529807881</v>
      </c>
      <c r="E229" s="49" t="n">
        <f aca="false">E228-D229</f>
        <v>916520.581624094</v>
      </c>
      <c r="F229" s="49" t="n">
        <f aca="false">H228*Annahmen!$B$56/12</f>
        <v>2160.42221241551</v>
      </c>
      <c r="G229" s="49" t="n">
        <f aca="false">MIN($F$3-F229,H228)</f>
        <v>1664.57778758449</v>
      </c>
      <c r="H229" s="49" t="n">
        <f aca="false">H228-G229</f>
        <v>862504.307178621</v>
      </c>
      <c r="I229" s="49" t="n">
        <f aca="false">K228*Annahmen!$B$57/12</f>
        <v>6050.67390949283</v>
      </c>
      <c r="J229" s="49" t="n">
        <f aca="false">MIN($I$3-I229,K228)</f>
        <v>4357.68319876739</v>
      </c>
      <c r="K229" s="49" t="n">
        <f aca="false">K228-J229</f>
        <v>1810844.48964908</v>
      </c>
      <c r="L229" s="49" t="n">
        <f aca="false">C229+F229+I229</f>
        <v>10123.8208238295</v>
      </c>
      <c r="M229" s="49" t="n">
        <f aca="false">D229+G229+J229</f>
        <v>7609.53628443069</v>
      </c>
      <c r="N229" s="49" t="n">
        <f aca="false">L229+M229</f>
        <v>17733.3571082602</v>
      </c>
      <c r="O229" s="49" t="n">
        <f aca="false">E229+H229+K229</f>
        <v>3589869.3784518</v>
      </c>
    </row>
    <row r="230" customFormat="false" ht="15" hidden="false" customHeight="false" outlineLevel="0" collapsed="false">
      <c r="A230" s="48" t="n">
        <v>224</v>
      </c>
      <c r="B230" s="48" t="n">
        <f aca="false">ROUNDUP(A230/12,0)</f>
        <v>19</v>
      </c>
      <c r="C230" s="49" t="n">
        <f aca="false">E229*Annahmen!$B$55/12</f>
        <v>1909.41787838353</v>
      </c>
      <c r="D230" s="49" t="n">
        <f aca="false">MIN($C$3-C230,E229)</f>
        <v>1590.58212161647</v>
      </c>
      <c r="E230" s="49" t="n">
        <f aca="false">E229-D230</f>
        <v>914929.999502478</v>
      </c>
      <c r="F230" s="49" t="n">
        <f aca="false">H229*Annahmen!$B$56/12</f>
        <v>2156.26076794655</v>
      </c>
      <c r="G230" s="49" t="n">
        <f aca="false">MIN($F$3-F230,H229)</f>
        <v>1668.73923205345</v>
      </c>
      <c r="H230" s="49" t="n">
        <f aca="false">H229-G230</f>
        <v>860835.567946567</v>
      </c>
      <c r="I230" s="49" t="n">
        <f aca="false">K229*Annahmen!$B$57/12</f>
        <v>6036.14829883027</v>
      </c>
      <c r="J230" s="49" t="n">
        <f aca="false">MIN($I$3-I230,K229)</f>
        <v>4372.20880942995</v>
      </c>
      <c r="K230" s="49" t="n">
        <f aca="false">K229-J230</f>
        <v>1806472.28083965</v>
      </c>
      <c r="L230" s="49" t="n">
        <f aca="false">C230+F230+I230</f>
        <v>10101.8269451604</v>
      </c>
      <c r="M230" s="49" t="n">
        <f aca="false">D230+G230+J230</f>
        <v>7631.53016309987</v>
      </c>
      <c r="N230" s="49" t="n">
        <f aca="false">L230+M230</f>
        <v>17733.3571082602</v>
      </c>
      <c r="O230" s="49" t="n">
        <f aca="false">E230+H230+K230</f>
        <v>3582237.8482887</v>
      </c>
    </row>
    <row r="231" customFormat="false" ht="15" hidden="false" customHeight="false" outlineLevel="0" collapsed="false">
      <c r="A231" s="48" t="n">
        <v>225</v>
      </c>
      <c r="B231" s="48" t="n">
        <f aca="false">ROUNDUP(A231/12,0)</f>
        <v>19</v>
      </c>
      <c r="C231" s="49" t="n">
        <f aca="false">E230*Annahmen!$B$55/12</f>
        <v>1906.10416563016</v>
      </c>
      <c r="D231" s="49" t="n">
        <f aca="false">MIN($C$3-C231,E230)</f>
        <v>1593.89583436984</v>
      </c>
      <c r="E231" s="49" t="n">
        <f aca="false">E230-D231</f>
        <v>913336.103668108</v>
      </c>
      <c r="F231" s="49" t="n">
        <f aca="false">H230*Annahmen!$B$56/12</f>
        <v>2152.08891986642</v>
      </c>
      <c r="G231" s="49" t="n">
        <f aca="false">MIN($F$3-F231,H230)</f>
        <v>1672.91108013358</v>
      </c>
      <c r="H231" s="49" t="n">
        <f aca="false">H230-G231</f>
        <v>859162.656866434</v>
      </c>
      <c r="I231" s="49" t="n">
        <f aca="false">K230*Annahmen!$B$57/12</f>
        <v>6021.57426946551</v>
      </c>
      <c r="J231" s="49" t="n">
        <f aca="false">MIN($I$3-I231,K230)</f>
        <v>4386.78283879472</v>
      </c>
      <c r="K231" s="49" t="n">
        <f aca="false">K230-J231</f>
        <v>1802085.49800086</v>
      </c>
      <c r="L231" s="49" t="n">
        <f aca="false">C231+F231+I231</f>
        <v>10079.7673549621</v>
      </c>
      <c r="M231" s="49" t="n">
        <f aca="false">D231+G231+J231</f>
        <v>7653.58975329814</v>
      </c>
      <c r="N231" s="49" t="n">
        <f aca="false">L231+M231</f>
        <v>17733.3571082602</v>
      </c>
      <c r="O231" s="49" t="n">
        <f aca="false">E231+H231+K231</f>
        <v>3574584.2585354</v>
      </c>
    </row>
    <row r="232" customFormat="false" ht="15" hidden="false" customHeight="false" outlineLevel="0" collapsed="false">
      <c r="A232" s="48" t="n">
        <v>226</v>
      </c>
      <c r="B232" s="48" t="n">
        <f aca="false">ROUNDUP(A232/12,0)</f>
        <v>19</v>
      </c>
      <c r="C232" s="49" t="n">
        <f aca="false">E231*Annahmen!$B$55/12</f>
        <v>1902.78354930856</v>
      </c>
      <c r="D232" s="49" t="n">
        <f aca="false">MIN($C$3-C232,E231)</f>
        <v>1597.21645069144</v>
      </c>
      <c r="E232" s="49" t="n">
        <f aca="false">E231-D232</f>
        <v>911738.887217416</v>
      </c>
      <c r="F232" s="49" t="n">
        <f aca="false">H231*Annahmen!$B$56/12</f>
        <v>2147.90664216608</v>
      </c>
      <c r="G232" s="49" t="n">
        <f aca="false">MIN($F$3-F232,H231)</f>
        <v>1677.09335783392</v>
      </c>
      <c r="H232" s="49" t="n">
        <f aca="false">H231-G232</f>
        <v>857485.5635086</v>
      </c>
      <c r="I232" s="49" t="n">
        <f aca="false">K231*Annahmen!$B$57/12</f>
        <v>6006.95166000286</v>
      </c>
      <c r="J232" s="49" t="n">
        <f aca="false">MIN($I$3-I232,K231)</f>
        <v>4401.40544825737</v>
      </c>
      <c r="K232" s="49" t="n">
        <f aca="false">K231-J232</f>
        <v>1797684.0925526</v>
      </c>
      <c r="L232" s="49" t="n">
        <f aca="false">C232+F232+I232</f>
        <v>10057.6418514775</v>
      </c>
      <c r="M232" s="49" t="n">
        <f aca="false">D232+G232+J232</f>
        <v>7675.71525678273</v>
      </c>
      <c r="N232" s="49" t="n">
        <f aca="false">L232+M232</f>
        <v>17733.3571082602</v>
      </c>
      <c r="O232" s="49" t="n">
        <f aca="false">E232+H232+K232</f>
        <v>3566908.54327862</v>
      </c>
    </row>
    <row r="233" customFormat="false" ht="15" hidden="false" customHeight="false" outlineLevel="0" collapsed="false">
      <c r="A233" s="48" t="n">
        <v>227</v>
      </c>
      <c r="B233" s="48" t="n">
        <f aca="false">ROUNDUP(A233/12,0)</f>
        <v>19</v>
      </c>
      <c r="C233" s="49" t="n">
        <f aca="false">E232*Annahmen!$B$55/12</f>
        <v>1899.45601503628</v>
      </c>
      <c r="D233" s="49" t="n">
        <f aca="false">MIN($C$3-C233,E232)</f>
        <v>1600.54398496372</v>
      </c>
      <c r="E233" s="49" t="n">
        <f aca="false">E232-D233</f>
        <v>910138.343232453</v>
      </c>
      <c r="F233" s="49" t="n">
        <f aca="false">H232*Annahmen!$B$56/12</f>
        <v>2143.7139087715</v>
      </c>
      <c r="G233" s="49" t="n">
        <f aca="false">MIN($F$3-F233,H232)</f>
        <v>1681.2860912285</v>
      </c>
      <c r="H233" s="49" t="n">
        <f aca="false">H232-G233</f>
        <v>855804.277417371</v>
      </c>
      <c r="I233" s="49" t="n">
        <f aca="false">K232*Annahmen!$B$57/12</f>
        <v>5992.28030850867</v>
      </c>
      <c r="J233" s="49" t="n">
        <f aca="false">MIN($I$3-I233,K232)</f>
        <v>4416.07679975156</v>
      </c>
      <c r="K233" s="49" t="n">
        <f aca="false">K232-J233</f>
        <v>1793268.01575285</v>
      </c>
      <c r="L233" s="49" t="n">
        <f aca="false">C233+F233+I233</f>
        <v>10035.4502323165</v>
      </c>
      <c r="M233" s="49" t="n">
        <f aca="false">D233+G233+J233</f>
        <v>7697.90687594378</v>
      </c>
      <c r="N233" s="49" t="n">
        <f aca="false">L233+M233</f>
        <v>17733.3571082602</v>
      </c>
      <c r="O233" s="49" t="n">
        <f aca="false">E233+H233+K233</f>
        <v>3559210.63640267</v>
      </c>
    </row>
    <row r="234" customFormat="false" ht="15" hidden="false" customHeight="false" outlineLevel="0" collapsed="false">
      <c r="A234" s="48" t="n">
        <v>228</v>
      </c>
      <c r="B234" s="48" t="n">
        <f aca="false">ROUNDUP(A234/12,0)</f>
        <v>19</v>
      </c>
      <c r="C234" s="49" t="n">
        <f aca="false">E233*Annahmen!$B$55/12</f>
        <v>1896.12154840094</v>
      </c>
      <c r="D234" s="49" t="n">
        <f aca="false">MIN($C$3-C234,E233)</f>
        <v>1603.87845159906</v>
      </c>
      <c r="E234" s="49" t="n">
        <f aca="false">E233-D234</f>
        <v>908534.464780854</v>
      </c>
      <c r="F234" s="49" t="n">
        <f aca="false">H233*Annahmen!$B$56/12</f>
        <v>2139.51069354343</v>
      </c>
      <c r="G234" s="49" t="n">
        <f aca="false">MIN($F$3-F234,H233)</f>
        <v>1685.48930645657</v>
      </c>
      <c r="H234" s="49" t="n">
        <f aca="false">H233-G234</f>
        <v>854118.788110915</v>
      </c>
      <c r="I234" s="49" t="n">
        <f aca="false">K233*Annahmen!$B$57/12</f>
        <v>5977.5600525095</v>
      </c>
      <c r="J234" s="49" t="n">
        <f aca="false">MIN($I$3-I234,K233)</f>
        <v>4430.79705575073</v>
      </c>
      <c r="K234" s="49" t="n">
        <f aca="false">K233-J234</f>
        <v>1788837.2186971</v>
      </c>
      <c r="L234" s="49" t="n">
        <f aca="false">C234+F234+I234</f>
        <v>10013.1922944539</v>
      </c>
      <c r="M234" s="49" t="n">
        <f aca="false">D234+G234+J234</f>
        <v>7720.16481380636</v>
      </c>
      <c r="N234" s="49" t="n">
        <f aca="false">L234+M234</f>
        <v>17733.3571082602</v>
      </c>
      <c r="O234" s="49" t="n">
        <f aca="false">E234+H234+K234</f>
        <v>3551490.47158887</v>
      </c>
    </row>
    <row r="235" customFormat="false" ht="15" hidden="false" customHeight="false" outlineLevel="0" collapsed="false">
      <c r="A235" s="48" t="n">
        <v>229</v>
      </c>
      <c r="B235" s="48" t="n">
        <f aca="false">ROUNDUP(A235/12,0)</f>
        <v>20</v>
      </c>
      <c r="C235" s="49" t="n">
        <f aca="false">E234*Annahmen!$B$55/12</f>
        <v>1892.78013496011</v>
      </c>
      <c r="D235" s="49" t="n">
        <f aca="false">MIN($C$3-C235,E234)</f>
        <v>1607.21986503989</v>
      </c>
      <c r="E235" s="49" t="n">
        <f aca="false">E234-D235</f>
        <v>906927.244915814</v>
      </c>
      <c r="F235" s="49" t="n">
        <f aca="false">H234*Annahmen!$B$56/12</f>
        <v>2135.29697027729</v>
      </c>
      <c r="G235" s="49" t="n">
        <f aca="false">MIN($F$3-F235,H234)</f>
        <v>1689.70302972271</v>
      </c>
      <c r="H235" s="49" t="n">
        <f aca="false">H234-G235</f>
        <v>852429.085081192</v>
      </c>
      <c r="I235" s="49" t="n">
        <f aca="false">K234*Annahmen!$B$57/12</f>
        <v>5962.79072899033</v>
      </c>
      <c r="J235" s="49" t="n">
        <f aca="false">MIN($I$3-I235,K234)</f>
        <v>4445.5663792699</v>
      </c>
      <c r="K235" s="49" t="n">
        <f aca="false">K234-J235</f>
        <v>1784391.65231783</v>
      </c>
      <c r="L235" s="49" t="n">
        <f aca="false">C235+F235+I235</f>
        <v>9990.86783422773</v>
      </c>
      <c r="M235" s="49" t="n">
        <f aca="false">D235+G235+J235</f>
        <v>7742.4892740325</v>
      </c>
      <c r="N235" s="49" t="n">
        <f aca="false">L235+M235</f>
        <v>17733.3571082602</v>
      </c>
      <c r="O235" s="49" t="n">
        <f aca="false">E235+H235+K235</f>
        <v>3543747.98231483</v>
      </c>
    </row>
    <row r="236" customFormat="false" ht="15" hidden="false" customHeight="false" outlineLevel="0" collapsed="false">
      <c r="A236" s="48" t="n">
        <v>230</v>
      </c>
      <c r="B236" s="48" t="n">
        <f aca="false">ROUNDUP(A236/12,0)</f>
        <v>20</v>
      </c>
      <c r="C236" s="49" t="n">
        <f aca="false">E235*Annahmen!$B$55/12</f>
        <v>1889.43176024128</v>
      </c>
      <c r="D236" s="49" t="n">
        <f aca="false">MIN($C$3-C236,E235)</f>
        <v>1610.56823975872</v>
      </c>
      <c r="E236" s="49" t="n">
        <f aca="false">E235-D236</f>
        <v>905316.676676055</v>
      </c>
      <c r="F236" s="49" t="n">
        <f aca="false">H235*Annahmen!$B$56/12</f>
        <v>2131.07271270298</v>
      </c>
      <c r="G236" s="49" t="n">
        <f aca="false">MIN($F$3-F236,H235)</f>
        <v>1693.92728729702</v>
      </c>
      <c r="H236" s="49" t="n">
        <f aca="false">H235-G236</f>
        <v>850735.157793895</v>
      </c>
      <c r="I236" s="49" t="n">
        <f aca="false">K235*Annahmen!$B$57/12</f>
        <v>5947.97217439276</v>
      </c>
      <c r="J236" s="49" t="n">
        <f aca="false">MIN($I$3-I236,K235)</f>
        <v>4460.38493386746</v>
      </c>
      <c r="K236" s="49" t="n">
        <f aca="false">K235-J236</f>
        <v>1779931.26738396</v>
      </c>
      <c r="L236" s="49" t="n">
        <f aca="false">C236+F236+I236</f>
        <v>9968.47664733702</v>
      </c>
      <c r="M236" s="49" t="n">
        <f aca="false">D236+G236+J236</f>
        <v>7764.88046092321</v>
      </c>
      <c r="N236" s="49" t="n">
        <f aca="false">L236+M236</f>
        <v>17733.3571082602</v>
      </c>
      <c r="O236" s="49" t="n">
        <f aca="false">E236+H236+K236</f>
        <v>3535983.10185391</v>
      </c>
    </row>
    <row r="237" customFormat="false" ht="15" hidden="false" customHeight="false" outlineLevel="0" collapsed="false">
      <c r="A237" s="48" t="n">
        <v>231</v>
      </c>
      <c r="B237" s="48" t="n">
        <f aca="false">ROUNDUP(A237/12,0)</f>
        <v>20</v>
      </c>
      <c r="C237" s="49" t="n">
        <f aca="false">E236*Annahmen!$B$55/12</f>
        <v>1886.07640974178</v>
      </c>
      <c r="D237" s="49" t="n">
        <f aca="false">MIN($C$3-C237,E236)</f>
        <v>1613.92359025822</v>
      </c>
      <c r="E237" s="49" t="n">
        <f aca="false">E236-D237</f>
        <v>903702.753085797</v>
      </c>
      <c r="F237" s="49" t="n">
        <f aca="false">H236*Annahmen!$B$56/12</f>
        <v>2126.83789448474</v>
      </c>
      <c r="G237" s="49" t="n">
        <f aca="false">MIN($F$3-F237,H236)</f>
        <v>1698.16210551526</v>
      </c>
      <c r="H237" s="49" t="n">
        <f aca="false">H236-G237</f>
        <v>849036.99568838</v>
      </c>
      <c r="I237" s="49" t="n">
        <f aca="false">K236*Annahmen!$B$57/12</f>
        <v>5933.1042246132</v>
      </c>
      <c r="J237" s="49" t="n">
        <f aca="false">MIN($I$3-I237,K236)</f>
        <v>4475.25288364702</v>
      </c>
      <c r="K237" s="49" t="n">
        <f aca="false">K236-J237</f>
        <v>1775456.01450031</v>
      </c>
      <c r="L237" s="49" t="n">
        <f aca="false">C237+F237+I237</f>
        <v>9946.01852883972</v>
      </c>
      <c r="M237" s="49" t="n">
        <f aca="false">D237+G237+J237</f>
        <v>7787.3385794205</v>
      </c>
      <c r="N237" s="49" t="n">
        <f aca="false">L237+M237</f>
        <v>17733.3571082602</v>
      </c>
      <c r="O237" s="49" t="n">
        <f aca="false">E237+H237+K237</f>
        <v>3528195.76327449</v>
      </c>
    </row>
    <row r="238" customFormat="false" ht="15" hidden="false" customHeight="false" outlineLevel="0" collapsed="false">
      <c r="A238" s="48" t="n">
        <v>232</v>
      </c>
      <c r="B238" s="48" t="n">
        <f aca="false">ROUNDUP(A238/12,0)</f>
        <v>20</v>
      </c>
      <c r="C238" s="49" t="n">
        <f aca="false">E237*Annahmen!$B$55/12</f>
        <v>1882.71406892874</v>
      </c>
      <c r="D238" s="49" t="n">
        <f aca="false">MIN($C$3-C238,E237)</f>
        <v>1617.28593107126</v>
      </c>
      <c r="E238" s="49" t="n">
        <f aca="false">E237-D238</f>
        <v>902085.467154725</v>
      </c>
      <c r="F238" s="49" t="n">
        <f aca="false">H237*Annahmen!$B$56/12</f>
        <v>2122.59248922095</v>
      </c>
      <c r="G238" s="49" t="n">
        <f aca="false">MIN($F$3-F238,H237)</f>
        <v>1702.40751077905</v>
      </c>
      <c r="H238" s="49" t="n">
        <f aca="false">H237-G238</f>
        <v>847334.588177601</v>
      </c>
      <c r="I238" s="49" t="n">
        <f aca="false">K237*Annahmen!$B$57/12</f>
        <v>5918.18671500105</v>
      </c>
      <c r="J238" s="49" t="n">
        <f aca="false">MIN($I$3-I238,K237)</f>
        <v>4490.17039325918</v>
      </c>
      <c r="K238" s="49" t="n">
        <f aca="false">K237-J238</f>
        <v>1770965.84410705</v>
      </c>
      <c r="L238" s="49" t="n">
        <f aca="false">C238+F238+I238</f>
        <v>9923.49327315074</v>
      </c>
      <c r="M238" s="49" t="n">
        <f aca="false">D238+G238+J238</f>
        <v>7809.86383510949</v>
      </c>
      <c r="N238" s="49" t="n">
        <f aca="false">L238+M238</f>
        <v>17733.3571082602</v>
      </c>
      <c r="O238" s="49" t="n">
        <f aca="false">E238+H238+K238</f>
        <v>3520385.89943938</v>
      </c>
    </row>
    <row r="239" customFormat="false" ht="15" hidden="false" customHeight="false" outlineLevel="0" collapsed="false">
      <c r="A239" s="48" t="n">
        <v>233</v>
      </c>
      <c r="B239" s="48" t="n">
        <f aca="false">ROUNDUP(A239/12,0)</f>
        <v>20</v>
      </c>
      <c r="C239" s="49" t="n">
        <f aca="false">E238*Annahmen!$B$55/12</f>
        <v>1879.34472323901</v>
      </c>
      <c r="D239" s="49" t="n">
        <f aca="false">MIN($C$3-C239,E238)</f>
        <v>1620.65527676099</v>
      </c>
      <c r="E239" s="49" t="n">
        <f aca="false">E238-D239</f>
        <v>900464.811877964</v>
      </c>
      <c r="F239" s="49" t="n">
        <f aca="false">H238*Annahmen!$B$56/12</f>
        <v>2118.336470444</v>
      </c>
      <c r="G239" s="49" t="n">
        <f aca="false">MIN($F$3-F239,H238)</f>
        <v>1706.663529556</v>
      </c>
      <c r="H239" s="49" t="n">
        <f aca="false">H238-G239</f>
        <v>845627.924648045</v>
      </c>
      <c r="I239" s="49" t="n">
        <f aca="false">K238*Annahmen!$B$57/12</f>
        <v>5903.21948035685</v>
      </c>
      <c r="J239" s="49" t="n">
        <f aca="false">MIN($I$3-I239,K238)</f>
        <v>4505.13762790338</v>
      </c>
      <c r="K239" s="49" t="n">
        <f aca="false">K238-J239</f>
        <v>1766460.70647915</v>
      </c>
      <c r="L239" s="49" t="n">
        <f aca="false">C239+F239+I239</f>
        <v>9900.90067403986</v>
      </c>
      <c r="M239" s="49" t="n">
        <f aca="false">D239+G239+J239</f>
        <v>7832.45643422036</v>
      </c>
      <c r="N239" s="49" t="n">
        <f aca="false">L239+M239</f>
        <v>17733.3571082602</v>
      </c>
      <c r="O239" s="49" t="n">
        <f aca="false">E239+H239+K239</f>
        <v>3512553.44300516</v>
      </c>
    </row>
    <row r="240" customFormat="false" ht="15" hidden="false" customHeight="false" outlineLevel="0" collapsed="false">
      <c r="A240" s="48" t="n">
        <v>234</v>
      </c>
      <c r="B240" s="48" t="n">
        <f aca="false">ROUNDUP(A240/12,0)</f>
        <v>20</v>
      </c>
      <c r="C240" s="49" t="n">
        <f aca="false">E239*Annahmen!$B$55/12</f>
        <v>1875.96835807909</v>
      </c>
      <c r="D240" s="49" t="n">
        <f aca="false">MIN($C$3-C240,E239)</f>
        <v>1624.03164192091</v>
      </c>
      <c r="E240" s="49" t="n">
        <f aca="false">E239-D240</f>
        <v>898840.780236043</v>
      </c>
      <c r="F240" s="49" t="n">
        <f aca="false">H239*Annahmen!$B$56/12</f>
        <v>2114.06981162011</v>
      </c>
      <c r="G240" s="49" t="n">
        <f aca="false">MIN($F$3-F240,H239)</f>
        <v>1710.93018837989</v>
      </c>
      <c r="H240" s="49" t="n">
        <f aca="false">H239-G240</f>
        <v>843916.994459665</v>
      </c>
      <c r="I240" s="49" t="n">
        <f aca="false">K239*Annahmen!$B$57/12</f>
        <v>5888.2023549305</v>
      </c>
      <c r="J240" s="49" t="n">
        <f aca="false">MIN($I$3-I240,K239)</f>
        <v>4520.15475332972</v>
      </c>
      <c r="K240" s="49" t="n">
        <f aca="false">K239-J240</f>
        <v>1761940.55172582</v>
      </c>
      <c r="L240" s="49" t="n">
        <f aca="false">C240+F240+I240</f>
        <v>9878.24052462971</v>
      </c>
      <c r="M240" s="49" t="n">
        <f aca="false">D240+G240+J240</f>
        <v>7855.11658363052</v>
      </c>
      <c r="N240" s="49" t="n">
        <f aca="false">L240+M240</f>
        <v>17733.3571082602</v>
      </c>
      <c r="O240" s="49" t="n">
        <f aca="false">E240+H240+K240</f>
        <v>3504698.32642153</v>
      </c>
    </row>
    <row r="241" customFormat="false" ht="15" hidden="false" customHeight="false" outlineLevel="0" collapsed="false">
      <c r="A241" s="48" t="n">
        <v>235</v>
      </c>
      <c r="B241" s="48" t="n">
        <f aca="false">ROUNDUP(A241/12,0)</f>
        <v>20</v>
      </c>
      <c r="C241" s="49" t="n">
        <f aca="false">E240*Annahmen!$B$55/12</f>
        <v>1872.58495882509</v>
      </c>
      <c r="D241" s="49" t="n">
        <f aca="false">MIN($C$3-C241,E240)</f>
        <v>1627.41504117491</v>
      </c>
      <c r="E241" s="49" t="n">
        <f aca="false">E240-D241</f>
        <v>897213.365194869</v>
      </c>
      <c r="F241" s="49" t="n">
        <f aca="false">H240*Annahmen!$B$56/12</f>
        <v>2109.79248614916</v>
      </c>
      <c r="G241" s="49" t="n">
        <f aca="false">MIN($F$3-F241,H240)</f>
        <v>1715.20751385084</v>
      </c>
      <c r="H241" s="49" t="n">
        <f aca="false">H240-G241</f>
        <v>842201.786945814</v>
      </c>
      <c r="I241" s="49" t="n">
        <f aca="false">K240*Annahmen!$B$57/12</f>
        <v>5873.1351724194</v>
      </c>
      <c r="J241" s="49" t="n">
        <f aca="false">MIN($I$3-I241,K240)</f>
        <v>4535.22193584082</v>
      </c>
      <c r="K241" s="49" t="n">
        <f aca="false">K240-J241</f>
        <v>1757405.32978998</v>
      </c>
      <c r="L241" s="49" t="n">
        <f aca="false">C241+F241+I241</f>
        <v>9855.51261739366</v>
      </c>
      <c r="M241" s="49" t="n">
        <f aca="false">D241+G241+J241</f>
        <v>7877.84449086657</v>
      </c>
      <c r="N241" s="49" t="n">
        <f aca="false">L241+M241</f>
        <v>17733.3571082602</v>
      </c>
      <c r="O241" s="49" t="n">
        <f aca="false">E241+H241+K241</f>
        <v>3496820.48193066</v>
      </c>
    </row>
    <row r="242" customFormat="false" ht="15" hidden="false" customHeight="false" outlineLevel="0" collapsed="false">
      <c r="A242" s="48" t="n">
        <v>236</v>
      </c>
      <c r="B242" s="48" t="n">
        <f aca="false">ROUNDUP(A242/12,0)</f>
        <v>20</v>
      </c>
      <c r="C242" s="49" t="n">
        <f aca="false">E241*Annahmen!$B$55/12</f>
        <v>1869.19451082264</v>
      </c>
      <c r="D242" s="49" t="n">
        <f aca="false">MIN($C$3-C242,E241)</f>
        <v>1630.80548917736</v>
      </c>
      <c r="E242" s="49" t="n">
        <f aca="false">E241-D242</f>
        <v>895582.559705691</v>
      </c>
      <c r="F242" s="49" t="n">
        <f aca="false">H241*Annahmen!$B$56/12</f>
        <v>2105.50446736454</v>
      </c>
      <c r="G242" s="49" t="n">
        <f aca="false">MIN($F$3-F242,H241)</f>
        <v>1719.49553263547</v>
      </c>
      <c r="H242" s="49" t="n">
        <f aca="false">H241-G242</f>
        <v>840482.291413179</v>
      </c>
      <c r="I242" s="49" t="n">
        <f aca="false">K241*Annahmen!$B$57/12</f>
        <v>5858.0177659666</v>
      </c>
      <c r="J242" s="49" t="n">
        <f aca="false">MIN($I$3-I242,K241)</f>
        <v>4550.33934229362</v>
      </c>
      <c r="K242" s="49" t="n">
        <f aca="false">K241-J242</f>
        <v>1752854.99044769</v>
      </c>
      <c r="L242" s="49" t="n">
        <f aca="false">C242+F242+I242</f>
        <v>9832.71674415378</v>
      </c>
      <c r="M242" s="49" t="n">
        <f aca="false">D242+G242+J242</f>
        <v>7900.64036410645</v>
      </c>
      <c r="N242" s="49" t="n">
        <f aca="false">L242+M242</f>
        <v>17733.3571082602</v>
      </c>
      <c r="O242" s="49" t="n">
        <f aca="false">E242+H242+K242</f>
        <v>3488919.84156656</v>
      </c>
    </row>
    <row r="243" customFormat="false" ht="15" hidden="false" customHeight="false" outlineLevel="0" collapsed="false">
      <c r="A243" s="48" t="n">
        <v>237</v>
      </c>
      <c r="B243" s="48" t="n">
        <f aca="false">ROUNDUP(A243/12,0)</f>
        <v>20</v>
      </c>
      <c r="C243" s="49" t="n">
        <f aca="false">E242*Annahmen!$B$55/12</f>
        <v>1865.79699938686</v>
      </c>
      <c r="D243" s="49" t="n">
        <f aca="false">MIN($C$3-C243,E242)</f>
        <v>1634.20300061315</v>
      </c>
      <c r="E243" s="49" t="n">
        <f aca="false">E242-D243</f>
        <v>893948.356705078</v>
      </c>
      <c r="F243" s="49" t="n">
        <f aca="false">H242*Annahmen!$B$56/12</f>
        <v>2101.20572853295</v>
      </c>
      <c r="G243" s="49" t="n">
        <f aca="false">MIN($F$3-F243,H242)</f>
        <v>1723.79427146705</v>
      </c>
      <c r="H243" s="49" t="n">
        <f aca="false">H242-G243</f>
        <v>838758.497141712</v>
      </c>
      <c r="I243" s="49" t="n">
        <f aca="false">K242*Annahmen!$B$57/12</f>
        <v>5842.84996815896</v>
      </c>
      <c r="J243" s="49" t="n">
        <f aca="false">MIN($I$3-I243,K242)</f>
        <v>4565.50714010127</v>
      </c>
      <c r="K243" s="49" t="n">
        <f aca="false">K242-J243</f>
        <v>1748289.48330759</v>
      </c>
      <c r="L243" s="49" t="n">
        <f aca="false">C243+F243+I243</f>
        <v>9809.85269607876</v>
      </c>
      <c r="M243" s="49" t="n">
        <f aca="false">D243+G243+J243</f>
        <v>7923.50441218147</v>
      </c>
      <c r="N243" s="49" t="n">
        <f aca="false">L243+M243</f>
        <v>17733.3571082602</v>
      </c>
      <c r="O243" s="49" t="n">
        <f aca="false">E243+H243+K243</f>
        <v>3480996.33715438</v>
      </c>
    </row>
    <row r="244" customFormat="false" ht="15" hidden="false" customHeight="false" outlineLevel="0" collapsed="false">
      <c r="A244" s="48" t="n">
        <v>238</v>
      </c>
      <c r="B244" s="48" t="n">
        <f aca="false">ROUNDUP(A244/12,0)</f>
        <v>20</v>
      </c>
      <c r="C244" s="49" t="n">
        <f aca="false">E243*Annahmen!$B$55/12</f>
        <v>1862.39240980225</v>
      </c>
      <c r="D244" s="49" t="n">
        <f aca="false">MIN($C$3-C244,E243)</f>
        <v>1637.60759019776</v>
      </c>
      <c r="E244" s="49" t="n">
        <f aca="false">E243-D244</f>
        <v>892310.74911488</v>
      </c>
      <c r="F244" s="49" t="n">
        <f aca="false">H243*Annahmen!$B$56/12</f>
        <v>2096.89624285428</v>
      </c>
      <c r="G244" s="49" t="n">
        <f aca="false">MIN($F$3-F244,H243)</f>
        <v>1728.10375714572</v>
      </c>
      <c r="H244" s="49" t="n">
        <f aca="false">H243-G244</f>
        <v>837030.393384566</v>
      </c>
      <c r="I244" s="49" t="n">
        <f aca="false">K243*Annahmen!$B$57/12</f>
        <v>5827.63161102529</v>
      </c>
      <c r="J244" s="49" t="n">
        <f aca="false">MIN($I$3-I244,K243)</f>
        <v>4580.72549723494</v>
      </c>
      <c r="K244" s="49" t="n">
        <f aca="false">K243-J244</f>
        <v>1743708.75781035</v>
      </c>
      <c r="L244" s="49" t="n">
        <f aca="false">C244+F244+I244</f>
        <v>9786.92026368181</v>
      </c>
      <c r="M244" s="49" t="n">
        <f aca="false">D244+G244+J244</f>
        <v>7946.43684457842</v>
      </c>
      <c r="N244" s="49" t="n">
        <f aca="false">L244+M244</f>
        <v>17733.3571082602</v>
      </c>
      <c r="O244" s="49" t="n">
        <f aca="false">E244+H244+K244</f>
        <v>3473049.9003098</v>
      </c>
    </row>
    <row r="245" customFormat="false" ht="15" hidden="false" customHeight="false" outlineLevel="0" collapsed="false">
      <c r="A245" s="48" t="n">
        <v>239</v>
      </c>
      <c r="B245" s="48" t="n">
        <f aca="false">ROUNDUP(A245/12,0)</f>
        <v>20</v>
      </c>
      <c r="C245" s="49" t="n">
        <f aca="false">E244*Annahmen!$B$55/12</f>
        <v>1858.98072732267</v>
      </c>
      <c r="D245" s="49" t="n">
        <f aca="false">MIN($C$3-C245,E244)</f>
        <v>1641.01927267733</v>
      </c>
      <c r="E245" s="49" t="n">
        <f aca="false">E244-D245</f>
        <v>890669.729842203</v>
      </c>
      <c r="F245" s="49" t="n">
        <f aca="false">H244*Annahmen!$B$56/12</f>
        <v>2092.57598346142</v>
      </c>
      <c r="G245" s="49" t="n">
        <f aca="false">MIN($F$3-F245,H244)</f>
        <v>1732.42401653859</v>
      </c>
      <c r="H245" s="49" t="n">
        <f aca="false">H244-G245</f>
        <v>835297.969368027</v>
      </c>
      <c r="I245" s="49" t="n">
        <f aca="false">K244*Annahmen!$B$57/12</f>
        <v>5812.3625260345</v>
      </c>
      <c r="J245" s="49" t="n">
        <f aca="false">MIN($I$3-I245,K244)</f>
        <v>4595.99458222572</v>
      </c>
      <c r="K245" s="49" t="n">
        <f aca="false">K244-J245</f>
        <v>1739112.76322813</v>
      </c>
      <c r="L245" s="49" t="n">
        <f aca="false">C245+F245+I245</f>
        <v>9763.91923681859</v>
      </c>
      <c r="M245" s="49" t="n">
        <f aca="false">D245+G245+J245</f>
        <v>7969.43787144164</v>
      </c>
      <c r="N245" s="49" t="n">
        <f aca="false">L245+M245</f>
        <v>17733.3571082602</v>
      </c>
      <c r="O245" s="49" t="n">
        <f aca="false">E245+H245+K245</f>
        <v>3465080.46243836</v>
      </c>
    </row>
    <row r="246" customFormat="false" ht="15" hidden="false" customHeight="false" outlineLevel="0" collapsed="false">
      <c r="A246" s="48" t="n">
        <v>240</v>
      </c>
      <c r="B246" s="48" t="n">
        <f aca="false">ROUNDUP(A246/12,0)</f>
        <v>20</v>
      </c>
      <c r="C246" s="49" t="n">
        <f aca="false">E245*Annahmen!$B$55/12</f>
        <v>1855.56193717126</v>
      </c>
      <c r="D246" s="49" t="n">
        <f aca="false">MIN($C$3-C246,E245)</f>
        <v>1644.43806282875</v>
      </c>
      <c r="E246" s="49" t="n">
        <f aca="false">E245-D246</f>
        <v>889025.291779374</v>
      </c>
      <c r="F246" s="49" t="n">
        <f aca="false">H245*Annahmen!$B$56/12</f>
        <v>2088.24492342007</v>
      </c>
      <c r="G246" s="49" t="n">
        <f aca="false">MIN($F$3-F246,H245)</f>
        <v>1736.75507657993</v>
      </c>
      <c r="H246" s="49" t="n">
        <f aca="false">H245-G246</f>
        <v>833561.214291447</v>
      </c>
      <c r="I246" s="49" t="n">
        <f aca="false">K245*Annahmen!$B$57/12</f>
        <v>5797.04254409375</v>
      </c>
      <c r="J246" s="49" t="n">
        <f aca="false">MIN($I$3-I246,K245)</f>
        <v>4611.31456416647</v>
      </c>
      <c r="K246" s="49" t="n">
        <f aca="false">K245-J246</f>
        <v>1734501.44866396</v>
      </c>
      <c r="L246" s="49" t="n">
        <f aca="false">C246+F246+I246</f>
        <v>9740.84940468508</v>
      </c>
      <c r="M246" s="49" t="n">
        <f aca="false">D246+G246+J246</f>
        <v>7992.50770357515</v>
      </c>
      <c r="N246" s="49" t="n">
        <f aca="false">L246+M246</f>
        <v>17733.3571082602</v>
      </c>
      <c r="O246" s="49" t="n">
        <f aca="false">E246+H246+K246</f>
        <v>3457087.95473478</v>
      </c>
    </row>
    <row r="247" customFormat="false" ht="15" hidden="false" customHeight="false" outlineLevel="0" collapsed="false">
      <c r="A247" s="48" t="n">
        <v>241</v>
      </c>
      <c r="B247" s="48" t="n">
        <f aca="false">ROUNDUP(A247/12,0)</f>
        <v>21</v>
      </c>
      <c r="C247" s="49" t="n">
        <f aca="false">E246*Annahmen!$B$55/12</f>
        <v>1852.13602454036</v>
      </c>
      <c r="D247" s="49" t="n">
        <f aca="false">MIN($C$3-C247,E246)</f>
        <v>1647.86397545964</v>
      </c>
      <c r="E247" s="49" t="n">
        <f aca="false">E246-D247</f>
        <v>887377.427803915</v>
      </c>
      <c r="F247" s="49" t="n">
        <f aca="false">H246*Annahmen!$B$56/12</f>
        <v>2083.90303572862</v>
      </c>
      <c r="G247" s="49" t="n">
        <f aca="false">MIN($F$3-F247,H246)</f>
        <v>1741.09696427138</v>
      </c>
      <c r="H247" s="49" t="n">
        <f aca="false">H246-G247</f>
        <v>831820.117327176</v>
      </c>
      <c r="I247" s="49" t="n">
        <f aca="false">K246*Annahmen!$B$57/12</f>
        <v>5781.67149554653</v>
      </c>
      <c r="J247" s="49" t="n">
        <f aca="false">MIN($I$3-I247,K246)</f>
        <v>4626.68561271369</v>
      </c>
      <c r="K247" s="49" t="n">
        <f aca="false">K246-J247</f>
        <v>1729874.76305125</v>
      </c>
      <c r="L247" s="49" t="n">
        <f aca="false">C247+F247+I247</f>
        <v>9717.71055581551</v>
      </c>
      <c r="M247" s="49" t="n">
        <f aca="false">D247+G247+J247</f>
        <v>8015.64655244472</v>
      </c>
      <c r="N247" s="49" t="n">
        <f aca="false">L247+M247</f>
        <v>17733.3571082602</v>
      </c>
      <c r="O247" s="49" t="n">
        <f aca="false">E247+H247+K247</f>
        <v>3449072.30818234</v>
      </c>
    </row>
    <row r="248" customFormat="false" ht="15" hidden="false" customHeight="false" outlineLevel="0" collapsed="false">
      <c r="A248" s="48" t="n">
        <v>242</v>
      </c>
      <c r="B248" s="48" t="n">
        <f aca="false">ROUNDUP(A248/12,0)</f>
        <v>21</v>
      </c>
      <c r="C248" s="49" t="n">
        <f aca="false">E247*Annahmen!$B$55/12</f>
        <v>1848.70297459149</v>
      </c>
      <c r="D248" s="49" t="n">
        <f aca="false">MIN($C$3-C248,E247)</f>
        <v>1651.29702540851</v>
      </c>
      <c r="E248" s="49" t="n">
        <f aca="false">E247-D248</f>
        <v>885726.130778506</v>
      </c>
      <c r="F248" s="49" t="n">
        <f aca="false">H247*Annahmen!$B$56/12</f>
        <v>2079.55029331794</v>
      </c>
      <c r="G248" s="49" t="n">
        <f aca="false">MIN($F$3-F248,H247)</f>
        <v>1745.44970668206</v>
      </c>
      <c r="H248" s="49" t="n">
        <f aca="false">H247-G248</f>
        <v>830074.667620494</v>
      </c>
      <c r="I248" s="49" t="n">
        <f aca="false">K247*Annahmen!$B$57/12</f>
        <v>5766.24921017082</v>
      </c>
      <c r="J248" s="49" t="n">
        <f aca="false">MIN($I$3-I248,K247)</f>
        <v>4642.10789808941</v>
      </c>
      <c r="K248" s="49" t="n">
        <f aca="false">K247-J248</f>
        <v>1725232.65515316</v>
      </c>
      <c r="L248" s="49" t="n">
        <f aca="false">C248+F248+I248</f>
        <v>9694.50247808025</v>
      </c>
      <c r="M248" s="49" t="n">
        <f aca="false">D248+G248+J248</f>
        <v>8038.85463017998</v>
      </c>
      <c r="N248" s="49" t="n">
        <f aca="false">L248+M248</f>
        <v>17733.3571082602</v>
      </c>
      <c r="O248" s="49" t="n">
        <f aca="false">E248+H248+K248</f>
        <v>3441033.45355216</v>
      </c>
    </row>
    <row r="249" customFormat="false" ht="15" hidden="false" customHeight="false" outlineLevel="0" collapsed="false">
      <c r="A249" s="48" t="n">
        <v>243</v>
      </c>
      <c r="B249" s="48" t="n">
        <f aca="false">ROUNDUP(A249/12,0)</f>
        <v>21</v>
      </c>
      <c r="C249" s="49" t="n">
        <f aca="false">E248*Annahmen!$B$55/12</f>
        <v>1845.26277245522</v>
      </c>
      <c r="D249" s="49" t="n">
        <f aca="false">MIN($C$3-C249,E248)</f>
        <v>1654.73722754478</v>
      </c>
      <c r="E249" s="49" t="n">
        <f aca="false">E248-D249</f>
        <v>884071.393550961</v>
      </c>
      <c r="F249" s="49" t="n">
        <f aca="false">H248*Annahmen!$B$56/12</f>
        <v>2075.18666905123</v>
      </c>
      <c r="G249" s="49" t="n">
        <f aca="false">MIN($F$3-F249,H248)</f>
        <v>1749.81333094877</v>
      </c>
      <c r="H249" s="49" t="n">
        <f aca="false">H248-G249</f>
        <v>828324.854289545</v>
      </c>
      <c r="I249" s="49" t="n">
        <f aca="false">K248*Annahmen!$B$57/12</f>
        <v>5750.77551717719</v>
      </c>
      <c r="J249" s="49" t="n">
        <f aca="false">MIN($I$3-I249,K248)</f>
        <v>4657.58159108304</v>
      </c>
      <c r="K249" s="49" t="n">
        <f aca="false">K248-J249</f>
        <v>1720575.07356207</v>
      </c>
      <c r="L249" s="49" t="n">
        <f aca="false">C249+F249+I249</f>
        <v>9671.22495868364</v>
      </c>
      <c r="M249" s="49" t="n">
        <f aca="false">D249+G249+J249</f>
        <v>8062.13214957658</v>
      </c>
      <c r="N249" s="49" t="n">
        <f aca="false">L249+M249</f>
        <v>17733.3571082602</v>
      </c>
      <c r="O249" s="49" t="n">
        <f aca="false">E249+H249+K249</f>
        <v>3432971.32140258</v>
      </c>
    </row>
    <row r="250" customFormat="false" ht="15" hidden="false" customHeight="false" outlineLevel="0" collapsed="false">
      <c r="A250" s="48" t="n">
        <v>244</v>
      </c>
      <c r="B250" s="48" t="n">
        <f aca="false">ROUNDUP(A250/12,0)</f>
        <v>21</v>
      </c>
      <c r="C250" s="49" t="n">
        <f aca="false">E249*Annahmen!$B$55/12</f>
        <v>1841.81540323117</v>
      </c>
      <c r="D250" s="49" t="n">
        <f aca="false">MIN($C$3-C250,E249)</f>
        <v>1658.18459676883</v>
      </c>
      <c r="E250" s="49" t="n">
        <f aca="false">E249-D250</f>
        <v>882413.208954193</v>
      </c>
      <c r="F250" s="49" t="n">
        <f aca="false">H249*Annahmen!$B$56/12</f>
        <v>2070.81213572386</v>
      </c>
      <c r="G250" s="49" t="n">
        <f aca="false">MIN($F$3-F250,H249)</f>
        <v>1754.18786427614</v>
      </c>
      <c r="H250" s="49" t="n">
        <f aca="false">H249-G250</f>
        <v>826570.666425269</v>
      </c>
      <c r="I250" s="49" t="n">
        <f aca="false">K249*Annahmen!$B$57/12</f>
        <v>5735.25024520691</v>
      </c>
      <c r="J250" s="49" t="n">
        <f aca="false">MIN($I$3-I250,K249)</f>
        <v>4673.10686305331</v>
      </c>
      <c r="K250" s="49" t="n">
        <f aca="false">K249-J250</f>
        <v>1715901.96669902</v>
      </c>
      <c r="L250" s="49" t="n">
        <f aca="false">C250+F250+I250</f>
        <v>9647.87778416194</v>
      </c>
      <c r="M250" s="49" t="n">
        <f aca="false">D250+G250+J250</f>
        <v>8085.47932409828</v>
      </c>
      <c r="N250" s="49" t="n">
        <f aca="false">L250+M250</f>
        <v>17733.3571082602</v>
      </c>
      <c r="O250" s="49" t="n">
        <f aca="false">E250+H250+K250</f>
        <v>3424885.84207848</v>
      </c>
    </row>
    <row r="251" customFormat="false" ht="15" hidden="false" customHeight="false" outlineLevel="0" collapsed="false">
      <c r="A251" s="48" t="n">
        <v>245</v>
      </c>
      <c r="B251" s="48" t="n">
        <f aca="false">ROUNDUP(A251/12,0)</f>
        <v>21</v>
      </c>
      <c r="C251" s="49" t="n">
        <f aca="false">E250*Annahmen!$B$55/12</f>
        <v>1838.3608519879</v>
      </c>
      <c r="D251" s="49" t="n">
        <f aca="false">MIN($C$3-C251,E250)</f>
        <v>1661.6391480121</v>
      </c>
      <c r="E251" s="49" t="n">
        <f aca="false">E250-D251</f>
        <v>880751.56980618</v>
      </c>
      <c r="F251" s="49" t="n">
        <f aca="false">H250*Annahmen!$B$56/12</f>
        <v>2066.42666606317</v>
      </c>
      <c r="G251" s="49" t="n">
        <f aca="false">MIN($F$3-F251,H250)</f>
        <v>1758.57333393683</v>
      </c>
      <c r="H251" s="49" t="n">
        <f aca="false">H250-G251</f>
        <v>824812.093091332</v>
      </c>
      <c r="I251" s="49" t="n">
        <f aca="false">K250*Annahmen!$B$57/12</f>
        <v>5719.67322233006</v>
      </c>
      <c r="J251" s="49" t="n">
        <f aca="false">MIN($I$3-I251,K250)</f>
        <v>4688.68388593016</v>
      </c>
      <c r="K251" s="49" t="n">
        <f aca="false">K250-J251</f>
        <v>1711213.28281309</v>
      </c>
      <c r="L251" s="49" t="n">
        <f aca="false">C251+F251+I251</f>
        <v>9624.46074038114</v>
      </c>
      <c r="M251" s="49" t="n">
        <f aca="false">D251+G251+J251</f>
        <v>8108.89636787909</v>
      </c>
      <c r="N251" s="49" t="n">
        <f aca="false">L251+M251</f>
        <v>17733.3571082602</v>
      </c>
      <c r="O251" s="49" t="n">
        <f aca="false">E251+H251+K251</f>
        <v>3416776.9457106</v>
      </c>
    </row>
    <row r="252" customFormat="false" ht="15" hidden="false" customHeight="false" outlineLevel="0" collapsed="false">
      <c r="A252" s="48" t="n">
        <v>246</v>
      </c>
      <c r="B252" s="48" t="n">
        <f aca="false">ROUNDUP(A252/12,0)</f>
        <v>21</v>
      </c>
      <c r="C252" s="49" t="n">
        <f aca="false">E251*Annahmen!$B$55/12</f>
        <v>1834.89910376288</v>
      </c>
      <c r="D252" s="49" t="n">
        <f aca="false">MIN($C$3-C252,E251)</f>
        <v>1665.10089623713</v>
      </c>
      <c r="E252" s="49" t="n">
        <f aca="false">E251-D252</f>
        <v>879086.468909943</v>
      </c>
      <c r="F252" s="49" t="n">
        <f aca="false">H251*Annahmen!$B$56/12</f>
        <v>2062.03023272833</v>
      </c>
      <c r="G252" s="49" t="n">
        <f aca="false">MIN($F$3-F252,H251)</f>
        <v>1762.96976727167</v>
      </c>
      <c r="H252" s="49" t="n">
        <f aca="false">H251-G252</f>
        <v>823049.123324061</v>
      </c>
      <c r="I252" s="49" t="n">
        <f aca="false">K251*Annahmen!$B$57/12</f>
        <v>5704.04427604363</v>
      </c>
      <c r="J252" s="49" t="n">
        <f aca="false">MIN($I$3-I252,K251)</f>
        <v>4704.31283221659</v>
      </c>
      <c r="K252" s="49" t="n">
        <f aca="false">K251-J252</f>
        <v>1706508.96998087</v>
      </c>
      <c r="L252" s="49" t="n">
        <f aca="false">C252+F252+I252</f>
        <v>9600.97361253484</v>
      </c>
      <c r="M252" s="49" t="n">
        <f aca="false">D252+G252+J252</f>
        <v>8132.38349572539</v>
      </c>
      <c r="N252" s="49" t="n">
        <f aca="false">L252+M252</f>
        <v>17733.3571082602</v>
      </c>
      <c r="O252" s="49" t="n">
        <f aca="false">E252+H252+K252</f>
        <v>3408644.56221488</v>
      </c>
    </row>
    <row r="253" customFormat="false" ht="15" hidden="false" customHeight="false" outlineLevel="0" collapsed="false">
      <c r="A253" s="48" t="n">
        <v>247</v>
      </c>
      <c r="B253" s="48" t="n">
        <f aca="false">ROUNDUP(A253/12,0)</f>
        <v>21</v>
      </c>
      <c r="C253" s="49" t="n">
        <f aca="false">E252*Annahmen!$B$55/12</f>
        <v>1831.43014356238</v>
      </c>
      <c r="D253" s="49" t="n">
        <f aca="false">MIN($C$3-C253,E252)</f>
        <v>1668.56985643762</v>
      </c>
      <c r="E253" s="49" t="n">
        <f aca="false">E252-D253</f>
        <v>877417.899053506</v>
      </c>
      <c r="F253" s="49" t="n">
        <f aca="false">H252*Annahmen!$B$56/12</f>
        <v>2057.62280831015</v>
      </c>
      <c r="G253" s="49" t="n">
        <f aca="false">MIN($F$3-F253,H252)</f>
        <v>1767.37719168985</v>
      </c>
      <c r="H253" s="49" t="n">
        <f aca="false">H252-G253</f>
        <v>821281.746132371</v>
      </c>
      <c r="I253" s="49" t="n">
        <f aca="false">K252*Annahmen!$B$57/12</f>
        <v>5688.36323326958</v>
      </c>
      <c r="J253" s="49" t="n">
        <f aca="false">MIN($I$3-I253,K252)</f>
        <v>4719.99387499065</v>
      </c>
      <c r="K253" s="49" t="n">
        <f aca="false">K252-J253</f>
        <v>1701788.97610588</v>
      </c>
      <c r="L253" s="49" t="n">
        <f aca="false">C253+F253+I253</f>
        <v>9577.41618514211</v>
      </c>
      <c r="M253" s="49" t="n">
        <f aca="false">D253+G253+J253</f>
        <v>8155.94092311812</v>
      </c>
      <c r="N253" s="49" t="n">
        <f aca="false">L253+M253</f>
        <v>17733.3571082602</v>
      </c>
      <c r="O253" s="49" t="n">
        <f aca="false">E253+H253+K253</f>
        <v>3400488.62129176</v>
      </c>
    </row>
    <row r="254" customFormat="false" ht="15" hidden="false" customHeight="false" outlineLevel="0" collapsed="false">
      <c r="A254" s="48" t="n">
        <v>248</v>
      </c>
      <c r="B254" s="48" t="n">
        <f aca="false">ROUNDUP(A254/12,0)</f>
        <v>21</v>
      </c>
      <c r="C254" s="49" t="n">
        <f aca="false">E253*Annahmen!$B$55/12</f>
        <v>1827.95395636147</v>
      </c>
      <c r="D254" s="49" t="n">
        <f aca="false">MIN($C$3-C254,E253)</f>
        <v>1672.04604363853</v>
      </c>
      <c r="E254" s="49" t="n">
        <f aca="false">E253-D254</f>
        <v>875745.853009867</v>
      </c>
      <c r="F254" s="49" t="n">
        <f aca="false">H253*Annahmen!$B$56/12</f>
        <v>2053.20436533093</v>
      </c>
      <c r="G254" s="49" t="n">
        <f aca="false">MIN($F$3-F254,H253)</f>
        <v>1771.79563466907</v>
      </c>
      <c r="H254" s="49" t="n">
        <f aca="false">H253-G254</f>
        <v>819509.950497702</v>
      </c>
      <c r="I254" s="49" t="n">
        <f aca="false">K253*Annahmen!$B$57/12</f>
        <v>5672.62992035294</v>
      </c>
      <c r="J254" s="49" t="n">
        <f aca="false">MIN($I$3-I254,K253)</f>
        <v>4735.72718790728</v>
      </c>
      <c r="K254" s="49" t="n">
        <f aca="false">K253-J254</f>
        <v>1697053.24891797</v>
      </c>
      <c r="L254" s="49" t="n">
        <f aca="false">C254+F254+I254</f>
        <v>9553.78824204534</v>
      </c>
      <c r="M254" s="49" t="n">
        <f aca="false">D254+G254+J254</f>
        <v>8179.56886621489</v>
      </c>
      <c r="N254" s="49" t="n">
        <f aca="false">L254+M254</f>
        <v>17733.3571082602</v>
      </c>
      <c r="O254" s="49" t="n">
        <f aca="false">E254+H254+K254</f>
        <v>3392309.05242554</v>
      </c>
    </row>
    <row r="255" customFormat="false" ht="15" hidden="false" customHeight="false" outlineLevel="0" collapsed="false">
      <c r="A255" s="48" t="n">
        <v>249</v>
      </c>
      <c r="B255" s="48" t="n">
        <f aca="false">ROUNDUP(A255/12,0)</f>
        <v>21</v>
      </c>
      <c r="C255" s="49" t="n">
        <f aca="false">E254*Annahmen!$B$55/12</f>
        <v>1824.47052710389</v>
      </c>
      <c r="D255" s="49" t="n">
        <f aca="false">MIN($C$3-C255,E254)</f>
        <v>1675.52947289611</v>
      </c>
      <c r="E255" s="49" t="n">
        <f aca="false">E254-D255</f>
        <v>874070.323536971</v>
      </c>
      <c r="F255" s="49" t="n">
        <f aca="false">H254*Annahmen!$B$56/12</f>
        <v>2048.77487624425</v>
      </c>
      <c r="G255" s="49" t="n">
        <f aca="false">MIN($F$3-F255,H254)</f>
        <v>1776.22512375575</v>
      </c>
      <c r="H255" s="49" t="n">
        <f aca="false">H254-G255</f>
        <v>817733.725373946</v>
      </c>
      <c r="I255" s="49" t="n">
        <f aca="false">K254*Annahmen!$B$57/12</f>
        <v>5656.84416305992</v>
      </c>
      <c r="J255" s="49" t="n">
        <f aca="false">MIN($I$3-I255,K254)</f>
        <v>4751.51294520031</v>
      </c>
      <c r="K255" s="49" t="n">
        <f aca="false">K254-J255</f>
        <v>1692301.73597277</v>
      </c>
      <c r="L255" s="49" t="n">
        <f aca="false">C255+F255+I255</f>
        <v>9530.08956640806</v>
      </c>
      <c r="M255" s="49" t="n">
        <f aca="false">D255+G255+J255</f>
        <v>8203.26754185217</v>
      </c>
      <c r="N255" s="49" t="n">
        <f aca="false">L255+M255</f>
        <v>17733.3571082602</v>
      </c>
      <c r="O255" s="49" t="n">
        <f aca="false">E255+H255+K255</f>
        <v>3384105.78488369</v>
      </c>
    </row>
    <row r="256" customFormat="false" ht="15" hidden="false" customHeight="false" outlineLevel="0" collapsed="false">
      <c r="A256" s="48" t="n">
        <v>250</v>
      </c>
      <c r="B256" s="48" t="n">
        <f aca="false">ROUNDUP(A256/12,0)</f>
        <v>21</v>
      </c>
      <c r="C256" s="49" t="n">
        <f aca="false">E255*Annahmen!$B$55/12</f>
        <v>1820.97984070202</v>
      </c>
      <c r="D256" s="49" t="n">
        <f aca="false">MIN($C$3-C256,E255)</f>
        <v>1679.02015929798</v>
      </c>
      <c r="E256" s="49" t="n">
        <f aca="false">E255-D256</f>
        <v>872391.303377673</v>
      </c>
      <c r="F256" s="49" t="n">
        <f aca="false">H255*Annahmen!$B$56/12</f>
        <v>2044.33431343487</v>
      </c>
      <c r="G256" s="49" t="n">
        <f aca="false">MIN($F$3-F256,H255)</f>
        <v>1780.66568656514</v>
      </c>
      <c r="H256" s="49" t="n">
        <f aca="false">H255-G256</f>
        <v>815953.059687381</v>
      </c>
      <c r="I256" s="49" t="n">
        <f aca="false">K255*Annahmen!$B$57/12</f>
        <v>5641.00578657592</v>
      </c>
      <c r="J256" s="49" t="n">
        <f aca="false">MIN($I$3-I256,K255)</f>
        <v>4767.35132168431</v>
      </c>
      <c r="K256" s="49" t="n">
        <f aca="false">K255-J256</f>
        <v>1687534.38465109</v>
      </c>
      <c r="L256" s="49" t="n">
        <f aca="false">C256+F256+I256</f>
        <v>9506.3199407128</v>
      </c>
      <c r="M256" s="49" t="n">
        <f aca="false">D256+G256+J256</f>
        <v>8227.03716754742</v>
      </c>
      <c r="N256" s="49" t="n">
        <f aca="false">L256+M256</f>
        <v>17733.3571082602</v>
      </c>
      <c r="O256" s="49" t="n">
        <f aca="false">E256+H256+K256</f>
        <v>3375878.74771614</v>
      </c>
    </row>
    <row r="257" customFormat="false" ht="15" hidden="false" customHeight="false" outlineLevel="0" collapsed="false">
      <c r="A257" s="48" t="n">
        <v>251</v>
      </c>
      <c r="B257" s="48" t="n">
        <f aca="false">ROUNDUP(A257/12,0)</f>
        <v>21</v>
      </c>
      <c r="C257" s="49" t="n">
        <f aca="false">E256*Annahmen!$B$55/12</f>
        <v>1817.48188203682</v>
      </c>
      <c r="D257" s="49" t="n">
        <f aca="false">MIN($C$3-C257,E256)</f>
        <v>1682.51811796318</v>
      </c>
      <c r="E257" s="49" t="n">
        <f aca="false">E256-D257</f>
        <v>870708.78525971</v>
      </c>
      <c r="F257" s="49" t="n">
        <f aca="false">H256*Annahmen!$B$56/12</f>
        <v>2039.88264921845</v>
      </c>
      <c r="G257" s="49" t="n">
        <f aca="false">MIN($F$3-F257,H256)</f>
        <v>1785.11735078155</v>
      </c>
      <c r="H257" s="49" t="n">
        <f aca="false">H256-G257</f>
        <v>814167.942336599</v>
      </c>
      <c r="I257" s="49" t="n">
        <f aca="false">K256*Annahmen!$B$57/12</f>
        <v>5625.11461550363</v>
      </c>
      <c r="J257" s="49" t="n">
        <f aca="false">MIN($I$3-I257,K256)</f>
        <v>4783.24249275659</v>
      </c>
      <c r="K257" s="49" t="n">
        <f aca="false">K256-J257</f>
        <v>1682751.14215833</v>
      </c>
      <c r="L257" s="49" t="n">
        <f aca="false">C257+F257+I257</f>
        <v>9482.47914675891</v>
      </c>
      <c r="M257" s="49" t="n">
        <f aca="false">D257+G257+J257</f>
        <v>8250.87796150132</v>
      </c>
      <c r="N257" s="49" t="n">
        <f aca="false">L257+M257</f>
        <v>17733.3571082602</v>
      </c>
      <c r="O257" s="49" t="n">
        <f aca="false">E257+H257+K257</f>
        <v>3367627.86975464</v>
      </c>
    </row>
    <row r="258" customFormat="false" ht="15" hidden="false" customHeight="false" outlineLevel="0" collapsed="false">
      <c r="A258" s="48" t="n">
        <v>252</v>
      </c>
      <c r="B258" s="48" t="n">
        <f aca="false">ROUNDUP(A258/12,0)</f>
        <v>21</v>
      </c>
      <c r="C258" s="49" t="n">
        <f aca="false">E257*Annahmen!$B$55/12</f>
        <v>1813.97663595773</v>
      </c>
      <c r="D258" s="49" t="n">
        <f aca="false">MIN($C$3-C258,E257)</f>
        <v>1686.02336404227</v>
      </c>
      <c r="E258" s="49" t="n">
        <f aca="false">E257-D258</f>
        <v>869022.761895668</v>
      </c>
      <c r="F258" s="49" t="n">
        <f aca="false">H257*Annahmen!$B$56/12</f>
        <v>2035.4198558415</v>
      </c>
      <c r="G258" s="49" t="n">
        <f aca="false">MIN($F$3-F258,H257)</f>
        <v>1789.5801441585</v>
      </c>
      <c r="H258" s="49" t="n">
        <f aca="false">H257-G258</f>
        <v>812378.362192441</v>
      </c>
      <c r="I258" s="49" t="n">
        <f aca="false">K257*Annahmen!$B$57/12</f>
        <v>5609.17047386111</v>
      </c>
      <c r="J258" s="49" t="n">
        <f aca="false">MIN($I$3-I258,K257)</f>
        <v>4799.18663439911</v>
      </c>
      <c r="K258" s="49" t="n">
        <f aca="false">K257-J258</f>
        <v>1677951.95552393</v>
      </c>
      <c r="L258" s="49" t="n">
        <f aca="false">C258+F258+I258</f>
        <v>9458.56696566034</v>
      </c>
      <c r="M258" s="49" t="n">
        <f aca="false">D258+G258+J258</f>
        <v>8274.79014259989</v>
      </c>
      <c r="N258" s="49" t="n">
        <f aca="false">L258+M258</f>
        <v>17733.3571082602</v>
      </c>
      <c r="O258" s="49" t="n">
        <f aca="false">E258+H258+K258</f>
        <v>3359353.07961204</v>
      </c>
    </row>
    <row r="259" customFormat="false" ht="15" hidden="false" customHeight="false" outlineLevel="0" collapsed="false">
      <c r="A259" s="48" t="n">
        <v>253</v>
      </c>
      <c r="B259" s="48" t="n">
        <f aca="false">ROUNDUP(A259/12,0)</f>
        <v>22</v>
      </c>
      <c r="C259" s="49" t="n">
        <f aca="false">E258*Annahmen!$B$55/12</f>
        <v>1810.46408728264</v>
      </c>
      <c r="D259" s="49" t="n">
        <f aca="false">MIN($C$3-C259,E258)</f>
        <v>1689.53591271736</v>
      </c>
      <c r="E259" s="49" t="n">
        <f aca="false">E258-D259</f>
        <v>867333.22598295</v>
      </c>
      <c r="F259" s="49" t="n">
        <f aca="false">H258*Annahmen!$B$56/12</f>
        <v>2030.9459054811</v>
      </c>
      <c r="G259" s="49" t="n">
        <f aca="false">MIN($F$3-F259,H258)</f>
        <v>1794.0540945189</v>
      </c>
      <c r="H259" s="49" t="n">
        <f aca="false">H258-G259</f>
        <v>810584.308097922</v>
      </c>
      <c r="I259" s="49" t="n">
        <f aca="false">K258*Annahmen!$B$57/12</f>
        <v>5593.17318507978</v>
      </c>
      <c r="J259" s="49" t="n">
        <f aca="false">MIN($I$3-I259,K258)</f>
        <v>4815.18392318044</v>
      </c>
      <c r="K259" s="49" t="n">
        <f aca="false">K258-J259</f>
        <v>1673136.77160075</v>
      </c>
      <c r="L259" s="49" t="n">
        <f aca="false">C259+F259+I259</f>
        <v>9434.58317784353</v>
      </c>
      <c r="M259" s="49" t="n">
        <f aca="false">D259+G259+J259</f>
        <v>8298.7739304167</v>
      </c>
      <c r="N259" s="49" t="n">
        <f aca="false">L259+M259</f>
        <v>17733.3571082602</v>
      </c>
      <c r="O259" s="49" t="n">
        <f aca="false">E259+H259+K259</f>
        <v>3351054.30568163</v>
      </c>
    </row>
    <row r="260" customFormat="false" ht="15" hidden="false" customHeight="false" outlineLevel="0" collapsed="false">
      <c r="A260" s="48" t="n">
        <v>254</v>
      </c>
      <c r="B260" s="48" t="n">
        <f aca="false">ROUNDUP(A260/12,0)</f>
        <v>22</v>
      </c>
      <c r="C260" s="49" t="n">
        <f aca="false">E259*Annahmen!$B$55/12</f>
        <v>1806.94422079781</v>
      </c>
      <c r="D260" s="49" t="n">
        <f aca="false">MIN($C$3-C260,E259)</f>
        <v>1693.05577920219</v>
      </c>
      <c r="E260" s="49" t="n">
        <f aca="false">E259-D260</f>
        <v>865640.170203748</v>
      </c>
      <c r="F260" s="49" t="n">
        <f aca="false">H259*Annahmen!$B$56/12</f>
        <v>2026.46077024481</v>
      </c>
      <c r="G260" s="49" t="n">
        <f aca="false">MIN($F$3-F260,H259)</f>
        <v>1798.5392297552</v>
      </c>
      <c r="H260" s="49" t="n">
        <f aca="false">H259-G260</f>
        <v>808785.768868167</v>
      </c>
      <c r="I260" s="49" t="n">
        <f aca="false">K259*Annahmen!$B$57/12</f>
        <v>5577.12257200251</v>
      </c>
      <c r="J260" s="49" t="n">
        <f aca="false">MIN($I$3-I260,K259)</f>
        <v>4831.23453625771</v>
      </c>
      <c r="K260" s="49" t="n">
        <f aca="false">K259-J260</f>
        <v>1668305.5370645</v>
      </c>
      <c r="L260" s="49" t="n">
        <f aca="false">C260+F260+I260</f>
        <v>9410.52756304513</v>
      </c>
      <c r="M260" s="49" t="n">
        <f aca="false">D260+G260+J260</f>
        <v>8322.82954521509</v>
      </c>
      <c r="N260" s="49" t="n">
        <f aca="false">L260+M260</f>
        <v>17733.3571082602</v>
      </c>
      <c r="O260" s="49" t="n">
        <f aca="false">E260+H260+K260</f>
        <v>3342731.47613641</v>
      </c>
    </row>
    <row r="261" customFormat="false" ht="15" hidden="false" customHeight="false" outlineLevel="0" collapsed="false">
      <c r="A261" s="48" t="n">
        <v>255</v>
      </c>
      <c r="B261" s="48" t="n">
        <f aca="false">ROUNDUP(A261/12,0)</f>
        <v>22</v>
      </c>
      <c r="C261" s="49" t="n">
        <f aca="false">E260*Annahmen!$B$55/12</f>
        <v>1803.41702125781</v>
      </c>
      <c r="D261" s="49" t="n">
        <f aca="false">MIN($C$3-C261,E260)</f>
        <v>1696.58297874219</v>
      </c>
      <c r="E261" s="49" t="n">
        <f aca="false">E260-D261</f>
        <v>863943.587225006</v>
      </c>
      <c r="F261" s="49" t="n">
        <f aca="false">H260*Annahmen!$B$56/12</f>
        <v>2021.96442217042</v>
      </c>
      <c r="G261" s="49" t="n">
        <f aca="false">MIN($F$3-F261,H260)</f>
        <v>1803.03557782958</v>
      </c>
      <c r="H261" s="49" t="n">
        <f aca="false">H260-G261</f>
        <v>806982.733290337</v>
      </c>
      <c r="I261" s="49" t="n">
        <f aca="false">K260*Annahmen!$B$57/12</f>
        <v>5561.01845688166</v>
      </c>
      <c r="J261" s="49" t="n">
        <f aca="false">MIN($I$3-I261,K260)</f>
        <v>4847.33865137857</v>
      </c>
      <c r="K261" s="49" t="n">
        <f aca="false">K260-J261</f>
        <v>1663458.19841312</v>
      </c>
      <c r="L261" s="49" t="n">
        <f aca="false">C261+F261+I261</f>
        <v>9386.39990030988</v>
      </c>
      <c r="M261" s="49" t="n">
        <f aca="false">D261+G261+J261</f>
        <v>8346.95720795035</v>
      </c>
      <c r="N261" s="49" t="n">
        <f aca="false">L261+M261</f>
        <v>17733.3571082602</v>
      </c>
      <c r="O261" s="49" t="n">
        <f aca="false">E261+H261+K261</f>
        <v>3334384.51892846</v>
      </c>
    </row>
    <row r="262" customFormat="false" ht="15" hidden="false" customHeight="false" outlineLevel="0" collapsed="false">
      <c r="A262" s="48" t="n">
        <v>256</v>
      </c>
      <c r="B262" s="48" t="n">
        <f aca="false">ROUNDUP(A262/12,0)</f>
        <v>22</v>
      </c>
      <c r="C262" s="49" t="n">
        <f aca="false">E261*Annahmen!$B$55/12</f>
        <v>1799.88247338543</v>
      </c>
      <c r="D262" s="49" t="n">
        <f aca="false">MIN($C$3-C262,E261)</f>
        <v>1700.11752661457</v>
      </c>
      <c r="E262" s="49" t="n">
        <f aca="false">E261-D262</f>
        <v>862243.469698391</v>
      </c>
      <c r="F262" s="49" t="n">
        <f aca="false">H261*Annahmen!$B$56/12</f>
        <v>2017.45683322584</v>
      </c>
      <c r="G262" s="49" t="n">
        <f aca="false">MIN($F$3-F262,H261)</f>
        <v>1807.54316677416</v>
      </c>
      <c r="H262" s="49" t="n">
        <f aca="false">H261-G262</f>
        <v>805175.190123563</v>
      </c>
      <c r="I262" s="49" t="n">
        <f aca="false">K261*Annahmen!$B$57/12</f>
        <v>5544.86066137706</v>
      </c>
      <c r="J262" s="49" t="n">
        <f aca="false">MIN($I$3-I262,K261)</f>
        <v>4863.49644688316</v>
      </c>
      <c r="K262" s="49" t="n">
        <f aca="false">K261-J262</f>
        <v>1658594.70196623</v>
      </c>
      <c r="L262" s="49" t="n">
        <f aca="false">C262+F262+I262</f>
        <v>9362.19996798833</v>
      </c>
      <c r="M262" s="49" t="n">
        <f aca="false">D262+G262+J262</f>
        <v>8371.15714027189</v>
      </c>
      <c r="N262" s="49" t="n">
        <f aca="false">L262+M262</f>
        <v>17733.3571082602</v>
      </c>
      <c r="O262" s="49" t="n">
        <f aca="false">E262+H262+K262</f>
        <v>3326013.36178819</v>
      </c>
    </row>
    <row r="263" customFormat="false" ht="15" hidden="false" customHeight="false" outlineLevel="0" collapsed="false">
      <c r="A263" s="48" t="n">
        <v>257</v>
      </c>
      <c r="B263" s="48" t="n">
        <f aca="false">ROUNDUP(A263/12,0)</f>
        <v>22</v>
      </c>
      <c r="C263" s="49" t="n">
        <f aca="false">E262*Annahmen!$B$55/12</f>
        <v>1796.34056187165</v>
      </c>
      <c r="D263" s="49" t="n">
        <f aca="false">MIN($C$3-C263,E262)</f>
        <v>1703.65943812835</v>
      </c>
      <c r="E263" s="49" t="n">
        <f aca="false">E262-D263</f>
        <v>860539.810260263</v>
      </c>
      <c r="F263" s="49" t="n">
        <f aca="false">H262*Annahmen!$B$56/12</f>
        <v>2012.93797530891</v>
      </c>
      <c r="G263" s="49" t="n">
        <f aca="false">MIN($F$3-F263,H262)</f>
        <v>1812.06202469109</v>
      </c>
      <c r="H263" s="49" t="n">
        <f aca="false">H262-G263</f>
        <v>803363.128098872</v>
      </c>
      <c r="I263" s="49" t="n">
        <f aca="false">K262*Annahmen!$B$57/12</f>
        <v>5528.64900655412</v>
      </c>
      <c r="J263" s="49" t="n">
        <f aca="false">MIN($I$3-I263,K262)</f>
        <v>4879.70810170611</v>
      </c>
      <c r="K263" s="49" t="n">
        <f aca="false">K262-J263</f>
        <v>1653714.99386453</v>
      </c>
      <c r="L263" s="49" t="n">
        <f aca="false">C263+F263+I263</f>
        <v>9337.92754373467</v>
      </c>
      <c r="M263" s="49" t="n">
        <f aca="false">D263+G263+J263</f>
        <v>8395.42956452555</v>
      </c>
      <c r="N263" s="49" t="n">
        <f aca="false">L263+M263</f>
        <v>17733.3571082602</v>
      </c>
      <c r="O263" s="49" t="n">
        <f aca="false">E263+H263+K263</f>
        <v>3317617.93222366</v>
      </c>
    </row>
    <row r="264" customFormat="false" ht="15" hidden="false" customHeight="false" outlineLevel="0" collapsed="false">
      <c r="A264" s="48" t="n">
        <v>258</v>
      </c>
      <c r="B264" s="48" t="n">
        <f aca="false">ROUNDUP(A264/12,0)</f>
        <v>22</v>
      </c>
      <c r="C264" s="49" t="n">
        <f aca="false">E263*Annahmen!$B$55/12</f>
        <v>1792.79127137555</v>
      </c>
      <c r="D264" s="49" t="n">
        <f aca="false">MIN($C$3-C264,E263)</f>
        <v>1707.20872862445</v>
      </c>
      <c r="E264" s="49" t="n">
        <f aca="false">E263-D264</f>
        <v>858832.601531639</v>
      </c>
      <c r="F264" s="49" t="n">
        <f aca="false">H263*Annahmen!$B$56/12</f>
        <v>2008.40782024718</v>
      </c>
      <c r="G264" s="49" t="n">
        <f aca="false">MIN($F$3-F264,H263)</f>
        <v>1816.59217975282</v>
      </c>
      <c r="H264" s="49" t="n">
        <f aca="false">H263-G264</f>
        <v>801546.535919119</v>
      </c>
      <c r="I264" s="49" t="n">
        <f aca="false">K263*Annahmen!$B$57/12</f>
        <v>5512.38331288176</v>
      </c>
      <c r="J264" s="49" t="n">
        <f aca="false">MIN($I$3-I264,K263)</f>
        <v>4895.97379537846</v>
      </c>
      <c r="K264" s="49" t="n">
        <f aca="false">K263-J264</f>
        <v>1648819.02006915</v>
      </c>
      <c r="L264" s="49" t="n">
        <f aca="false">C264+F264+I264</f>
        <v>9313.58240450449</v>
      </c>
      <c r="M264" s="49" t="n">
        <f aca="false">D264+G264+J264</f>
        <v>8419.77470375574</v>
      </c>
      <c r="N264" s="49" t="n">
        <f aca="false">L264+M264</f>
        <v>17733.3571082602</v>
      </c>
      <c r="O264" s="49" t="n">
        <f aca="false">E264+H264+K264</f>
        <v>3309198.15751991</v>
      </c>
    </row>
    <row r="265" customFormat="false" ht="15" hidden="false" customHeight="false" outlineLevel="0" collapsed="false">
      <c r="A265" s="48" t="n">
        <v>259</v>
      </c>
      <c r="B265" s="48" t="n">
        <f aca="false">ROUNDUP(A265/12,0)</f>
        <v>22</v>
      </c>
      <c r="C265" s="49" t="n">
        <f aca="false">E264*Annahmen!$B$55/12</f>
        <v>1789.23458652425</v>
      </c>
      <c r="D265" s="49" t="n">
        <f aca="false">MIN($C$3-C265,E264)</f>
        <v>1710.76541347575</v>
      </c>
      <c r="E265" s="49" t="n">
        <f aca="false">E264-D265</f>
        <v>857121.836118163</v>
      </c>
      <c r="F265" s="49" t="n">
        <f aca="false">H264*Annahmen!$B$56/12</f>
        <v>2003.8663397978</v>
      </c>
      <c r="G265" s="49" t="n">
        <f aca="false">MIN($F$3-F265,H264)</f>
        <v>1821.1336602022</v>
      </c>
      <c r="H265" s="49" t="n">
        <f aca="false">H264-G265</f>
        <v>799725.402258917</v>
      </c>
      <c r="I265" s="49" t="n">
        <f aca="false">K264*Annahmen!$B$57/12</f>
        <v>5496.0634002305</v>
      </c>
      <c r="J265" s="49" t="n">
        <f aca="false">MIN($I$3-I265,K264)</f>
        <v>4912.29370802972</v>
      </c>
      <c r="K265" s="49" t="n">
        <f aca="false">K264-J265</f>
        <v>1643906.72636112</v>
      </c>
      <c r="L265" s="49" t="n">
        <f aca="false">C265+F265+I265</f>
        <v>9289.16432655255</v>
      </c>
      <c r="M265" s="49" t="n">
        <f aca="false">D265+G265+J265</f>
        <v>8444.19278170768</v>
      </c>
      <c r="N265" s="49" t="n">
        <f aca="false">L265+M265</f>
        <v>17733.3571082602</v>
      </c>
      <c r="O265" s="49" t="n">
        <f aca="false">E265+H265+K265</f>
        <v>3300753.9647382</v>
      </c>
    </row>
    <row r="266" customFormat="false" ht="15" hidden="false" customHeight="false" outlineLevel="0" collapsed="false">
      <c r="A266" s="48" t="n">
        <v>260</v>
      </c>
      <c r="B266" s="48" t="n">
        <f aca="false">ROUNDUP(A266/12,0)</f>
        <v>22</v>
      </c>
      <c r="C266" s="49" t="n">
        <f aca="false">E265*Annahmen!$B$55/12</f>
        <v>1785.67049191284</v>
      </c>
      <c r="D266" s="49" t="n">
        <f aca="false">MIN($C$3-C266,E265)</f>
        <v>1714.32950808716</v>
      </c>
      <c r="E266" s="49" t="n">
        <f aca="false">E265-D266</f>
        <v>855407.506610076</v>
      </c>
      <c r="F266" s="49" t="n">
        <f aca="false">H265*Annahmen!$B$56/12</f>
        <v>1999.31350564729</v>
      </c>
      <c r="G266" s="49" t="n">
        <f aca="false">MIN($F$3-F266,H265)</f>
        <v>1825.68649435271</v>
      </c>
      <c r="H266" s="49" t="n">
        <f aca="false">H265-G266</f>
        <v>797899.715764564</v>
      </c>
      <c r="I266" s="49" t="n">
        <f aca="false">K265*Annahmen!$B$57/12</f>
        <v>5479.6890878704</v>
      </c>
      <c r="J266" s="49" t="n">
        <f aca="false">MIN($I$3-I266,K265)</f>
        <v>4928.66802038982</v>
      </c>
      <c r="K266" s="49" t="n">
        <f aca="false">K265-J266</f>
        <v>1638978.05834073</v>
      </c>
      <c r="L266" s="49" t="n">
        <f aca="false">C266+F266+I266</f>
        <v>9264.67308543053</v>
      </c>
      <c r="M266" s="49" t="n">
        <f aca="false">D266+G266+J266</f>
        <v>8468.68402282969</v>
      </c>
      <c r="N266" s="49" t="n">
        <f aca="false">L266+M266</f>
        <v>17733.3571082602</v>
      </c>
      <c r="O266" s="49" t="n">
        <f aca="false">E266+H266+K266</f>
        <v>3292285.28071537</v>
      </c>
    </row>
    <row r="267" customFormat="false" ht="15" hidden="false" customHeight="false" outlineLevel="0" collapsed="false">
      <c r="A267" s="48" t="n">
        <v>261</v>
      </c>
      <c r="B267" s="48" t="n">
        <f aca="false">ROUNDUP(A267/12,0)</f>
        <v>22</v>
      </c>
      <c r="C267" s="49" t="n">
        <f aca="false">E266*Annahmen!$B$55/12</f>
        <v>1782.09897210432</v>
      </c>
      <c r="D267" s="49" t="n">
        <f aca="false">MIN($C$3-C267,E266)</f>
        <v>1717.90102789568</v>
      </c>
      <c r="E267" s="49" t="n">
        <f aca="false">E266-D267</f>
        <v>853689.60558218</v>
      </c>
      <c r="F267" s="49" t="n">
        <f aca="false">H266*Annahmen!$B$56/12</f>
        <v>1994.74928941141</v>
      </c>
      <c r="G267" s="49" t="n">
        <f aca="false">MIN($F$3-F267,H266)</f>
        <v>1830.25071058859</v>
      </c>
      <c r="H267" s="49" t="n">
        <f aca="false">H266-G267</f>
        <v>796069.465053976</v>
      </c>
      <c r="I267" s="49" t="n">
        <f aca="false">K266*Annahmen!$B$57/12</f>
        <v>5463.2601944691</v>
      </c>
      <c r="J267" s="49" t="n">
        <f aca="false">MIN($I$3-I267,K266)</f>
        <v>4945.09691379112</v>
      </c>
      <c r="K267" s="49" t="n">
        <f aca="false">K266-J267</f>
        <v>1634032.96142694</v>
      </c>
      <c r="L267" s="49" t="n">
        <f aca="false">C267+F267+I267</f>
        <v>9240.10845598484</v>
      </c>
      <c r="M267" s="49" t="n">
        <f aca="false">D267+G267+J267</f>
        <v>8493.24865227539</v>
      </c>
      <c r="N267" s="49" t="n">
        <f aca="false">L267+M267</f>
        <v>17733.3571082602</v>
      </c>
      <c r="O267" s="49" t="n">
        <f aca="false">E267+H267+K267</f>
        <v>3283792.0320631</v>
      </c>
    </row>
    <row r="268" customFormat="false" ht="15" hidden="false" customHeight="false" outlineLevel="0" collapsed="false">
      <c r="A268" s="48" t="n">
        <v>262</v>
      </c>
      <c r="B268" s="48" t="n">
        <f aca="false">ROUNDUP(A268/12,0)</f>
        <v>22</v>
      </c>
      <c r="C268" s="49" t="n">
        <f aca="false">E267*Annahmen!$B$55/12</f>
        <v>1778.52001162954</v>
      </c>
      <c r="D268" s="49" t="n">
        <f aca="false">MIN($C$3-C268,E267)</f>
        <v>1721.47998837046</v>
      </c>
      <c r="E268" s="49" t="n">
        <f aca="false">E267-D268</f>
        <v>851968.12559381</v>
      </c>
      <c r="F268" s="49" t="n">
        <f aca="false">H267*Annahmen!$B$56/12</f>
        <v>1990.17366263494</v>
      </c>
      <c r="G268" s="49" t="n">
        <f aca="false">MIN($F$3-F268,H267)</f>
        <v>1834.82633736506</v>
      </c>
      <c r="H268" s="49" t="n">
        <f aca="false">H267-G268</f>
        <v>794234.638716611</v>
      </c>
      <c r="I268" s="49" t="n">
        <f aca="false">K267*Annahmen!$B$57/12</f>
        <v>5446.7765380898</v>
      </c>
      <c r="J268" s="49" t="n">
        <f aca="false">MIN($I$3-I268,K267)</f>
        <v>4961.58057017042</v>
      </c>
      <c r="K268" s="49" t="n">
        <f aca="false">K267-J268</f>
        <v>1629071.38085677</v>
      </c>
      <c r="L268" s="49" t="n">
        <f aca="false">C268+F268+I268</f>
        <v>9215.47021235428</v>
      </c>
      <c r="M268" s="49" t="n">
        <f aca="false">D268+G268+J268</f>
        <v>8517.88689590595</v>
      </c>
      <c r="N268" s="49" t="n">
        <f aca="false">L268+M268</f>
        <v>17733.3571082602</v>
      </c>
      <c r="O268" s="49" t="n">
        <f aca="false">E268+H268+K268</f>
        <v>3275274.14516719</v>
      </c>
    </row>
    <row r="269" customFormat="false" ht="15" hidden="false" customHeight="false" outlineLevel="0" collapsed="false">
      <c r="A269" s="48" t="n">
        <v>263</v>
      </c>
      <c r="B269" s="48" t="n">
        <f aca="false">ROUNDUP(A269/12,0)</f>
        <v>22</v>
      </c>
      <c r="C269" s="49" t="n">
        <f aca="false">E268*Annahmen!$B$55/12</f>
        <v>1774.9335949871</v>
      </c>
      <c r="D269" s="49" t="n">
        <f aca="false">MIN($C$3-C269,E268)</f>
        <v>1725.0664050129</v>
      </c>
      <c r="E269" s="49" t="n">
        <f aca="false">E268-D269</f>
        <v>850243.059188797</v>
      </c>
      <c r="F269" s="49" t="n">
        <f aca="false">H268*Annahmen!$B$56/12</f>
        <v>1985.58659679153</v>
      </c>
      <c r="G269" s="49" t="n">
        <f aca="false">MIN($F$3-F269,H268)</f>
        <v>1839.41340320847</v>
      </c>
      <c r="H269" s="49" t="n">
        <f aca="false">H268-G269</f>
        <v>792395.225313402</v>
      </c>
      <c r="I269" s="49" t="n">
        <f aca="false">K268*Annahmen!$B$57/12</f>
        <v>5430.23793618923</v>
      </c>
      <c r="J269" s="49" t="n">
        <f aca="false">MIN($I$3-I269,K268)</f>
        <v>4978.11917207099</v>
      </c>
      <c r="K269" s="49" t="n">
        <f aca="false">K268-J269</f>
        <v>1624093.2616847</v>
      </c>
      <c r="L269" s="49" t="n">
        <f aca="false">C269+F269+I269</f>
        <v>9190.75812796786</v>
      </c>
      <c r="M269" s="49" t="n">
        <f aca="false">D269+G269+J269</f>
        <v>8542.59898029237</v>
      </c>
      <c r="N269" s="49" t="n">
        <f aca="false">L269+M269</f>
        <v>17733.3571082602</v>
      </c>
      <c r="O269" s="49" t="n">
        <f aca="false">E269+H269+K269</f>
        <v>3266731.5461869</v>
      </c>
    </row>
    <row r="270" customFormat="false" ht="15" hidden="false" customHeight="false" outlineLevel="0" collapsed="false">
      <c r="A270" s="48" t="n">
        <v>264</v>
      </c>
      <c r="B270" s="48" t="n">
        <f aca="false">ROUNDUP(A270/12,0)</f>
        <v>22</v>
      </c>
      <c r="C270" s="49" t="n">
        <f aca="false">E269*Annahmen!$B$55/12</f>
        <v>1771.33970664333</v>
      </c>
      <c r="D270" s="49" t="n">
        <f aca="false">MIN($C$3-C270,E269)</f>
        <v>1728.66029335668</v>
      </c>
      <c r="E270" s="49" t="n">
        <f aca="false">E269-D270</f>
        <v>848514.39889544</v>
      </c>
      <c r="F270" s="49" t="n">
        <f aca="false">H269*Annahmen!$B$56/12</f>
        <v>1980.98806328351</v>
      </c>
      <c r="G270" s="49" t="n">
        <f aca="false">MIN($F$3-F270,H269)</f>
        <v>1844.0119367165</v>
      </c>
      <c r="H270" s="49" t="n">
        <f aca="false">H269-G270</f>
        <v>790551.213376686</v>
      </c>
      <c r="I270" s="49" t="n">
        <f aca="false">K269*Annahmen!$B$57/12</f>
        <v>5413.64420561566</v>
      </c>
      <c r="J270" s="49" t="n">
        <f aca="false">MIN($I$3-I270,K269)</f>
        <v>4994.71290264456</v>
      </c>
      <c r="K270" s="49" t="n">
        <f aca="false">K269-J270</f>
        <v>1619098.54878205</v>
      </c>
      <c r="L270" s="49" t="n">
        <f aca="false">C270+F270+I270</f>
        <v>9165.97197554249</v>
      </c>
      <c r="M270" s="49" t="n">
        <f aca="false">D270+G270+J270</f>
        <v>8567.38513271773</v>
      </c>
      <c r="N270" s="49" t="n">
        <f aca="false">L270+M270</f>
        <v>17733.3571082602</v>
      </c>
      <c r="O270" s="49" t="n">
        <f aca="false">E270+H270+K270</f>
        <v>3258164.16105418</v>
      </c>
    </row>
    <row r="271" customFormat="false" ht="15" hidden="false" customHeight="false" outlineLevel="0" collapsed="false">
      <c r="A271" s="48" t="n">
        <v>265</v>
      </c>
      <c r="B271" s="48" t="n">
        <f aca="false">ROUNDUP(A271/12,0)</f>
        <v>23</v>
      </c>
      <c r="C271" s="49" t="n">
        <f aca="false">E270*Annahmen!$B$55/12</f>
        <v>1767.73833103217</v>
      </c>
      <c r="D271" s="49" t="n">
        <f aca="false">MIN($C$3-C271,E270)</f>
        <v>1732.26166896784</v>
      </c>
      <c r="E271" s="49" t="n">
        <f aca="false">E270-D271</f>
        <v>846782.137226472</v>
      </c>
      <c r="F271" s="49" t="n">
        <f aca="false">H270*Annahmen!$B$56/12</f>
        <v>1976.37803344171</v>
      </c>
      <c r="G271" s="49" t="n">
        <f aca="false">MIN($F$3-F271,H270)</f>
        <v>1848.62196655829</v>
      </c>
      <c r="H271" s="49" t="n">
        <f aca="false">H270-G271</f>
        <v>788702.591410127</v>
      </c>
      <c r="I271" s="49" t="n">
        <f aca="false">K270*Annahmen!$B$57/12</f>
        <v>5396.99516260685</v>
      </c>
      <c r="J271" s="49" t="n">
        <f aca="false">MIN($I$3-I271,K270)</f>
        <v>5011.36194565338</v>
      </c>
      <c r="K271" s="49" t="n">
        <f aca="false">K270-J271</f>
        <v>1614087.1868364</v>
      </c>
      <c r="L271" s="49" t="n">
        <f aca="false">C271+F271+I271</f>
        <v>9141.11152708073</v>
      </c>
      <c r="M271" s="49" t="n">
        <f aca="false">D271+G271+J271</f>
        <v>8592.2455811795</v>
      </c>
      <c r="N271" s="49" t="n">
        <f aca="false">L271+M271</f>
        <v>17733.3571082602</v>
      </c>
      <c r="O271" s="49" t="n">
        <f aca="false">E271+H271+K271</f>
        <v>3249571.915473</v>
      </c>
    </row>
    <row r="272" customFormat="false" ht="15" hidden="false" customHeight="false" outlineLevel="0" collapsed="false">
      <c r="A272" s="48" t="n">
        <v>266</v>
      </c>
      <c r="B272" s="48" t="n">
        <f aca="false">ROUNDUP(A272/12,0)</f>
        <v>23</v>
      </c>
      <c r="C272" s="49" t="n">
        <f aca="false">E271*Annahmen!$B$55/12</f>
        <v>1764.12945255515</v>
      </c>
      <c r="D272" s="49" t="n">
        <f aca="false">MIN($C$3-C272,E271)</f>
        <v>1735.87054744485</v>
      </c>
      <c r="E272" s="49" t="n">
        <f aca="false">E271-D272</f>
        <v>845046.266679027</v>
      </c>
      <c r="F272" s="49" t="n">
        <f aca="false">H271*Annahmen!$B$56/12</f>
        <v>1971.75647852532</v>
      </c>
      <c r="G272" s="49" t="n">
        <f aca="false">MIN($F$3-F272,H271)</f>
        <v>1853.24352147468</v>
      </c>
      <c r="H272" s="49" t="n">
        <f aca="false">H271-G272</f>
        <v>786849.347888653</v>
      </c>
      <c r="I272" s="49" t="n">
        <f aca="false">K271*Annahmen!$B$57/12</f>
        <v>5380.290622788</v>
      </c>
      <c r="J272" s="49" t="n">
        <f aca="false">MIN($I$3-I272,K271)</f>
        <v>5028.06648547222</v>
      </c>
      <c r="K272" s="49" t="n">
        <f aca="false">K271-J272</f>
        <v>1609059.12035093</v>
      </c>
      <c r="L272" s="49" t="n">
        <f aca="false">C272+F272+I272</f>
        <v>9116.17655386847</v>
      </c>
      <c r="M272" s="49" t="n">
        <f aca="false">D272+G272+J272</f>
        <v>8617.18055439175</v>
      </c>
      <c r="N272" s="49" t="n">
        <f aca="false">L272+M272</f>
        <v>17733.3571082602</v>
      </c>
      <c r="O272" s="49" t="n">
        <f aca="false">E272+H272+K272</f>
        <v>3240954.73491861</v>
      </c>
    </row>
    <row r="273" customFormat="false" ht="15" hidden="false" customHeight="false" outlineLevel="0" collapsed="false">
      <c r="A273" s="48" t="n">
        <v>267</v>
      </c>
      <c r="B273" s="48" t="n">
        <f aca="false">ROUNDUP(A273/12,0)</f>
        <v>23</v>
      </c>
      <c r="C273" s="49" t="n">
        <f aca="false">E272*Annahmen!$B$55/12</f>
        <v>1760.51305558131</v>
      </c>
      <c r="D273" s="49" t="n">
        <f aca="false">MIN($C$3-C273,E272)</f>
        <v>1739.48694441869</v>
      </c>
      <c r="E273" s="49" t="n">
        <f aca="false">E272-D273</f>
        <v>843306.779734609</v>
      </c>
      <c r="F273" s="49" t="n">
        <f aca="false">H272*Annahmen!$B$56/12</f>
        <v>1967.12336972163</v>
      </c>
      <c r="G273" s="49" t="n">
        <f aca="false">MIN($F$3-F273,H272)</f>
        <v>1857.87663027837</v>
      </c>
      <c r="H273" s="49" t="n">
        <f aca="false">H272-G273</f>
        <v>784991.471258374</v>
      </c>
      <c r="I273" s="49" t="n">
        <f aca="false">K272*Annahmen!$B$57/12</f>
        <v>5363.53040116976</v>
      </c>
      <c r="J273" s="49" t="n">
        <f aca="false">MIN($I$3-I273,K272)</f>
        <v>5044.82670709046</v>
      </c>
      <c r="K273" s="49" t="n">
        <f aca="false">K272-J273</f>
        <v>1604014.29364384</v>
      </c>
      <c r="L273" s="49" t="n">
        <f aca="false">C273+F273+I273</f>
        <v>9091.1668264727</v>
      </c>
      <c r="M273" s="49" t="n">
        <f aca="false">D273+G273+J273</f>
        <v>8642.19028178753</v>
      </c>
      <c r="N273" s="49" t="n">
        <f aca="false">L273+M273</f>
        <v>17733.3571082602</v>
      </c>
      <c r="O273" s="49" t="n">
        <f aca="false">E273+H273+K273</f>
        <v>3232312.54463682</v>
      </c>
    </row>
    <row r="274" customFormat="false" ht="15" hidden="false" customHeight="false" outlineLevel="0" collapsed="false">
      <c r="A274" s="48" t="n">
        <v>268</v>
      </c>
      <c r="B274" s="48" t="n">
        <f aca="false">ROUNDUP(A274/12,0)</f>
        <v>23</v>
      </c>
      <c r="C274" s="49" t="n">
        <f aca="false">E273*Annahmen!$B$55/12</f>
        <v>1756.8891244471</v>
      </c>
      <c r="D274" s="49" t="n">
        <f aca="false">MIN($C$3-C274,E273)</f>
        <v>1743.1108755529</v>
      </c>
      <c r="E274" s="49" t="n">
        <f aca="false">E273-D274</f>
        <v>841563.668859056</v>
      </c>
      <c r="F274" s="49" t="n">
        <f aca="false">H273*Annahmen!$B$56/12</f>
        <v>1962.47867814594</v>
      </c>
      <c r="G274" s="49" t="n">
        <f aca="false">MIN($F$3-F274,H273)</f>
        <v>1862.52132185407</v>
      </c>
      <c r="H274" s="49" t="n">
        <f aca="false">H273-G274</f>
        <v>783128.94993652</v>
      </c>
      <c r="I274" s="49" t="n">
        <f aca="false">K273*Annahmen!$B$57/12</f>
        <v>5346.71431214613</v>
      </c>
      <c r="J274" s="49" t="n">
        <f aca="false">MIN($I$3-I274,K273)</f>
        <v>5061.6427961141</v>
      </c>
      <c r="K274" s="49" t="n">
        <f aca="false">K273-J274</f>
        <v>1598952.65084772</v>
      </c>
      <c r="L274" s="49" t="n">
        <f aca="false">C274+F274+I274</f>
        <v>9066.08211473916</v>
      </c>
      <c r="M274" s="49" t="n">
        <f aca="false">D274+G274+J274</f>
        <v>8667.27499352106</v>
      </c>
      <c r="N274" s="49" t="n">
        <f aca="false">L274+M274</f>
        <v>17733.3571082602</v>
      </c>
      <c r="O274" s="49" t="n">
        <f aca="false">E274+H274+K274</f>
        <v>3223645.2696433</v>
      </c>
    </row>
    <row r="275" customFormat="false" ht="15" hidden="false" customHeight="false" outlineLevel="0" collapsed="false">
      <c r="A275" s="48" t="n">
        <v>269</v>
      </c>
      <c r="B275" s="48" t="n">
        <f aca="false">ROUNDUP(A275/12,0)</f>
        <v>23</v>
      </c>
      <c r="C275" s="49" t="n">
        <f aca="false">E274*Annahmen!$B$55/12</f>
        <v>1753.25764345637</v>
      </c>
      <c r="D275" s="49" t="n">
        <f aca="false">MIN($C$3-C275,E274)</f>
        <v>1746.74235654364</v>
      </c>
      <c r="E275" s="49" t="n">
        <f aca="false">E274-D275</f>
        <v>839816.926502512</v>
      </c>
      <c r="F275" s="49" t="n">
        <f aca="false">H274*Annahmen!$B$56/12</f>
        <v>1957.8223748413</v>
      </c>
      <c r="G275" s="49" t="n">
        <f aca="false">MIN($F$3-F275,H274)</f>
        <v>1867.1776251587</v>
      </c>
      <c r="H275" s="49" t="n">
        <f aca="false">H274-G275</f>
        <v>781261.772311361</v>
      </c>
      <c r="I275" s="49" t="n">
        <f aca="false">K274*Annahmen!$B$57/12</f>
        <v>5329.84216949241</v>
      </c>
      <c r="J275" s="49" t="n">
        <f aca="false">MIN($I$3-I275,K274)</f>
        <v>5078.51493876781</v>
      </c>
      <c r="K275" s="49" t="n">
        <f aca="false">K274-J275</f>
        <v>1593874.13590896</v>
      </c>
      <c r="L275" s="49" t="n">
        <f aca="false">C275+F275+I275</f>
        <v>9040.92218779008</v>
      </c>
      <c r="M275" s="49" t="n">
        <f aca="false">D275+G275+J275</f>
        <v>8692.43492047015</v>
      </c>
      <c r="N275" s="49" t="n">
        <f aca="false">L275+M275</f>
        <v>17733.3571082602</v>
      </c>
      <c r="O275" s="49" t="n">
        <f aca="false">E275+H275+K275</f>
        <v>3214952.83472283</v>
      </c>
    </row>
    <row r="276" customFormat="false" ht="15" hidden="false" customHeight="false" outlineLevel="0" collapsed="false">
      <c r="A276" s="48" t="n">
        <v>270</v>
      </c>
      <c r="B276" s="48" t="n">
        <f aca="false">ROUNDUP(A276/12,0)</f>
        <v>23</v>
      </c>
      <c r="C276" s="49" t="n">
        <f aca="false">E275*Annahmen!$B$55/12</f>
        <v>1749.61859688023</v>
      </c>
      <c r="D276" s="49" t="n">
        <f aca="false">MIN($C$3-C276,E275)</f>
        <v>1750.38140311977</v>
      </c>
      <c r="E276" s="49" t="n">
        <f aca="false">E275-D276</f>
        <v>838066.545099392</v>
      </c>
      <c r="F276" s="49" t="n">
        <f aca="false">H275*Annahmen!$B$56/12</f>
        <v>1953.1544307784</v>
      </c>
      <c r="G276" s="49" t="n">
        <f aca="false">MIN($F$3-F276,H275)</f>
        <v>1871.8455692216</v>
      </c>
      <c r="H276" s="49" t="n">
        <f aca="false">H275-G276</f>
        <v>779389.92674214</v>
      </c>
      <c r="I276" s="49" t="n">
        <f aca="false">K275*Annahmen!$B$57/12</f>
        <v>5312.91378636319</v>
      </c>
      <c r="J276" s="49" t="n">
        <f aca="false">MIN($I$3-I276,K275)</f>
        <v>5095.44332189704</v>
      </c>
      <c r="K276" s="49" t="n">
        <f aca="false">K275-J276</f>
        <v>1588778.69258706</v>
      </c>
      <c r="L276" s="49" t="n">
        <f aca="false">C276+F276+I276</f>
        <v>9015.68681402182</v>
      </c>
      <c r="M276" s="49" t="n">
        <f aca="false">D276+G276+J276</f>
        <v>8717.6702942384</v>
      </c>
      <c r="N276" s="49" t="n">
        <f aca="false">L276+M276</f>
        <v>17733.3571082602</v>
      </c>
      <c r="O276" s="49" t="n">
        <f aca="false">E276+H276+K276</f>
        <v>3206235.16442859</v>
      </c>
    </row>
    <row r="277" customFormat="false" ht="15" hidden="false" customHeight="false" outlineLevel="0" collapsed="false">
      <c r="A277" s="48" t="n">
        <v>271</v>
      </c>
      <c r="B277" s="48" t="n">
        <f aca="false">ROUNDUP(A277/12,0)</f>
        <v>23</v>
      </c>
      <c r="C277" s="49" t="n">
        <f aca="false">E276*Annahmen!$B$55/12</f>
        <v>1745.97196895707</v>
      </c>
      <c r="D277" s="49" t="n">
        <f aca="false">MIN($C$3-C277,E276)</f>
        <v>1754.02803104293</v>
      </c>
      <c r="E277" s="49" t="n">
        <f aca="false">E276-D277</f>
        <v>836312.517068349</v>
      </c>
      <c r="F277" s="49" t="n">
        <f aca="false">H276*Annahmen!$B$56/12</f>
        <v>1948.47481685535</v>
      </c>
      <c r="G277" s="49" t="n">
        <f aca="false">MIN($F$3-F277,H276)</f>
        <v>1876.52518314465</v>
      </c>
      <c r="H277" s="49" t="n">
        <f aca="false">H276-G277</f>
        <v>777513.401558995</v>
      </c>
      <c r="I277" s="49" t="n">
        <f aca="false">K276*Annahmen!$B$57/12</f>
        <v>5295.9289752902</v>
      </c>
      <c r="J277" s="49" t="n">
        <f aca="false">MIN($I$3-I277,K276)</f>
        <v>5112.42813297003</v>
      </c>
      <c r="K277" s="49" t="n">
        <f aca="false">K276-J277</f>
        <v>1583666.26445409</v>
      </c>
      <c r="L277" s="49" t="n">
        <f aca="false">C277+F277+I277</f>
        <v>8990.37576110261</v>
      </c>
      <c r="M277" s="49" t="n">
        <f aca="false">D277+G277+J277</f>
        <v>8742.98134715761</v>
      </c>
      <c r="N277" s="49" t="n">
        <f aca="false">L277+M277</f>
        <v>17733.3571082602</v>
      </c>
      <c r="O277" s="49" t="n">
        <f aca="false">E277+H277+K277</f>
        <v>3197492.18308143</v>
      </c>
    </row>
    <row r="278" customFormat="false" ht="15" hidden="false" customHeight="false" outlineLevel="0" collapsed="false">
      <c r="A278" s="48" t="n">
        <v>272</v>
      </c>
      <c r="B278" s="48" t="n">
        <f aca="false">ROUNDUP(A278/12,0)</f>
        <v>23</v>
      </c>
      <c r="C278" s="49" t="n">
        <f aca="false">E277*Annahmen!$B$55/12</f>
        <v>1742.31774389239</v>
      </c>
      <c r="D278" s="49" t="n">
        <f aca="false">MIN($C$3-C278,E277)</f>
        <v>1757.68225610761</v>
      </c>
      <c r="E278" s="49" t="n">
        <f aca="false">E277-D278</f>
        <v>834554.834812242</v>
      </c>
      <c r="F278" s="49" t="n">
        <f aca="false">H277*Annahmen!$B$56/12</f>
        <v>1943.78350389749</v>
      </c>
      <c r="G278" s="49" t="n">
        <f aca="false">MIN($F$3-F278,H277)</f>
        <v>1881.21649610251</v>
      </c>
      <c r="H278" s="49" t="n">
        <f aca="false">H277-G278</f>
        <v>775632.185062893</v>
      </c>
      <c r="I278" s="49" t="n">
        <f aca="false">K277*Annahmen!$B$57/12</f>
        <v>5278.8875481803</v>
      </c>
      <c r="J278" s="49" t="n">
        <f aca="false">MIN($I$3-I278,K277)</f>
        <v>5129.46956007993</v>
      </c>
      <c r="K278" s="49" t="n">
        <f aca="false">K277-J278</f>
        <v>1578536.79489401</v>
      </c>
      <c r="L278" s="49" t="n">
        <f aca="false">C278+F278+I278</f>
        <v>8964.98879597018</v>
      </c>
      <c r="M278" s="49" t="n">
        <f aca="false">D278+G278+J278</f>
        <v>8768.36831229005</v>
      </c>
      <c r="N278" s="49" t="n">
        <f aca="false">L278+M278</f>
        <v>17733.3571082602</v>
      </c>
      <c r="O278" s="49" t="n">
        <f aca="false">E278+H278+K278</f>
        <v>3188723.81476914</v>
      </c>
    </row>
    <row r="279" customFormat="false" ht="15" hidden="false" customHeight="false" outlineLevel="0" collapsed="false">
      <c r="A279" s="48" t="n">
        <v>273</v>
      </c>
      <c r="B279" s="48" t="n">
        <f aca="false">ROUNDUP(A279/12,0)</f>
        <v>23</v>
      </c>
      <c r="C279" s="49" t="n">
        <f aca="false">E278*Annahmen!$B$55/12</f>
        <v>1738.65590585884</v>
      </c>
      <c r="D279" s="49" t="n">
        <f aca="false">MIN($C$3-C279,E278)</f>
        <v>1761.34409414116</v>
      </c>
      <c r="E279" s="49" t="n">
        <f aca="false">E278-D279</f>
        <v>832793.490718101</v>
      </c>
      <c r="F279" s="49" t="n">
        <f aca="false">H278*Annahmen!$B$56/12</f>
        <v>1939.08046265723</v>
      </c>
      <c r="G279" s="49" t="n">
        <f aca="false">MIN($F$3-F279,H278)</f>
        <v>1885.91953734277</v>
      </c>
      <c r="H279" s="49" t="n">
        <f aca="false">H278-G279</f>
        <v>773746.26552555</v>
      </c>
      <c r="I279" s="49" t="n">
        <f aca="false">K278*Annahmen!$B$57/12</f>
        <v>5261.78931631336</v>
      </c>
      <c r="J279" s="49" t="n">
        <f aca="false">MIN($I$3-I279,K278)</f>
        <v>5146.56779194686</v>
      </c>
      <c r="K279" s="49" t="n">
        <f aca="false">K278-J279</f>
        <v>1573390.22710206</v>
      </c>
      <c r="L279" s="49" t="n">
        <f aca="false">C279+F279+I279</f>
        <v>8939.52568482943</v>
      </c>
      <c r="M279" s="49" t="n">
        <f aca="false">D279+G279+J279</f>
        <v>8793.8314234308</v>
      </c>
      <c r="N279" s="49" t="n">
        <f aca="false">L279+M279</f>
        <v>17733.3571082602</v>
      </c>
      <c r="O279" s="49" t="n">
        <f aca="false">E279+H279+K279</f>
        <v>3179929.98334571</v>
      </c>
    </row>
    <row r="280" customFormat="false" ht="15" hidden="false" customHeight="false" outlineLevel="0" collapsed="false">
      <c r="A280" s="48" t="n">
        <v>274</v>
      </c>
      <c r="B280" s="48" t="n">
        <f aca="false">ROUNDUP(A280/12,0)</f>
        <v>23</v>
      </c>
      <c r="C280" s="49" t="n">
        <f aca="false">E279*Annahmen!$B$55/12</f>
        <v>1734.98643899604</v>
      </c>
      <c r="D280" s="49" t="n">
        <f aca="false">MIN($C$3-C280,E279)</f>
        <v>1765.01356100396</v>
      </c>
      <c r="E280" s="49" t="n">
        <f aca="false">E279-D280</f>
        <v>831028.477157097</v>
      </c>
      <c r="F280" s="49" t="n">
        <f aca="false">H279*Annahmen!$B$56/12</f>
        <v>1934.36566381387</v>
      </c>
      <c r="G280" s="49" t="n">
        <f aca="false">MIN($F$3-F280,H279)</f>
        <v>1890.63433618613</v>
      </c>
      <c r="H280" s="49" t="n">
        <f aca="false">H279-G280</f>
        <v>771855.631189364</v>
      </c>
      <c r="I280" s="49" t="n">
        <f aca="false">K279*Annahmen!$B$57/12</f>
        <v>5244.63409034021</v>
      </c>
      <c r="J280" s="49" t="n">
        <f aca="false">MIN($I$3-I280,K279)</f>
        <v>5163.72301792002</v>
      </c>
      <c r="K280" s="49" t="n">
        <f aca="false">K279-J280</f>
        <v>1568226.50408414</v>
      </c>
      <c r="L280" s="49" t="n">
        <f aca="false">C280+F280+I280</f>
        <v>8913.98619315012</v>
      </c>
      <c r="M280" s="49" t="n">
        <f aca="false">D280+G280+J280</f>
        <v>8819.3709151101</v>
      </c>
      <c r="N280" s="49" t="n">
        <f aca="false">L280+M280</f>
        <v>17733.3571082602</v>
      </c>
      <c r="O280" s="49" t="n">
        <f aca="false">E280+H280+K280</f>
        <v>3171110.6124306</v>
      </c>
    </row>
    <row r="281" customFormat="false" ht="15" hidden="false" customHeight="false" outlineLevel="0" collapsed="false">
      <c r="A281" s="48" t="n">
        <v>275</v>
      </c>
      <c r="B281" s="48" t="n">
        <f aca="false">ROUNDUP(A281/12,0)</f>
        <v>23</v>
      </c>
      <c r="C281" s="49" t="n">
        <f aca="false">E280*Annahmen!$B$55/12</f>
        <v>1731.30932741062</v>
      </c>
      <c r="D281" s="49" t="n">
        <f aca="false">MIN($C$3-C281,E280)</f>
        <v>1768.69067258938</v>
      </c>
      <c r="E281" s="49" t="n">
        <f aca="false">E280-D281</f>
        <v>829259.786484507</v>
      </c>
      <c r="F281" s="49" t="n">
        <f aca="false">H280*Annahmen!$B$56/12</f>
        <v>1929.63907797341</v>
      </c>
      <c r="G281" s="49" t="n">
        <f aca="false">MIN($F$3-F281,H280)</f>
        <v>1895.36092202659</v>
      </c>
      <c r="H281" s="49" t="n">
        <f aca="false">H280-G281</f>
        <v>769960.270267337</v>
      </c>
      <c r="I281" s="49" t="n">
        <f aca="false">K280*Annahmen!$B$57/12</f>
        <v>5227.42168028047</v>
      </c>
      <c r="J281" s="49" t="n">
        <f aca="false">MIN($I$3-I281,K280)</f>
        <v>5180.93542797975</v>
      </c>
      <c r="K281" s="49" t="n">
        <f aca="false">K280-J281</f>
        <v>1563045.56865616</v>
      </c>
      <c r="L281" s="49" t="n">
        <f aca="false">C281+F281+I281</f>
        <v>8888.3700856645</v>
      </c>
      <c r="M281" s="49" t="n">
        <f aca="false">D281+G281+J281</f>
        <v>8844.98702259573</v>
      </c>
      <c r="N281" s="49" t="n">
        <f aca="false">L281+M281</f>
        <v>17733.3571082602</v>
      </c>
      <c r="O281" s="49" t="n">
        <f aca="false">E281+H281+K281</f>
        <v>3162265.62540801</v>
      </c>
    </row>
    <row r="282" customFormat="false" ht="15" hidden="false" customHeight="false" outlineLevel="0" collapsed="false">
      <c r="A282" s="48" t="n">
        <v>276</v>
      </c>
      <c r="B282" s="48" t="n">
        <f aca="false">ROUNDUP(A282/12,0)</f>
        <v>23</v>
      </c>
      <c r="C282" s="49" t="n">
        <f aca="false">E281*Annahmen!$B$55/12</f>
        <v>1727.62455517606</v>
      </c>
      <c r="D282" s="49" t="n">
        <f aca="false">MIN($C$3-C282,E281)</f>
        <v>1772.37544482394</v>
      </c>
      <c r="E282" s="49" t="n">
        <f aca="false">E281-D282</f>
        <v>827487.411039683</v>
      </c>
      <c r="F282" s="49" t="n">
        <f aca="false">H281*Annahmen!$B$56/12</f>
        <v>1924.90067566834</v>
      </c>
      <c r="G282" s="49" t="n">
        <f aca="false">MIN($F$3-F282,H281)</f>
        <v>1900.09932433166</v>
      </c>
      <c r="H282" s="49" t="n">
        <f aca="false">H281-G282</f>
        <v>768060.170943006</v>
      </c>
      <c r="I282" s="49" t="n">
        <f aca="false">K281*Annahmen!$B$57/12</f>
        <v>5210.15189552054</v>
      </c>
      <c r="J282" s="49" t="n">
        <f aca="false">MIN($I$3-I282,K281)</f>
        <v>5198.20521273968</v>
      </c>
      <c r="K282" s="49" t="n">
        <f aca="false">K281-J282</f>
        <v>1557847.36344342</v>
      </c>
      <c r="L282" s="49" t="n">
        <f aca="false">C282+F282+I282</f>
        <v>8862.67712636494</v>
      </c>
      <c r="M282" s="49" t="n">
        <f aca="false">D282+G282+J282</f>
        <v>8870.67998189529</v>
      </c>
      <c r="N282" s="49" t="n">
        <f aca="false">L282+M282</f>
        <v>17733.3571082602</v>
      </c>
      <c r="O282" s="49" t="n">
        <f aca="false">E282+H282+K282</f>
        <v>3153394.94542611</v>
      </c>
    </row>
    <row r="283" customFormat="false" ht="15" hidden="false" customHeight="false" outlineLevel="0" collapsed="false">
      <c r="A283" s="48" t="n">
        <v>277</v>
      </c>
      <c r="B283" s="48" t="n">
        <f aca="false">ROUNDUP(A283/12,0)</f>
        <v>24</v>
      </c>
      <c r="C283" s="49" t="n">
        <f aca="false">E282*Annahmen!$B$55/12</f>
        <v>1723.93210633267</v>
      </c>
      <c r="D283" s="49" t="n">
        <f aca="false">MIN($C$3-C283,E282)</f>
        <v>1776.06789366733</v>
      </c>
      <c r="E283" s="49" t="n">
        <f aca="false">E282-D283</f>
        <v>825711.343146016</v>
      </c>
      <c r="F283" s="49" t="n">
        <f aca="false">H282*Annahmen!$B$56/12</f>
        <v>1920.15042735751</v>
      </c>
      <c r="G283" s="49" t="n">
        <f aca="false">MIN($F$3-F283,H282)</f>
        <v>1904.84957264249</v>
      </c>
      <c r="H283" s="49" t="n">
        <f aca="false">H282-G283</f>
        <v>766155.321370363</v>
      </c>
      <c r="I283" s="49" t="n">
        <f aca="false">K282*Annahmen!$B$57/12</f>
        <v>5192.82454481141</v>
      </c>
      <c r="J283" s="49" t="n">
        <f aca="false">MIN($I$3-I283,K282)</f>
        <v>5215.53256344882</v>
      </c>
      <c r="K283" s="49" t="n">
        <f aca="false">K282-J283</f>
        <v>1552631.83087997</v>
      </c>
      <c r="L283" s="49" t="n">
        <f aca="false">C283+F283+I283</f>
        <v>8836.9070785016</v>
      </c>
      <c r="M283" s="49" t="n">
        <f aca="false">D283+G283+J283</f>
        <v>8896.45002975863</v>
      </c>
      <c r="N283" s="49" t="n">
        <f aca="false">L283+M283</f>
        <v>17733.3571082602</v>
      </c>
      <c r="O283" s="49" t="n">
        <f aca="false">E283+H283+K283</f>
        <v>3144498.49539635</v>
      </c>
    </row>
    <row r="284" customFormat="false" ht="15" hidden="false" customHeight="false" outlineLevel="0" collapsed="false">
      <c r="A284" s="48" t="n">
        <v>278</v>
      </c>
      <c r="B284" s="48" t="n">
        <f aca="false">ROUNDUP(A284/12,0)</f>
        <v>24</v>
      </c>
      <c r="C284" s="49" t="n">
        <f aca="false">E283*Annahmen!$B$55/12</f>
        <v>1720.23196488753</v>
      </c>
      <c r="D284" s="49" t="n">
        <f aca="false">MIN($C$3-C284,E283)</f>
        <v>1779.76803511247</v>
      </c>
      <c r="E284" s="49" t="n">
        <f aca="false">E283-D284</f>
        <v>823931.575110904</v>
      </c>
      <c r="F284" s="49" t="n">
        <f aca="false">H283*Annahmen!$B$56/12</f>
        <v>1915.38830342591</v>
      </c>
      <c r="G284" s="49" t="n">
        <f aca="false">MIN($F$3-F284,H283)</f>
        <v>1909.61169657409</v>
      </c>
      <c r="H284" s="49" t="n">
        <f aca="false">H283-G284</f>
        <v>764245.709673789</v>
      </c>
      <c r="I284" s="49" t="n">
        <f aca="false">K283*Annahmen!$B$57/12</f>
        <v>5175.43943626658</v>
      </c>
      <c r="J284" s="49" t="n">
        <f aca="false">MIN($I$3-I284,K283)</f>
        <v>5232.91767199365</v>
      </c>
      <c r="K284" s="49" t="n">
        <f aca="false">K283-J284</f>
        <v>1547398.91320798</v>
      </c>
      <c r="L284" s="49" t="n">
        <f aca="false">C284+F284+I284</f>
        <v>8811.05970458002</v>
      </c>
      <c r="M284" s="49" t="n">
        <f aca="false">D284+G284+J284</f>
        <v>8922.29740368021</v>
      </c>
      <c r="N284" s="49" t="n">
        <f aca="false">L284+M284</f>
        <v>17733.3571082602</v>
      </c>
      <c r="O284" s="49" t="n">
        <f aca="false">E284+H284+K284</f>
        <v>3135576.19799267</v>
      </c>
    </row>
    <row r="285" customFormat="false" ht="15" hidden="false" customHeight="false" outlineLevel="0" collapsed="false">
      <c r="A285" s="48" t="n">
        <v>279</v>
      </c>
      <c r="B285" s="48" t="n">
        <f aca="false">ROUNDUP(A285/12,0)</f>
        <v>24</v>
      </c>
      <c r="C285" s="49" t="n">
        <f aca="false">E284*Annahmen!$B$55/12</f>
        <v>1716.52411481438</v>
      </c>
      <c r="D285" s="49" t="n">
        <f aca="false">MIN($C$3-C285,E284)</f>
        <v>1783.47588518562</v>
      </c>
      <c r="E285" s="49" t="n">
        <f aca="false">E284-D285</f>
        <v>822148.099225718</v>
      </c>
      <c r="F285" s="49" t="n">
        <f aca="false">H284*Annahmen!$B$56/12</f>
        <v>1910.61427418447</v>
      </c>
      <c r="G285" s="49" t="n">
        <f aca="false">MIN($F$3-F285,H284)</f>
        <v>1914.38572581553</v>
      </c>
      <c r="H285" s="49" t="n">
        <f aca="false">H284-G285</f>
        <v>762331.323947973</v>
      </c>
      <c r="I285" s="49" t="n">
        <f aca="false">K284*Annahmen!$B$57/12</f>
        <v>5157.99637735993</v>
      </c>
      <c r="J285" s="49" t="n">
        <f aca="false">MIN($I$3-I285,K284)</f>
        <v>5250.36073090029</v>
      </c>
      <c r="K285" s="49" t="n">
        <f aca="false">K284-J285</f>
        <v>1542148.55247708</v>
      </c>
      <c r="L285" s="49" t="n">
        <f aca="false">C285+F285+I285</f>
        <v>8785.13476635879</v>
      </c>
      <c r="M285" s="49" t="n">
        <f aca="false">D285+G285+J285</f>
        <v>8948.22234190144</v>
      </c>
      <c r="N285" s="49" t="n">
        <f aca="false">L285+M285</f>
        <v>17733.3571082602</v>
      </c>
      <c r="O285" s="49" t="n">
        <f aca="false">E285+H285+K285</f>
        <v>3126627.97565077</v>
      </c>
    </row>
    <row r="286" customFormat="false" ht="15" hidden="false" customHeight="false" outlineLevel="0" collapsed="false">
      <c r="A286" s="48" t="n">
        <v>280</v>
      </c>
      <c r="B286" s="48" t="n">
        <f aca="false">ROUNDUP(A286/12,0)</f>
        <v>24</v>
      </c>
      <c r="C286" s="49" t="n">
        <f aca="false">E285*Annahmen!$B$55/12</f>
        <v>1712.80854005358</v>
      </c>
      <c r="D286" s="49" t="n">
        <f aca="false">MIN($C$3-C286,E285)</f>
        <v>1787.19145994642</v>
      </c>
      <c r="E286" s="49" t="n">
        <f aca="false">E285-D286</f>
        <v>820360.907765772</v>
      </c>
      <c r="F286" s="49" t="n">
        <f aca="false">H285*Annahmen!$B$56/12</f>
        <v>1905.82830986993</v>
      </c>
      <c r="G286" s="49" t="n">
        <f aca="false">MIN($F$3-F286,H285)</f>
        <v>1919.17169013007</v>
      </c>
      <c r="H286" s="49" t="n">
        <f aca="false">H285-G286</f>
        <v>760412.152257843</v>
      </c>
      <c r="I286" s="49" t="n">
        <f aca="false">K285*Annahmen!$B$57/12</f>
        <v>5140.4951749236</v>
      </c>
      <c r="J286" s="49" t="n">
        <f aca="false">MIN($I$3-I286,K285)</f>
        <v>5267.86193333663</v>
      </c>
      <c r="K286" s="49" t="n">
        <f aca="false">K285-J286</f>
        <v>1536880.69054374</v>
      </c>
      <c r="L286" s="49" t="n">
        <f aca="false">C286+F286+I286</f>
        <v>8759.13202484711</v>
      </c>
      <c r="M286" s="49" t="n">
        <f aca="false">D286+G286+J286</f>
        <v>8974.22508341312</v>
      </c>
      <c r="N286" s="49" t="n">
        <f aca="false">L286+M286</f>
        <v>17733.3571082602</v>
      </c>
      <c r="O286" s="49" t="n">
        <f aca="false">E286+H286+K286</f>
        <v>3117653.75056736</v>
      </c>
    </row>
    <row r="287" customFormat="false" ht="15" hidden="false" customHeight="false" outlineLevel="0" collapsed="false">
      <c r="A287" s="48" t="n">
        <v>281</v>
      </c>
      <c r="B287" s="48" t="n">
        <f aca="false">ROUNDUP(A287/12,0)</f>
        <v>24</v>
      </c>
      <c r="C287" s="49" t="n">
        <f aca="false">E286*Annahmen!$B$55/12</f>
        <v>1709.08522451202</v>
      </c>
      <c r="D287" s="49" t="n">
        <f aca="false">MIN($C$3-C287,E286)</f>
        <v>1790.91477548798</v>
      </c>
      <c r="E287" s="49" t="n">
        <f aca="false">E286-D287</f>
        <v>818569.992990284</v>
      </c>
      <c r="F287" s="49" t="n">
        <f aca="false">H286*Annahmen!$B$56/12</f>
        <v>1901.03038064461</v>
      </c>
      <c r="G287" s="49" t="n">
        <f aca="false">MIN($F$3-F287,H286)</f>
        <v>1923.96961935539</v>
      </c>
      <c r="H287" s="49" t="n">
        <f aca="false">H286-G287</f>
        <v>758488.182638488</v>
      </c>
      <c r="I287" s="49" t="n">
        <f aca="false">K286*Annahmen!$B$57/12</f>
        <v>5122.93563514581</v>
      </c>
      <c r="J287" s="49" t="n">
        <f aca="false">MIN($I$3-I287,K286)</f>
        <v>5285.42147311441</v>
      </c>
      <c r="K287" s="49" t="n">
        <f aca="false">K286-J287</f>
        <v>1531595.26907063</v>
      </c>
      <c r="L287" s="49" t="n">
        <f aca="false">C287+F287+I287</f>
        <v>8733.05124030244</v>
      </c>
      <c r="M287" s="49" t="n">
        <f aca="false">D287+G287+J287</f>
        <v>9000.30586795778</v>
      </c>
      <c r="N287" s="49" t="n">
        <f aca="false">L287+M287</f>
        <v>17733.3571082602</v>
      </c>
      <c r="O287" s="49" t="n">
        <f aca="false">E287+H287+K287</f>
        <v>3108653.4446994</v>
      </c>
    </row>
    <row r="288" customFormat="false" ht="15" hidden="false" customHeight="false" outlineLevel="0" collapsed="false">
      <c r="A288" s="48" t="n">
        <v>282</v>
      </c>
      <c r="B288" s="48" t="n">
        <f aca="false">ROUNDUP(A288/12,0)</f>
        <v>24</v>
      </c>
      <c r="C288" s="49" t="n">
        <f aca="false">E287*Annahmen!$B$55/12</f>
        <v>1705.35415206309</v>
      </c>
      <c r="D288" s="49" t="n">
        <f aca="false">MIN($C$3-C288,E287)</f>
        <v>1794.64584793691</v>
      </c>
      <c r="E288" s="49" t="n">
        <f aca="false">E287-D288</f>
        <v>816775.347142347</v>
      </c>
      <c r="F288" s="49" t="n">
        <f aca="false">H287*Annahmen!$B$56/12</f>
        <v>1896.22045659622</v>
      </c>
      <c r="G288" s="49" t="n">
        <f aca="false">MIN($F$3-F288,H287)</f>
        <v>1928.77954340378</v>
      </c>
      <c r="H288" s="49" t="n">
        <f aca="false">H287-G288</f>
        <v>756559.403095084</v>
      </c>
      <c r="I288" s="49" t="n">
        <f aca="false">K287*Annahmen!$B$57/12</f>
        <v>5105.31756356876</v>
      </c>
      <c r="J288" s="49" t="n">
        <f aca="false">MIN($I$3-I288,K287)</f>
        <v>5303.03954469146</v>
      </c>
      <c r="K288" s="49" t="n">
        <f aca="false">K287-J288</f>
        <v>1526292.22952594</v>
      </c>
      <c r="L288" s="49" t="n">
        <f aca="false">C288+F288+I288</f>
        <v>8706.89217222807</v>
      </c>
      <c r="M288" s="49" t="n">
        <f aca="false">D288+G288+J288</f>
        <v>9026.46493603215</v>
      </c>
      <c r="N288" s="49" t="n">
        <f aca="false">L288+M288</f>
        <v>17733.3571082602</v>
      </c>
      <c r="O288" s="49" t="n">
        <f aca="false">E288+H288+K288</f>
        <v>3099626.97976337</v>
      </c>
    </row>
    <row r="289" customFormat="false" ht="15" hidden="false" customHeight="false" outlineLevel="0" collapsed="false">
      <c r="A289" s="48" t="n">
        <v>283</v>
      </c>
      <c r="B289" s="48" t="n">
        <f aca="false">ROUNDUP(A289/12,0)</f>
        <v>24</v>
      </c>
      <c r="C289" s="49" t="n">
        <f aca="false">E288*Annahmen!$B$55/12</f>
        <v>1701.61530654656</v>
      </c>
      <c r="D289" s="49" t="n">
        <f aca="false">MIN($C$3-C289,E288)</f>
        <v>1798.38469345345</v>
      </c>
      <c r="E289" s="49" t="n">
        <f aca="false">E288-D289</f>
        <v>814976.962448893</v>
      </c>
      <c r="F289" s="49" t="n">
        <f aca="false">H288*Annahmen!$B$56/12</f>
        <v>1891.39850773771</v>
      </c>
      <c r="G289" s="49" t="n">
        <f aca="false">MIN($F$3-F289,H288)</f>
        <v>1933.60149226229</v>
      </c>
      <c r="H289" s="49" t="n">
        <f aca="false">H288-G289</f>
        <v>754625.801602822</v>
      </c>
      <c r="I289" s="49" t="n">
        <f aca="false">K288*Annahmen!$B$57/12</f>
        <v>5087.64076508646</v>
      </c>
      <c r="J289" s="49" t="n">
        <f aca="false">MIN($I$3-I289,K288)</f>
        <v>5320.71634317377</v>
      </c>
      <c r="K289" s="49" t="n">
        <f aca="false">K288-J289</f>
        <v>1520971.51318276</v>
      </c>
      <c r="L289" s="49" t="n">
        <f aca="false">C289+F289+I289</f>
        <v>8680.65457937072</v>
      </c>
      <c r="M289" s="49" t="n">
        <f aca="false">D289+G289+J289</f>
        <v>9052.7025288895</v>
      </c>
      <c r="N289" s="49" t="n">
        <f aca="false">L289+M289</f>
        <v>17733.3571082602</v>
      </c>
      <c r="O289" s="49" t="n">
        <f aca="false">E289+H289+K289</f>
        <v>3090574.27723448</v>
      </c>
    </row>
    <row r="290" customFormat="false" ht="15" hidden="false" customHeight="false" outlineLevel="0" collapsed="false">
      <c r="A290" s="48" t="n">
        <v>284</v>
      </c>
      <c r="B290" s="48" t="n">
        <f aca="false">ROUNDUP(A290/12,0)</f>
        <v>24</v>
      </c>
      <c r="C290" s="49" t="n">
        <f aca="false">E289*Annahmen!$B$55/12</f>
        <v>1697.86867176853</v>
      </c>
      <c r="D290" s="49" t="n">
        <f aca="false">MIN($C$3-C290,E289)</f>
        <v>1802.13132823147</v>
      </c>
      <c r="E290" s="49" t="n">
        <f aca="false">E289-D290</f>
        <v>813174.831120662</v>
      </c>
      <c r="F290" s="49" t="n">
        <f aca="false">H289*Annahmen!$B$56/12</f>
        <v>1886.56450400705</v>
      </c>
      <c r="G290" s="49" t="n">
        <f aca="false">MIN($F$3-F290,H289)</f>
        <v>1938.43549599295</v>
      </c>
      <c r="H290" s="49" t="n">
        <f aca="false">H289-G290</f>
        <v>752687.366106829</v>
      </c>
      <c r="I290" s="49" t="n">
        <f aca="false">K289*Annahmen!$B$57/12</f>
        <v>5069.90504394254</v>
      </c>
      <c r="J290" s="49" t="n">
        <f aca="false">MIN($I$3-I290,K289)</f>
        <v>5338.45206431768</v>
      </c>
      <c r="K290" s="49" t="n">
        <f aca="false">K289-J290</f>
        <v>1515633.06111845</v>
      </c>
      <c r="L290" s="49" t="n">
        <f aca="false">C290+F290+I290</f>
        <v>8654.33821971813</v>
      </c>
      <c r="M290" s="49" t="n">
        <f aca="false">D290+G290+J290</f>
        <v>9079.0188885421</v>
      </c>
      <c r="N290" s="49" t="n">
        <f aca="false">L290+M290</f>
        <v>17733.3571082602</v>
      </c>
      <c r="O290" s="49" t="n">
        <f aca="false">E290+H290+K290</f>
        <v>3081495.25834594</v>
      </c>
    </row>
    <row r="291" customFormat="false" ht="15" hidden="false" customHeight="false" outlineLevel="0" collapsed="false">
      <c r="A291" s="48" t="n">
        <v>285</v>
      </c>
      <c r="B291" s="48" t="n">
        <f aca="false">ROUNDUP(A291/12,0)</f>
        <v>24</v>
      </c>
      <c r="C291" s="49" t="n">
        <f aca="false">E290*Annahmen!$B$55/12</f>
        <v>1694.11423150138</v>
      </c>
      <c r="D291" s="49" t="n">
        <f aca="false">MIN($C$3-C291,E290)</f>
        <v>1805.88576849862</v>
      </c>
      <c r="E291" s="49" t="n">
        <f aca="false">E290-D291</f>
        <v>811368.945352163</v>
      </c>
      <c r="F291" s="49" t="n">
        <f aca="false">H290*Annahmen!$B$56/12</f>
        <v>1881.71841526707</v>
      </c>
      <c r="G291" s="49" t="n">
        <f aca="false">MIN($F$3-F291,H290)</f>
        <v>1943.28158473293</v>
      </c>
      <c r="H291" s="49" t="n">
        <f aca="false">H290-G291</f>
        <v>750744.084522096</v>
      </c>
      <c r="I291" s="49" t="n">
        <f aca="false">K290*Annahmen!$B$57/12</f>
        <v>5052.11020372815</v>
      </c>
      <c r="J291" s="49" t="n">
        <f aca="false">MIN($I$3-I291,K290)</f>
        <v>5356.24690453207</v>
      </c>
      <c r="K291" s="49" t="n">
        <f aca="false">K290-J291</f>
        <v>1510276.81421391</v>
      </c>
      <c r="L291" s="49" t="n">
        <f aca="false">C291+F291+I291</f>
        <v>8627.9428504966</v>
      </c>
      <c r="M291" s="49" t="n">
        <f aca="false">D291+G291+J291</f>
        <v>9105.41425776362</v>
      </c>
      <c r="N291" s="49" t="n">
        <f aca="false">L291+M291</f>
        <v>17733.3571082602</v>
      </c>
      <c r="O291" s="49" t="n">
        <f aca="false">E291+H291+K291</f>
        <v>3072389.84408817</v>
      </c>
    </row>
    <row r="292" customFormat="false" ht="15" hidden="false" customHeight="false" outlineLevel="0" collapsed="false">
      <c r="A292" s="48" t="n">
        <v>286</v>
      </c>
      <c r="B292" s="48" t="n">
        <f aca="false">ROUNDUP(A292/12,0)</f>
        <v>24</v>
      </c>
      <c r="C292" s="49" t="n">
        <f aca="false">E291*Annahmen!$B$55/12</f>
        <v>1690.35196948367</v>
      </c>
      <c r="D292" s="49" t="n">
        <f aca="false">MIN($C$3-C292,E291)</f>
        <v>1809.64803051633</v>
      </c>
      <c r="E292" s="49" t="n">
        <f aca="false">E291-D292</f>
        <v>809559.297321647</v>
      </c>
      <c r="F292" s="49" t="n">
        <f aca="false">H291*Annahmen!$B$56/12</f>
        <v>1876.86021130524</v>
      </c>
      <c r="G292" s="49" t="n">
        <f aca="false">MIN($F$3-F292,H291)</f>
        <v>1948.13978869476</v>
      </c>
      <c r="H292" s="49" t="n">
        <f aca="false">H291-G292</f>
        <v>748795.944733401</v>
      </c>
      <c r="I292" s="49" t="n">
        <f aca="false">K291*Annahmen!$B$57/12</f>
        <v>5034.25604737971</v>
      </c>
      <c r="J292" s="49" t="n">
        <f aca="false">MIN($I$3-I292,K291)</f>
        <v>5374.10106088051</v>
      </c>
      <c r="K292" s="49" t="n">
        <f aca="false">K291-J292</f>
        <v>1504902.71315303</v>
      </c>
      <c r="L292" s="49" t="n">
        <f aca="false">C292+F292+I292</f>
        <v>8601.46822816863</v>
      </c>
      <c r="M292" s="49" t="n">
        <f aca="false">D292+G292+J292</f>
        <v>9131.8888800916</v>
      </c>
      <c r="N292" s="49" t="n">
        <f aca="false">L292+M292</f>
        <v>17733.3571082602</v>
      </c>
      <c r="O292" s="49" t="n">
        <f aca="false">E292+H292+K292</f>
        <v>3063257.95520808</v>
      </c>
    </row>
    <row r="293" customFormat="false" ht="15" hidden="false" customHeight="false" outlineLevel="0" collapsed="false">
      <c r="A293" s="48" t="n">
        <v>287</v>
      </c>
      <c r="B293" s="48" t="n">
        <f aca="false">ROUNDUP(A293/12,0)</f>
        <v>24</v>
      </c>
      <c r="C293" s="49" t="n">
        <f aca="false">E292*Annahmen!$B$55/12</f>
        <v>1686.5818694201</v>
      </c>
      <c r="D293" s="49" t="n">
        <f aca="false">MIN($C$3-C293,E292)</f>
        <v>1813.4181305799</v>
      </c>
      <c r="E293" s="49" t="n">
        <f aca="false">E292-D293</f>
        <v>807745.879191067</v>
      </c>
      <c r="F293" s="49" t="n">
        <f aca="false">H292*Annahmen!$B$56/12</f>
        <v>1871.9898618335</v>
      </c>
      <c r="G293" s="49" t="n">
        <f aca="false">MIN($F$3-F293,H292)</f>
        <v>1953.0101381665</v>
      </c>
      <c r="H293" s="49" t="n">
        <f aca="false">H292-G293</f>
        <v>746842.934595235</v>
      </c>
      <c r="I293" s="49" t="n">
        <f aca="false">K292*Annahmen!$B$57/12</f>
        <v>5016.34237717678</v>
      </c>
      <c r="J293" s="49" t="n">
        <f aca="false">MIN($I$3-I293,K292)</f>
        <v>5392.01473108345</v>
      </c>
      <c r="K293" s="49" t="n">
        <f aca="false">K292-J293</f>
        <v>1499510.69842195</v>
      </c>
      <c r="L293" s="49" t="n">
        <f aca="false">C293+F293+I293</f>
        <v>8574.91410843038</v>
      </c>
      <c r="M293" s="49" t="n">
        <f aca="false">D293+G293+J293</f>
        <v>9158.44299982985</v>
      </c>
      <c r="N293" s="49" t="n">
        <f aca="false">L293+M293</f>
        <v>17733.3571082602</v>
      </c>
      <c r="O293" s="49" t="n">
        <f aca="false">E293+H293+K293</f>
        <v>3054099.51220825</v>
      </c>
    </row>
    <row r="294" customFormat="false" ht="15" hidden="false" customHeight="false" outlineLevel="0" collapsed="false">
      <c r="A294" s="48" t="n">
        <v>288</v>
      </c>
      <c r="B294" s="48" t="n">
        <f aca="false">ROUNDUP(A294/12,0)</f>
        <v>24</v>
      </c>
      <c r="C294" s="49" t="n">
        <f aca="false">E293*Annahmen!$B$55/12</f>
        <v>1682.80391498139</v>
      </c>
      <c r="D294" s="49" t="n">
        <f aca="false">MIN($C$3-C294,E293)</f>
        <v>1817.19608501861</v>
      </c>
      <c r="E294" s="49" t="n">
        <f aca="false">E293-D294</f>
        <v>805928.683106048</v>
      </c>
      <c r="F294" s="49" t="n">
        <f aca="false">H293*Annahmen!$B$56/12</f>
        <v>1867.10733648809</v>
      </c>
      <c r="G294" s="49" t="n">
        <f aca="false">MIN($F$3-F294,H293)</f>
        <v>1957.89266351191</v>
      </c>
      <c r="H294" s="49" t="n">
        <f aca="false">H293-G294</f>
        <v>744885.041931723</v>
      </c>
      <c r="I294" s="49" t="n">
        <f aca="false">K293*Annahmen!$B$57/12</f>
        <v>4998.36899473983</v>
      </c>
      <c r="J294" s="49" t="n">
        <f aca="false">MIN($I$3-I294,K293)</f>
        <v>5409.98811352039</v>
      </c>
      <c r="K294" s="49" t="n">
        <f aca="false">K293-J294</f>
        <v>1494100.71030843</v>
      </c>
      <c r="L294" s="49" t="n">
        <f aca="false">C294+F294+I294</f>
        <v>8548.28024620931</v>
      </c>
      <c r="M294" s="49" t="n">
        <f aca="false">D294+G294+J294</f>
        <v>9185.07686205092</v>
      </c>
      <c r="N294" s="49" t="n">
        <f aca="false">L294+M294</f>
        <v>17733.3571082602</v>
      </c>
      <c r="O294" s="49" t="n">
        <f aca="false">E294+H294+K294</f>
        <v>3044914.4353462</v>
      </c>
    </row>
    <row r="295" customFormat="false" ht="15" hidden="false" customHeight="false" outlineLevel="0" collapsed="false">
      <c r="A295" s="48" t="n">
        <v>289</v>
      </c>
      <c r="B295" s="48" t="n">
        <f aca="false">ROUNDUP(A295/12,0)</f>
        <v>25</v>
      </c>
      <c r="C295" s="49" t="n">
        <f aca="false">E294*Annahmen!$B$55/12</f>
        <v>1679.01808980427</v>
      </c>
      <c r="D295" s="49" t="n">
        <f aca="false">MIN($C$3-C295,E294)</f>
        <v>1820.98191019573</v>
      </c>
      <c r="E295" s="49" t="n">
        <f aca="false">E294-D295</f>
        <v>804107.701195853</v>
      </c>
      <c r="F295" s="49" t="n">
        <f aca="false">H294*Annahmen!$B$56/12</f>
        <v>1862.21260482931</v>
      </c>
      <c r="G295" s="49" t="n">
        <f aca="false">MIN($F$3-F295,H294)</f>
        <v>1962.78739517069</v>
      </c>
      <c r="H295" s="49" t="n">
        <f aca="false">H294-G295</f>
        <v>742922.254536552</v>
      </c>
      <c r="I295" s="49" t="n">
        <f aca="false">K294*Annahmen!$B$57/12</f>
        <v>4980.3357010281</v>
      </c>
      <c r="J295" s="49" t="n">
        <f aca="false">MIN($I$3-I295,K294)</f>
        <v>5428.02140723213</v>
      </c>
      <c r="K295" s="49" t="n">
        <f aca="false">K294-J295</f>
        <v>1488672.6889012</v>
      </c>
      <c r="L295" s="49" t="n">
        <f aca="false">C295+F295+I295</f>
        <v>8521.56639566167</v>
      </c>
      <c r="M295" s="49" t="n">
        <f aca="false">D295+G295+J295</f>
        <v>9211.79071259856</v>
      </c>
      <c r="N295" s="49" t="n">
        <f aca="false">L295+M295</f>
        <v>17733.3571082602</v>
      </c>
      <c r="O295" s="49" t="n">
        <f aca="false">E295+H295+K295</f>
        <v>3035702.6446336</v>
      </c>
    </row>
    <row r="296" customFormat="false" ht="15" hidden="false" customHeight="false" outlineLevel="0" collapsed="false">
      <c r="A296" s="48" t="n">
        <v>290</v>
      </c>
      <c r="B296" s="48" t="n">
        <f aca="false">ROUNDUP(A296/12,0)</f>
        <v>25</v>
      </c>
      <c r="C296" s="49" t="n">
        <f aca="false">E295*Annahmen!$B$55/12</f>
        <v>1675.22437749136</v>
      </c>
      <c r="D296" s="49" t="n">
        <f aca="false">MIN($C$3-C296,E295)</f>
        <v>1824.77562250864</v>
      </c>
      <c r="E296" s="49" t="n">
        <f aca="false">E295-D296</f>
        <v>802282.925573344</v>
      </c>
      <c r="F296" s="49" t="n">
        <f aca="false">H295*Annahmen!$B$56/12</f>
        <v>1857.30563634138</v>
      </c>
      <c r="G296" s="49" t="n">
        <f aca="false">MIN($F$3-F296,H295)</f>
        <v>1967.69436365862</v>
      </c>
      <c r="H296" s="49" t="n">
        <f aca="false">H295-G296</f>
        <v>740954.560172894</v>
      </c>
      <c r="I296" s="49" t="n">
        <f aca="false">K295*Annahmen!$B$57/12</f>
        <v>4962.24229633732</v>
      </c>
      <c r="J296" s="49" t="n">
        <f aca="false">MIN($I$3-I296,K295)</f>
        <v>5446.1148119229</v>
      </c>
      <c r="K296" s="49" t="n">
        <f aca="false">K295-J296</f>
        <v>1483226.57408927</v>
      </c>
      <c r="L296" s="49" t="n">
        <f aca="false">C296+F296+I296</f>
        <v>8494.77231017006</v>
      </c>
      <c r="M296" s="49" t="n">
        <f aca="false">D296+G296+J296</f>
        <v>9238.58479809016</v>
      </c>
      <c r="N296" s="49" t="n">
        <f aca="false">L296+M296</f>
        <v>17733.3571082602</v>
      </c>
      <c r="O296" s="49" t="n">
        <f aca="false">E296+H296+K296</f>
        <v>3026464.05983551</v>
      </c>
    </row>
    <row r="297" customFormat="false" ht="15" hidden="false" customHeight="false" outlineLevel="0" collapsed="false">
      <c r="A297" s="48" t="n">
        <v>291</v>
      </c>
      <c r="B297" s="48" t="n">
        <f aca="false">ROUNDUP(A297/12,0)</f>
        <v>25</v>
      </c>
      <c r="C297" s="49" t="n">
        <f aca="false">E296*Annahmen!$B$55/12</f>
        <v>1671.42276161113</v>
      </c>
      <c r="D297" s="49" t="n">
        <f aca="false">MIN($C$3-C297,E296)</f>
        <v>1828.57723838887</v>
      </c>
      <c r="E297" s="49" t="n">
        <f aca="false">E296-D297</f>
        <v>800454.348334955</v>
      </c>
      <c r="F297" s="49" t="n">
        <f aca="false">H296*Annahmen!$B$56/12</f>
        <v>1852.38640043223</v>
      </c>
      <c r="G297" s="49" t="n">
        <f aca="false">MIN($F$3-F297,H296)</f>
        <v>1972.61359956777</v>
      </c>
      <c r="H297" s="49" t="n">
        <f aca="false">H296-G297</f>
        <v>738981.946573326</v>
      </c>
      <c r="I297" s="49" t="n">
        <f aca="false">K296*Annahmen!$B$57/12</f>
        <v>4944.08858029758</v>
      </c>
      <c r="J297" s="49" t="n">
        <f aca="false">MIN($I$3-I297,K296)</f>
        <v>5464.26852796264</v>
      </c>
      <c r="K297" s="49" t="n">
        <f aca="false">K296-J297</f>
        <v>1477762.30556131</v>
      </c>
      <c r="L297" s="49" t="n">
        <f aca="false">C297+F297+I297</f>
        <v>8467.89774234095</v>
      </c>
      <c r="M297" s="49" t="n">
        <f aca="false">D297+G297+J297</f>
        <v>9265.45936591928</v>
      </c>
      <c r="N297" s="49" t="n">
        <f aca="false">L297+M297</f>
        <v>17733.3571082602</v>
      </c>
      <c r="O297" s="49" t="n">
        <f aca="false">E297+H297+K297</f>
        <v>3017198.60046959</v>
      </c>
    </row>
    <row r="298" customFormat="false" ht="15" hidden="false" customHeight="false" outlineLevel="0" collapsed="false">
      <c r="A298" s="48" t="n">
        <v>292</v>
      </c>
      <c r="B298" s="48" t="n">
        <f aca="false">ROUNDUP(A298/12,0)</f>
        <v>25</v>
      </c>
      <c r="C298" s="49" t="n">
        <f aca="false">E297*Annahmen!$B$55/12</f>
        <v>1667.61322569782</v>
      </c>
      <c r="D298" s="49" t="n">
        <f aca="false">MIN($C$3-C298,E297)</f>
        <v>1832.38677430218</v>
      </c>
      <c r="E298" s="49" t="n">
        <f aca="false">E297-D298</f>
        <v>798621.961560653</v>
      </c>
      <c r="F298" s="49" t="n">
        <f aca="false">H297*Annahmen!$B$56/12</f>
        <v>1847.45486643331</v>
      </c>
      <c r="G298" s="49" t="n">
        <f aca="false">MIN($F$3-F298,H297)</f>
        <v>1977.54513356669</v>
      </c>
      <c r="H298" s="49" t="n">
        <f aca="false">H297-G298</f>
        <v>737004.401439759</v>
      </c>
      <c r="I298" s="49" t="n">
        <f aca="false">K297*Annahmen!$B$57/12</f>
        <v>4925.87435187104</v>
      </c>
      <c r="J298" s="49" t="n">
        <f aca="false">MIN($I$3-I298,K297)</f>
        <v>5482.48275638919</v>
      </c>
      <c r="K298" s="49" t="n">
        <f aca="false">K297-J298</f>
        <v>1472279.82280492</v>
      </c>
      <c r="L298" s="49" t="n">
        <f aca="false">C298+F298+I298</f>
        <v>8440.94244400218</v>
      </c>
      <c r="M298" s="49" t="n">
        <f aca="false">D298+G298+J298</f>
        <v>9292.41466425805</v>
      </c>
      <c r="N298" s="49" t="n">
        <f aca="false">L298+M298</f>
        <v>17733.3571082602</v>
      </c>
      <c r="O298" s="49" t="n">
        <f aca="false">E298+H298+K298</f>
        <v>3007906.18580533</v>
      </c>
    </row>
    <row r="299" customFormat="false" ht="15" hidden="false" customHeight="false" outlineLevel="0" collapsed="false">
      <c r="A299" s="48" t="n">
        <v>293</v>
      </c>
      <c r="B299" s="48" t="n">
        <f aca="false">ROUNDUP(A299/12,0)</f>
        <v>25</v>
      </c>
      <c r="C299" s="49" t="n">
        <f aca="false">E298*Annahmen!$B$55/12</f>
        <v>1663.79575325136</v>
      </c>
      <c r="D299" s="49" t="n">
        <f aca="false">MIN($C$3-C299,E298)</f>
        <v>1836.20424674864</v>
      </c>
      <c r="E299" s="49" t="n">
        <f aca="false">E298-D299</f>
        <v>796785.757313904</v>
      </c>
      <c r="F299" s="49" t="n">
        <f aca="false">H298*Annahmen!$B$56/12</f>
        <v>1842.5110035994</v>
      </c>
      <c r="G299" s="49" t="n">
        <f aca="false">MIN($F$3-F299,H298)</f>
        <v>1982.4889964006</v>
      </c>
      <c r="H299" s="49" t="n">
        <f aca="false">H298-G299</f>
        <v>735021.912443359</v>
      </c>
      <c r="I299" s="49" t="n">
        <f aca="false">K298*Annahmen!$B$57/12</f>
        <v>4907.59940934974</v>
      </c>
      <c r="J299" s="49" t="n">
        <f aca="false">MIN($I$3-I299,K298)</f>
        <v>5500.75769891048</v>
      </c>
      <c r="K299" s="49" t="n">
        <f aca="false">K298-J299</f>
        <v>1466779.06510601</v>
      </c>
      <c r="L299" s="49" t="n">
        <f aca="false">C299+F299+I299</f>
        <v>8413.9061662005</v>
      </c>
      <c r="M299" s="49" t="n">
        <f aca="false">D299+G299+J299</f>
        <v>9319.45094205973</v>
      </c>
      <c r="N299" s="49" t="n">
        <f aca="false">L299+M299</f>
        <v>17733.3571082602</v>
      </c>
      <c r="O299" s="49" t="n">
        <f aca="false">E299+H299+K299</f>
        <v>2998586.73486327</v>
      </c>
    </row>
    <row r="300" customFormat="false" ht="15" hidden="false" customHeight="false" outlineLevel="0" collapsed="false">
      <c r="A300" s="48" t="n">
        <v>294</v>
      </c>
      <c r="B300" s="48" t="n">
        <f aca="false">ROUNDUP(A300/12,0)</f>
        <v>25</v>
      </c>
      <c r="C300" s="49" t="n">
        <f aca="false">E299*Annahmen!$B$55/12</f>
        <v>1659.9703277373</v>
      </c>
      <c r="D300" s="49" t="n">
        <f aca="false">MIN($C$3-C300,E299)</f>
        <v>1840.0296722627</v>
      </c>
      <c r="E300" s="49" t="n">
        <f aca="false">E299-D300</f>
        <v>794945.727641642</v>
      </c>
      <c r="F300" s="49" t="n">
        <f aca="false">H299*Annahmen!$B$56/12</f>
        <v>1837.5547811084</v>
      </c>
      <c r="G300" s="49" t="n">
        <f aca="false">MIN($F$3-F300,H299)</f>
        <v>1987.4452188916</v>
      </c>
      <c r="H300" s="49" t="n">
        <f aca="false">H299-G300</f>
        <v>733034.467224467</v>
      </c>
      <c r="I300" s="49" t="n">
        <f aca="false">K299*Annahmen!$B$57/12</f>
        <v>4889.26355035337</v>
      </c>
      <c r="J300" s="49" t="n">
        <f aca="false">MIN($I$3-I300,K299)</f>
        <v>5519.09355790685</v>
      </c>
      <c r="K300" s="49" t="n">
        <f aca="false">K299-J300</f>
        <v>1461259.9715481</v>
      </c>
      <c r="L300" s="49" t="n">
        <f aca="false">C300+F300+I300</f>
        <v>8386.78865919907</v>
      </c>
      <c r="M300" s="49" t="n">
        <f aca="false">D300+G300+J300</f>
        <v>9346.56844906116</v>
      </c>
      <c r="N300" s="49" t="n">
        <f aca="false">L300+M300</f>
        <v>17733.3571082602</v>
      </c>
      <c r="O300" s="49" t="n">
        <f aca="false">E300+H300+K300</f>
        <v>2989240.16641421</v>
      </c>
    </row>
    <row r="301" customFormat="false" ht="15" hidden="false" customHeight="false" outlineLevel="0" collapsed="false">
      <c r="A301" s="48" t="n">
        <v>295</v>
      </c>
      <c r="B301" s="48" t="n">
        <f aca="false">ROUNDUP(A301/12,0)</f>
        <v>25</v>
      </c>
      <c r="C301" s="49" t="n">
        <f aca="false">E300*Annahmen!$B$55/12</f>
        <v>1656.13693258675</v>
      </c>
      <c r="D301" s="49" t="n">
        <f aca="false">MIN($C$3-C301,E300)</f>
        <v>1843.86306741325</v>
      </c>
      <c r="E301" s="49" t="n">
        <f aca="false">E300-D301</f>
        <v>793101.864574228</v>
      </c>
      <c r="F301" s="49" t="n">
        <f aca="false">H300*Annahmen!$B$56/12</f>
        <v>1832.58616806117</v>
      </c>
      <c r="G301" s="49" t="n">
        <f aca="false">MIN($F$3-F301,H300)</f>
        <v>1992.41383193883</v>
      </c>
      <c r="H301" s="49" t="n">
        <f aca="false">H300-G301</f>
        <v>731042.053392528</v>
      </c>
      <c r="I301" s="49" t="n">
        <f aca="false">K300*Annahmen!$B$57/12</f>
        <v>4870.86657182702</v>
      </c>
      <c r="J301" s="49" t="n">
        <f aca="false">MIN($I$3-I301,K300)</f>
        <v>5537.49053643321</v>
      </c>
      <c r="K301" s="49" t="n">
        <f aca="false">K300-J301</f>
        <v>1455722.48101167</v>
      </c>
      <c r="L301" s="49" t="n">
        <f aca="false">C301+F301+I301</f>
        <v>8359.58967247494</v>
      </c>
      <c r="M301" s="49" t="n">
        <f aca="false">D301+G301+J301</f>
        <v>9373.76743578529</v>
      </c>
      <c r="N301" s="49" t="n">
        <f aca="false">L301+M301</f>
        <v>17733.3571082602</v>
      </c>
      <c r="O301" s="49" t="n">
        <f aca="false">E301+H301+K301</f>
        <v>2979866.39897843</v>
      </c>
    </row>
    <row r="302" customFormat="false" ht="15" hidden="false" customHeight="false" outlineLevel="0" collapsed="false">
      <c r="A302" s="48" t="n">
        <v>296</v>
      </c>
      <c r="B302" s="48" t="n">
        <f aca="false">ROUNDUP(A302/12,0)</f>
        <v>25</v>
      </c>
      <c r="C302" s="49" t="n">
        <f aca="false">E301*Annahmen!$B$55/12</f>
        <v>1652.29555119631</v>
      </c>
      <c r="D302" s="49" t="n">
        <f aca="false">MIN($C$3-C302,E301)</f>
        <v>1847.70444880369</v>
      </c>
      <c r="E302" s="49" t="n">
        <f aca="false">E301-D302</f>
        <v>791254.160125425</v>
      </c>
      <c r="F302" s="49" t="n">
        <f aca="false">H301*Annahmen!$B$56/12</f>
        <v>1827.60513348132</v>
      </c>
      <c r="G302" s="49" t="n">
        <f aca="false">MIN($F$3-F302,H301)</f>
        <v>1997.39486651868</v>
      </c>
      <c r="H302" s="49" t="n">
        <f aca="false">H301-G302</f>
        <v>729044.658526009</v>
      </c>
      <c r="I302" s="49" t="n">
        <f aca="false">K301*Annahmen!$B$57/12</f>
        <v>4852.40827003891</v>
      </c>
      <c r="J302" s="49" t="n">
        <f aca="false">MIN($I$3-I302,K301)</f>
        <v>5555.94883822132</v>
      </c>
      <c r="K302" s="49" t="n">
        <f aca="false">K301-J302</f>
        <v>1450166.53217345</v>
      </c>
      <c r="L302" s="49" t="n">
        <f aca="false">C302+F302+I302</f>
        <v>8332.30895471654</v>
      </c>
      <c r="M302" s="49" t="n">
        <f aca="false">D302+G302+J302</f>
        <v>9401.04815354369</v>
      </c>
      <c r="N302" s="49" t="n">
        <f aca="false">L302+M302</f>
        <v>17733.3571082602</v>
      </c>
      <c r="O302" s="49" t="n">
        <f aca="false">E302+H302+K302</f>
        <v>2970465.35082488</v>
      </c>
    </row>
    <row r="303" customFormat="false" ht="15" hidden="false" customHeight="false" outlineLevel="0" collapsed="false">
      <c r="A303" s="48" t="n">
        <v>297</v>
      </c>
      <c r="B303" s="48" t="n">
        <f aca="false">ROUNDUP(A303/12,0)</f>
        <v>25</v>
      </c>
      <c r="C303" s="49" t="n">
        <f aca="false">E302*Annahmen!$B$55/12</f>
        <v>1648.44616692797</v>
      </c>
      <c r="D303" s="49" t="n">
        <f aca="false">MIN($C$3-C303,E302)</f>
        <v>1851.55383307203</v>
      </c>
      <c r="E303" s="49" t="n">
        <f aca="false">E302-D303</f>
        <v>789402.606292353</v>
      </c>
      <c r="F303" s="49" t="n">
        <f aca="false">H302*Annahmen!$B$56/12</f>
        <v>1822.61164631502</v>
      </c>
      <c r="G303" s="49" t="n">
        <f aca="false">MIN($F$3-F303,H302)</f>
        <v>2002.38835368498</v>
      </c>
      <c r="H303" s="49" t="n">
        <f aca="false">H302-G303</f>
        <v>727042.270172324</v>
      </c>
      <c r="I303" s="49" t="n">
        <f aca="false">K302*Annahmen!$B$57/12</f>
        <v>4833.88844057817</v>
      </c>
      <c r="J303" s="49" t="n">
        <f aca="false">MIN($I$3-I303,K302)</f>
        <v>5574.46866768206</v>
      </c>
      <c r="K303" s="49" t="n">
        <f aca="false">K302-J303</f>
        <v>1444592.06350577</v>
      </c>
      <c r="L303" s="49" t="n">
        <f aca="false">C303+F303+I303</f>
        <v>8304.94625382116</v>
      </c>
      <c r="M303" s="49" t="n">
        <f aca="false">D303+G303+J303</f>
        <v>9428.41085443907</v>
      </c>
      <c r="N303" s="49" t="n">
        <f aca="false">L303+M303</f>
        <v>17733.3571082602</v>
      </c>
      <c r="O303" s="49" t="n">
        <f aca="false">E303+H303+K303</f>
        <v>2961036.93997045</v>
      </c>
    </row>
    <row r="304" customFormat="false" ht="15" hidden="false" customHeight="false" outlineLevel="0" collapsed="false">
      <c r="A304" s="48" t="n">
        <v>298</v>
      </c>
      <c r="B304" s="48" t="n">
        <f aca="false">ROUNDUP(A304/12,0)</f>
        <v>25</v>
      </c>
      <c r="C304" s="49" t="n">
        <f aca="false">E303*Annahmen!$B$55/12</f>
        <v>1644.58876310907</v>
      </c>
      <c r="D304" s="49" t="n">
        <f aca="false">MIN($C$3-C304,E303)</f>
        <v>1855.41123689093</v>
      </c>
      <c r="E304" s="49" t="n">
        <f aca="false">E303-D304</f>
        <v>787547.195055462</v>
      </c>
      <c r="F304" s="49" t="n">
        <f aca="false">H303*Annahmen!$B$56/12</f>
        <v>1817.60567543081</v>
      </c>
      <c r="G304" s="49" t="n">
        <f aca="false">MIN($F$3-F304,H303)</f>
        <v>2007.39432456919</v>
      </c>
      <c r="H304" s="49" t="n">
        <f aca="false">H303-G304</f>
        <v>725034.875847755</v>
      </c>
      <c r="I304" s="49" t="n">
        <f aca="false">K303*Annahmen!$B$57/12</f>
        <v>4815.30687835256</v>
      </c>
      <c r="J304" s="49" t="n">
        <f aca="false">MIN($I$3-I304,K303)</f>
        <v>5593.05022990766</v>
      </c>
      <c r="K304" s="49" t="n">
        <f aca="false">K303-J304</f>
        <v>1438999.01327586</v>
      </c>
      <c r="L304" s="49" t="n">
        <f aca="false">C304+F304+I304</f>
        <v>8277.50131689244</v>
      </c>
      <c r="M304" s="49" t="n">
        <f aca="false">D304+G304+J304</f>
        <v>9455.85579136779</v>
      </c>
      <c r="N304" s="49" t="n">
        <f aca="false">L304+M304</f>
        <v>17733.3571082602</v>
      </c>
      <c r="O304" s="49" t="n">
        <f aca="false">E304+H304+K304</f>
        <v>2951581.08417908</v>
      </c>
    </row>
    <row r="305" customFormat="false" ht="15" hidden="false" customHeight="false" outlineLevel="0" collapsed="false">
      <c r="A305" s="48" t="n">
        <v>299</v>
      </c>
      <c r="B305" s="48" t="n">
        <f aca="false">ROUNDUP(A305/12,0)</f>
        <v>25</v>
      </c>
      <c r="C305" s="49" t="n">
        <f aca="false">E304*Annahmen!$B$55/12</f>
        <v>1640.72332303221</v>
      </c>
      <c r="D305" s="49" t="n">
        <f aca="false">MIN($C$3-C305,E304)</f>
        <v>1859.27667696779</v>
      </c>
      <c r="E305" s="49" t="n">
        <f aca="false">E304-D305</f>
        <v>785687.918378494</v>
      </c>
      <c r="F305" s="49" t="n">
        <f aca="false">H304*Annahmen!$B$56/12</f>
        <v>1812.58718961939</v>
      </c>
      <c r="G305" s="49" t="n">
        <f aca="false">MIN($F$3-F305,H304)</f>
        <v>2012.41281038061</v>
      </c>
      <c r="H305" s="49" t="n">
        <f aca="false">H304-G305</f>
        <v>723022.463037375</v>
      </c>
      <c r="I305" s="49" t="n">
        <f aca="false">K304*Annahmen!$B$57/12</f>
        <v>4796.6633775862</v>
      </c>
      <c r="J305" s="49" t="n">
        <f aca="false">MIN($I$3-I305,K304)</f>
        <v>5611.69373067402</v>
      </c>
      <c r="K305" s="49" t="n">
        <f aca="false">K304-J305</f>
        <v>1433387.31954519</v>
      </c>
      <c r="L305" s="49" t="n">
        <f aca="false">C305+F305+I305</f>
        <v>8249.9738902378</v>
      </c>
      <c r="M305" s="49" t="n">
        <f aca="false">D305+G305+J305</f>
        <v>9483.38321802242</v>
      </c>
      <c r="N305" s="49" t="n">
        <f aca="false">L305+M305</f>
        <v>17733.3571082602</v>
      </c>
      <c r="O305" s="49" t="n">
        <f aca="false">E305+H305+K305</f>
        <v>2942097.70096106</v>
      </c>
    </row>
    <row r="306" customFormat="false" ht="15" hidden="false" customHeight="false" outlineLevel="0" collapsed="false">
      <c r="A306" s="48" t="n">
        <v>300</v>
      </c>
      <c r="B306" s="48" t="n">
        <f aca="false">ROUNDUP(A306/12,0)</f>
        <v>25</v>
      </c>
      <c r="C306" s="49" t="n">
        <f aca="false">E305*Annahmen!$B$55/12</f>
        <v>1636.8498299552</v>
      </c>
      <c r="D306" s="49" t="n">
        <f aca="false">MIN($C$3-C306,E305)</f>
        <v>1863.15017004481</v>
      </c>
      <c r="E306" s="49" t="n">
        <f aca="false">E305-D306</f>
        <v>783824.768208449</v>
      </c>
      <c r="F306" s="49" t="n">
        <f aca="false">H305*Annahmen!$B$56/12</f>
        <v>1807.55615759344</v>
      </c>
      <c r="G306" s="49" t="n">
        <f aca="false">MIN($F$3-F306,H305)</f>
        <v>2017.44384240656</v>
      </c>
      <c r="H306" s="49" t="n">
        <f aca="false">H305-G306</f>
        <v>721005.019194968</v>
      </c>
      <c r="I306" s="49" t="n">
        <f aca="false">K305*Annahmen!$B$57/12</f>
        <v>4777.95773181729</v>
      </c>
      <c r="J306" s="49" t="n">
        <f aca="false">MIN($I$3-I306,K305)</f>
        <v>5630.39937644294</v>
      </c>
      <c r="K306" s="49" t="n">
        <f aca="false">K305-J306</f>
        <v>1427756.92016874</v>
      </c>
      <c r="L306" s="49" t="n">
        <f aca="false">C306+F306+I306</f>
        <v>8222.36371936592</v>
      </c>
      <c r="M306" s="49" t="n">
        <f aca="false">D306+G306+J306</f>
        <v>9510.99338889431</v>
      </c>
      <c r="N306" s="49" t="n">
        <f aca="false">L306+M306</f>
        <v>17733.3571082602</v>
      </c>
      <c r="O306" s="49" t="n">
        <f aca="false">E306+H306+K306</f>
        <v>2932586.70757216</v>
      </c>
    </row>
    <row r="307" customFormat="false" ht="15" hidden="false" customHeight="false" outlineLevel="0" collapsed="false">
      <c r="A307" s="48" t="n">
        <v>301</v>
      </c>
      <c r="B307" s="48" t="n">
        <f aca="false">ROUNDUP(A307/12,0)</f>
        <v>26</v>
      </c>
      <c r="C307" s="49" t="n">
        <f aca="false">E306*Annahmen!$B$55/12</f>
        <v>1632.96826710094</v>
      </c>
      <c r="D307" s="49" t="n">
        <f aca="false">MIN($C$3-C307,E306)</f>
        <v>1867.03173289907</v>
      </c>
      <c r="E307" s="49" t="n">
        <f aca="false">E306-D307</f>
        <v>781957.73647555</v>
      </c>
      <c r="F307" s="49" t="n">
        <f aca="false">H306*Annahmen!$B$56/12</f>
        <v>1802.51254798742</v>
      </c>
      <c r="G307" s="49" t="n">
        <f aca="false">MIN($F$3-F307,H306)</f>
        <v>2022.48745201258</v>
      </c>
      <c r="H307" s="49" t="n">
        <f aca="false">H306-G307</f>
        <v>718982.531742955</v>
      </c>
      <c r="I307" s="49" t="n">
        <f aca="false">K306*Annahmen!$B$57/12</f>
        <v>4759.18973389581</v>
      </c>
      <c r="J307" s="49" t="n">
        <f aca="false">MIN($I$3-I307,K306)</f>
        <v>5649.16737436441</v>
      </c>
      <c r="K307" s="49" t="n">
        <f aca="false">K306-J307</f>
        <v>1422107.75279438</v>
      </c>
      <c r="L307" s="49" t="n">
        <f aca="false">C307+F307+I307</f>
        <v>8194.67054898417</v>
      </c>
      <c r="M307" s="49" t="n">
        <f aca="false">D307+G307+J307</f>
        <v>9538.68655927606</v>
      </c>
      <c r="N307" s="49" t="n">
        <f aca="false">L307+M307</f>
        <v>17733.3571082602</v>
      </c>
      <c r="O307" s="49" t="n">
        <f aca="false">E307+H307+K307</f>
        <v>2923048.02101288</v>
      </c>
    </row>
    <row r="308" customFormat="false" ht="15" hidden="false" customHeight="false" outlineLevel="0" collapsed="false">
      <c r="A308" s="48" t="n">
        <v>302</v>
      </c>
      <c r="B308" s="48" t="n">
        <f aca="false">ROUNDUP(A308/12,0)</f>
        <v>26</v>
      </c>
      <c r="C308" s="49" t="n">
        <f aca="false">E307*Annahmen!$B$55/12</f>
        <v>1629.0786176574</v>
      </c>
      <c r="D308" s="49" t="n">
        <f aca="false">MIN($C$3-C308,E307)</f>
        <v>1870.92138234261</v>
      </c>
      <c r="E308" s="49" t="n">
        <f aca="false">E307-D308</f>
        <v>780086.815093208</v>
      </c>
      <c r="F308" s="49" t="n">
        <f aca="false">H307*Annahmen!$B$56/12</f>
        <v>1797.45632935739</v>
      </c>
      <c r="G308" s="49" t="n">
        <f aca="false">MIN($F$3-F308,H307)</f>
        <v>2027.54367064261</v>
      </c>
      <c r="H308" s="49" t="n">
        <f aca="false">H307-G308</f>
        <v>716954.988072313</v>
      </c>
      <c r="I308" s="49" t="n">
        <f aca="false">K307*Annahmen!$B$57/12</f>
        <v>4740.35917598126</v>
      </c>
      <c r="J308" s="49" t="n">
        <f aca="false">MIN($I$3-I308,K307)</f>
        <v>5667.99793227896</v>
      </c>
      <c r="K308" s="49" t="n">
        <f aca="false">K307-J308</f>
        <v>1416439.7548621</v>
      </c>
      <c r="L308" s="49" t="n">
        <f aca="false">C308+F308+I308</f>
        <v>8166.89412299605</v>
      </c>
      <c r="M308" s="49" t="n">
        <f aca="false">D308+G308+J308</f>
        <v>9566.46298526418</v>
      </c>
      <c r="N308" s="49" t="n">
        <f aca="false">L308+M308</f>
        <v>17733.3571082602</v>
      </c>
      <c r="O308" s="49" t="n">
        <f aca="false">E308+H308+K308</f>
        <v>2913481.55802762</v>
      </c>
    </row>
    <row r="309" customFormat="false" ht="15" hidden="false" customHeight="false" outlineLevel="0" collapsed="false">
      <c r="A309" s="48" t="n">
        <v>303</v>
      </c>
      <c r="B309" s="48" t="n">
        <f aca="false">ROUNDUP(A309/12,0)</f>
        <v>26</v>
      </c>
      <c r="C309" s="49" t="n">
        <f aca="false">E308*Annahmen!$B$55/12</f>
        <v>1625.18086477752</v>
      </c>
      <c r="D309" s="49" t="n">
        <f aca="false">MIN($C$3-C309,E308)</f>
        <v>1874.81913522249</v>
      </c>
      <c r="E309" s="49" t="n">
        <f aca="false">E308-D309</f>
        <v>778211.995957985</v>
      </c>
      <c r="F309" s="49" t="n">
        <f aca="false">H308*Annahmen!$B$56/12</f>
        <v>1792.38747018078</v>
      </c>
      <c r="G309" s="49" t="n">
        <f aca="false">MIN($F$3-F309,H308)</f>
        <v>2032.61252981922</v>
      </c>
      <c r="H309" s="49" t="n">
        <f aca="false">H308-G309</f>
        <v>714922.375542493</v>
      </c>
      <c r="I309" s="49" t="n">
        <f aca="false">K308*Annahmen!$B$57/12</f>
        <v>4721.46584954033</v>
      </c>
      <c r="J309" s="49" t="n">
        <f aca="false">MIN($I$3-I309,K308)</f>
        <v>5686.89125871989</v>
      </c>
      <c r="K309" s="49" t="n">
        <f aca="false">K308-J309</f>
        <v>1410752.86360338</v>
      </c>
      <c r="L309" s="49" t="n">
        <f aca="false">C309+F309+I309</f>
        <v>8139.03418449863</v>
      </c>
      <c r="M309" s="49" t="n">
        <f aca="false">D309+G309+J309</f>
        <v>9594.32292376159</v>
      </c>
      <c r="N309" s="49" t="n">
        <f aca="false">L309+M309</f>
        <v>17733.3571082602</v>
      </c>
      <c r="O309" s="49" t="n">
        <f aca="false">E309+H309+K309</f>
        <v>2903887.23510386</v>
      </c>
    </row>
    <row r="310" customFormat="false" ht="15" hidden="false" customHeight="false" outlineLevel="0" collapsed="false">
      <c r="A310" s="48" t="n">
        <v>304</v>
      </c>
      <c r="B310" s="48" t="n">
        <f aca="false">ROUNDUP(A310/12,0)</f>
        <v>26</v>
      </c>
      <c r="C310" s="49" t="n">
        <f aca="false">E309*Annahmen!$B$55/12</f>
        <v>1621.27499157914</v>
      </c>
      <c r="D310" s="49" t="n">
        <f aca="false">MIN($C$3-C310,E309)</f>
        <v>1878.72500842087</v>
      </c>
      <c r="E310" s="49" t="n">
        <f aca="false">E309-D310</f>
        <v>776333.270949564</v>
      </c>
      <c r="F310" s="49" t="n">
        <f aca="false">H309*Annahmen!$B$56/12</f>
        <v>1787.30593885623</v>
      </c>
      <c r="G310" s="49" t="n">
        <f aca="false">MIN($F$3-F310,H309)</f>
        <v>2037.69406114377</v>
      </c>
      <c r="H310" s="49" t="n">
        <f aca="false">H309-G310</f>
        <v>712884.68148135</v>
      </c>
      <c r="I310" s="49" t="n">
        <f aca="false">K309*Annahmen!$B$57/12</f>
        <v>4702.5095453446</v>
      </c>
      <c r="J310" s="49" t="n">
        <f aca="false">MIN($I$3-I310,K309)</f>
        <v>5705.84756291562</v>
      </c>
      <c r="K310" s="49" t="n">
        <f aca="false">K309-J310</f>
        <v>1405047.01604046</v>
      </c>
      <c r="L310" s="49" t="n">
        <f aca="false">C310+F310+I310</f>
        <v>8111.09047577997</v>
      </c>
      <c r="M310" s="49" t="n">
        <f aca="false">D310+G310+J310</f>
        <v>9622.26663248026</v>
      </c>
      <c r="N310" s="49" t="n">
        <f aca="false">L310+M310</f>
        <v>17733.3571082602</v>
      </c>
      <c r="O310" s="49" t="n">
        <f aca="false">E310+H310+K310</f>
        <v>2894264.96847138</v>
      </c>
    </row>
    <row r="311" customFormat="false" ht="15" hidden="false" customHeight="false" outlineLevel="0" collapsed="false">
      <c r="A311" s="48" t="n">
        <v>305</v>
      </c>
      <c r="B311" s="48" t="n">
        <f aca="false">ROUNDUP(A311/12,0)</f>
        <v>26</v>
      </c>
      <c r="C311" s="49" t="n">
        <f aca="false">E310*Annahmen!$B$55/12</f>
        <v>1617.36098114493</v>
      </c>
      <c r="D311" s="49" t="n">
        <f aca="false">MIN($C$3-C311,E310)</f>
        <v>1882.63901885508</v>
      </c>
      <c r="E311" s="49" t="n">
        <f aca="false">E310-D311</f>
        <v>774450.631930709</v>
      </c>
      <c r="F311" s="49" t="n">
        <f aca="false">H310*Annahmen!$B$56/12</f>
        <v>1782.21170370337</v>
      </c>
      <c r="G311" s="49" t="n">
        <f aca="false">MIN($F$3-F311,H310)</f>
        <v>2042.78829629663</v>
      </c>
      <c r="H311" s="49" t="n">
        <f aca="false">H310-G311</f>
        <v>710841.893185053</v>
      </c>
      <c r="I311" s="49" t="n">
        <f aca="false">K310*Annahmen!$B$57/12</f>
        <v>4683.49005346822</v>
      </c>
      <c r="J311" s="49" t="n">
        <f aca="false">MIN($I$3-I311,K310)</f>
        <v>5724.86705479201</v>
      </c>
      <c r="K311" s="49" t="n">
        <f aca="false">K310-J311</f>
        <v>1399322.14898567</v>
      </c>
      <c r="L311" s="49" t="n">
        <f aca="false">C311+F311+I311</f>
        <v>8083.06273831652</v>
      </c>
      <c r="M311" s="49" t="n">
        <f aca="false">D311+G311+J311</f>
        <v>9650.29436994371</v>
      </c>
      <c r="N311" s="49" t="n">
        <f aca="false">L311+M311</f>
        <v>17733.3571082602</v>
      </c>
      <c r="O311" s="49" t="n">
        <f aca="false">E311+H311+K311</f>
        <v>2884614.67410143</v>
      </c>
    </row>
    <row r="312" customFormat="false" ht="15" hidden="false" customHeight="false" outlineLevel="0" collapsed="false">
      <c r="A312" s="48" t="n">
        <v>306</v>
      </c>
      <c r="B312" s="48" t="n">
        <f aca="false">ROUNDUP(A312/12,0)</f>
        <v>26</v>
      </c>
      <c r="C312" s="49" t="n">
        <f aca="false">E311*Annahmen!$B$55/12</f>
        <v>1613.43881652231</v>
      </c>
      <c r="D312" s="49" t="n">
        <f aca="false">MIN($C$3-C312,E311)</f>
        <v>1886.56118347769</v>
      </c>
      <c r="E312" s="49" t="n">
        <f aca="false">E311-D312</f>
        <v>772564.070747232</v>
      </c>
      <c r="F312" s="49" t="n">
        <f aca="false">H311*Annahmen!$B$56/12</f>
        <v>1777.10473296263</v>
      </c>
      <c r="G312" s="49" t="n">
        <f aca="false">MIN($F$3-F312,H311)</f>
        <v>2047.89526703737</v>
      </c>
      <c r="H312" s="49" t="n">
        <f aca="false">H311-G312</f>
        <v>708793.997918016</v>
      </c>
      <c r="I312" s="49" t="n">
        <f aca="false">K311*Annahmen!$B$57/12</f>
        <v>4664.40716328558</v>
      </c>
      <c r="J312" s="49" t="n">
        <f aca="false">MIN($I$3-I312,K311)</f>
        <v>5743.94994497465</v>
      </c>
      <c r="K312" s="49" t="n">
        <f aca="false">K311-J312</f>
        <v>1393578.1990407</v>
      </c>
      <c r="L312" s="49" t="n">
        <f aca="false">C312+F312+I312</f>
        <v>8054.95071277052</v>
      </c>
      <c r="M312" s="49" t="n">
        <f aca="false">D312+G312+J312</f>
        <v>9678.40639548971</v>
      </c>
      <c r="N312" s="49" t="n">
        <f aca="false">L312+M312</f>
        <v>17733.3571082602</v>
      </c>
      <c r="O312" s="49" t="n">
        <f aca="false">E312+H312+K312</f>
        <v>2874936.26770595</v>
      </c>
    </row>
    <row r="313" customFormat="false" ht="15" hidden="false" customHeight="false" outlineLevel="0" collapsed="false">
      <c r="A313" s="48" t="n">
        <v>307</v>
      </c>
      <c r="B313" s="48" t="n">
        <f aca="false">ROUNDUP(A313/12,0)</f>
        <v>26</v>
      </c>
      <c r="C313" s="49" t="n">
        <f aca="false">E312*Annahmen!$B$55/12</f>
        <v>1609.5084807234</v>
      </c>
      <c r="D313" s="49" t="n">
        <f aca="false">MIN($C$3-C313,E312)</f>
        <v>1890.4915192766</v>
      </c>
      <c r="E313" s="49" t="n">
        <f aca="false">E312-D313</f>
        <v>770673.579227955</v>
      </c>
      <c r="F313" s="49" t="n">
        <f aca="false">H312*Annahmen!$B$56/12</f>
        <v>1771.98499479504</v>
      </c>
      <c r="G313" s="49" t="n">
        <f aca="false">MIN($F$3-F313,H312)</f>
        <v>2053.01500520496</v>
      </c>
      <c r="H313" s="49" t="n">
        <f aca="false">H312-G313</f>
        <v>706740.982912811</v>
      </c>
      <c r="I313" s="49" t="n">
        <f aca="false">K312*Annahmen!$B$57/12</f>
        <v>4645.26066346899</v>
      </c>
      <c r="J313" s="49" t="n">
        <f aca="false">MIN($I$3-I313,K312)</f>
        <v>5763.09644479123</v>
      </c>
      <c r="K313" s="49" t="n">
        <f aca="false">K312-J313</f>
        <v>1387815.10259591</v>
      </c>
      <c r="L313" s="49" t="n">
        <f aca="false">C313+F313+I313</f>
        <v>8026.75413898743</v>
      </c>
      <c r="M313" s="49" t="n">
        <f aca="false">D313+G313+J313</f>
        <v>9706.60296927279</v>
      </c>
      <c r="N313" s="49" t="n">
        <f aca="false">L313+M313</f>
        <v>17733.3571082602</v>
      </c>
      <c r="O313" s="49" t="n">
        <f aca="false">E313+H313+K313</f>
        <v>2865229.66473667</v>
      </c>
    </row>
    <row r="314" customFormat="false" ht="15" hidden="false" customHeight="false" outlineLevel="0" collapsed="false">
      <c r="A314" s="48" t="n">
        <v>308</v>
      </c>
      <c r="B314" s="48" t="n">
        <f aca="false">ROUNDUP(A314/12,0)</f>
        <v>26</v>
      </c>
      <c r="C314" s="49" t="n">
        <f aca="false">E313*Annahmen!$B$55/12</f>
        <v>1605.56995672491</v>
      </c>
      <c r="D314" s="49" t="n">
        <f aca="false">MIN($C$3-C314,E313)</f>
        <v>1894.4300432751</v>
      </c>
      <c r="E314" s="49" t="n">
        <f aca="false">E313-D314</f>
        <v>768779.14918468</v>
      </c>
      <c r="F314" s="49" t="n">
        <f aca="false">H313*Annahmen!$B$56/12</f>
        <v>1766.85245728203</v>
      </c>
      <c r="G314" s="49" t="n">
        <f aca="false">MIN($F$3-F314,H313)</f>
        <v>2058.14754271797</v>
      </c>
      <c r="H314" s="49" t="n">
        <f aca="false">H313-G314</f>
        <v>704682.835370093</v>
      </c>
      <c r="I314" s="49" t="n">
        <f aca="false">K313*Annahmen!$B$57/12</f>
        <v>4626.05034198636</v>
      </c>
      <c r="J314" s="49" t="n">
        <f aca="false">MIN($I$3-I314,K313)</f>
        <v>5782.30676627387</v>
      </c>
      <c r="K314" s="49" t="n">
        <f aca="false">K313-J314</f>
        <v>1382032.79582963</v>
      </c>
      <c r="L314" s="49" t="n">
        <f aca="false">C314+F314+I314</f>
        <v>7998.47275599329</v>
      </c>
      <c r="M314" s="49" t="n">
        <f aca="false">D314+G314+J314</f>
        <v>9734.88435226694</v>
      </c>
      <c r="N314" s="49" t="n">
        <f aca="false">L314+M314</f>
        <v>17733.3571082602</v>
      </c>
      <c r="O314" s="49" t="n">
        <f aca="false">E314+H314+K314</f>
        <v>2855494.78038441</v>
      </c>
    </row>
    <row r="315" customFormat="false" ht="15" hidden="false" customHeight="false" outlineLevel="0" collapsed="false">
      <c r="A315" s="48" t="n">
        <v>309</v>
      </c>
      <c r="B315" s="48" t="n">
        <f aca="false">ROUNDUP(A315/12,0)</f>
        <v>26</v>
      </c>
      <c r="C315" s="49" t="n">
        <f aca="false">E314*Annahmen!$B$55/12</f>
        <v>1601.62322746808</v>
      </c>
      <c r="D315" s="49" t="n">
        <f aca="false">MIN($C$3-C315,E314)</f>
        <v>1898.37677253192</v>
      </c>
      <c r="E315" s="49" t="n">
        <f aca="false">E314-D315</f>
        <v>766880.772412148</v>
      </c>
      <c r="F315" s="49" t="n">
        <f aca="false">H314*Annahmen!$B$56/12</f>
        <v>1761.70708842523</v>
      </c>
      <c r="G315" s="49" t="n">
        <f aca="false">MIN($F$3-F315,H314)</f>
        <v>2063.29291157477</v>
      </c>
      <c r="H315" s="49" t="n">
        <f aca="false">H314-G315</f>
        <v>702619.542458518</v>
      </c>
      <c r="I315" s="49" t="n">
        <f aca="false">K314*Annahmen!$B$57/12</f>
        <v>4606.77598609878</v>
      </c>
      <c r="J315" s="49" t="n">
        <f aca="false">MIN($I$3-I315,K314)</f>
        <v>5801.58112216145</v>
      </c>
      <c r="K315" s="49" t="n">
        <f aca="false">K314-J315</f>
        <v>1376231.21470747</v>
      </c>
      <c r="L315" s="49" t="n">
        <f aca="false">C315+F315+I315</f>
        <v>7970.10630199209</v>
      </c>
      <c r="M315" s="49" t="n">
        <f aca="false">D315+G315+J315</f>
        <v>9763.25080626813</v>
      </c>
      <c r="N315" s="49" t="n">
        <f aca="false">L315+M315</f>
        <v>17733.3571082602</v>
      </c>
      <c r="O315" s="49" t="n">
        <f aca="false">E315+H315+K315</f>
        <v>2845731.52957814</v>
      </c>
    </row>
    <row r="316" customFormat="false" ht="15" hidden="false" customHeight="false" outlineLevel="0" collapsed="false">
      <c r="A316" s="48" t="n">
        <v>310</v>
      </c>
      <c r="B316" s="48" t="n">
        <f aca="false">ROUNDUP(A316/12,0)</f>
        <v>26</v>
      </c>
      <c r="C316" s="49" t="n">
        <f aca="false">E315*Annahmen!$B$55/12</f>
        <v>1597.66827585864</v>
      </c>
      <c r="D316" s="49" t="n">
        <f aca="false">MIN($C$3-C316,E315)</f>
        <v>1902.33172414136</v>
      </c>
      <c r="E316" s="49" t="n">
        <f aca="false">E315-D316</f>
        <v>764978.440688007</v>
      </c>
      <c r="F316" s="49" t="n">
        <f aca="false">H315*Annahmen!$B$56/12</f>
        <v>1756.54885614629</v>
      </c>
      <c r="G316" s="49" t="n">
        <f aca="false">MIN($F$3-F316,H315)</f>
        <v>2068.45114385371</v>
      </c>
      <c r="H316" s="49" t="n">
        <f aca="false">H315-G316</f>
        <v>700551.091314664</v>
      </c>
      <c r="I316" s="49" t="n">
        <f aca="false">K315*Annahmen!$B$57/12</f>
        <v>4587.43738235824</v>
      </c>
      <c r="J316" s="49" t="n">
        <f aca="false">MIN($I$3-I316,K315)</f>
        <v>5820.91972590199</v>
      </c>
      <c r="K316" s="49" t="n">
        <f aca="false">K315-J316</f>
        <v>1370410.29498157</v>
      </c>
      <c r="L316" s="49" t="n">
        <f aca="false">C316+F316+I316</f>
        <v>7941.65451436317</v>
      </c>
      <c r="M316" s="49" t="n">
        <f aca="false">D316+G316+J316</f>
        <v>9791.70259389705</v>
      </c>
      <c r="N316" s="49" t="n">
        <f aca="false">L316+M316</f>
        <v>17733.3571082602</v>
      </c>
      <c r="O316" s="49" t="n">
        <f aca="false">E316+H316+K316</f>
        <v>2835939.82698424</v>
      </c>
    </row>
    <row r="317" customFormat="false" ht="15" hidden="false" customHeight="false" outlineLevel="0" collapsed="false">
      <c r="A317" s="48" t="n">
        <v>311</v>
      </c>
      <c r="B317" s="48" t="n">
        <f aca="false">ROUNDUP(A317/12,0)</f>
        <v>26</v>
      </c>
      <c r="C317" s="49" t="n">
        <f aca="false">E316*Annahmen!$B$55/12</f>
        <v>1593.70508476668</v>
      </c>
      <c r="D317" s="49" t="n">
        <f aca="false">MIN($C$3-C317,E316)</f>
        <v>1906.29491523332</v>
      </c>
      <c r="E317" s="49" t="n">
        <f aca="false">E316-D317</f>
        <v>763072.145772773</v>
      </c>
      <c r="F317" s="49" t="n">
        <f aca="false">H316*Annahmen!$B$56/12</f>
        <v>1751.37772828666</v>
      </c>
      <c r="G317" s="49" t="n">
        <f aca="false">MIN($F$3-F317,H316)</f>
        <v>2073.62227171334</v>
      </c>
      <c r="H317" s="49" t="n">
        <f aca="false">H316-G317</f>
        <v>698477.469042951</v>
      </c>
      <c r="I317" s="49" t="n">
        <f aca="false">K316*Annahmen!$B$57/12</f>
        <v>4568.03431660523</v>
      </c>
      <c r="J317" s="49" t="n">
        <f aca="false">MIN($I$3-I317,K316)</f>
        <v>5840.32279165499</v>
      </c>
      <c r="K317" s="49" t="n">
        <f aca="false">K316-J317</f>
        <v>1364569.97218991</v>
      </c>
      <c r="L317" s="49" t="n">
        <f aca="false">C317+F317+I317</f>
        <v>7913.11712965857</v>
      </c>
      <c r="M317" s="49" t="n">
        <f aca="false">D317+G317+J317</f>
        <v>9820.23997860165</v>
      </c>
      <c r="N317" s="49" t="n">
        <f aca="false">L317+M317</f>
        <v>17733.3571082602</v>
      </c>
      <c r="O317" s="49" t="n">
        <f aca="false">E317+H317+K317</f>
        <v>2826119.58700564</v>
      </c>
    </row>
    <row r="318" customFormat="false" ht="15" hidden="false" customHeight="false" outlineLevel="0" collapsed="false">
      <c r="A318" s="48" t="n">
        <v>312</v>
      </c>
      <c r="B318" s="48" t="n">
        <f aca="false">ROUNDUP(A318/12,0)</f>
        <v>26</v>
      </c>
      <c r="C318" s="49" t="n">
        <f aca="false">E317*Annahmen!$B$55/12</f>
        <v>1589.73363702661</v>
      </c>
      <c r="D318" s="49" t="n">
        <f aca="false">MIN($C$3-C318,E317)</f>
        <v>1910.26636297339</v>
      </c>
      <c r="E318" s="49" t="n">
        <f aca="false">E317-D318</f>
        <v>761161.8794098</v>
      </c>
      <c r="F318" s="49" t="n">
        <f aca="false">H317*Annahmen!$B$56/12</f>
        <v>1746.19367260738</v>
      </c>
      <c r="G318" s="49" t="n">
        <f aca="false">MIN($F$3-F318,H317)</f>
        <v>2078.80632739262</v>
      </c>
      <c r="H318" s="49" t="n">
        <f aca="false">H317-G318</f>
        <v>696398.662715558</v>
      </c>
      <c r="I318" s="49" t="n">
        <f aca="false">K317*Annahmen!$B$57/12</f>
        <v>4548.56657396638</v>
      </c>
      <c r="J318" s="49" t="n">
        <f aca="false">MIN($I$3-I318,K317)</f>
        <v>5859.79053429384</v>
      </c>
      <c r="K318" s="49" t="n">
        <f aca="false">K317-J318</f>
        <v>1358710.18165562</v>
      </c>
      <c r="L318" s="49" t="n">
        <f aca="false">C318+F318+I318</f>
        <v>7884.49388360037</v>
      </c>
      <c r="M318" s="49" t="n">
        <f aca="false">D318+G318+J318</f>
        <v>9848.86322465986</v>
      </c>
      <c r="N318" s="49" t="n">
        <f aca="false">L318+M318</f>
        <v>17733.3571082602</v>
      </c>
      <c r="O318" s="49" t="n">
        <f aca="false">E318+H318+K318</f>
        <v>2816270.72378098</v>
      </c>
    </row>
    <row r="319" customFormat="false" ht="15" hidden="false" customHeight="false" outlineLevel="0" collapsed="false">
      <c r="A319" s="48" t="n">
        <v>313</v>
      </c>
      <c r="B319" s="48" t="n">
        <f aca="false">ROUNDUP(A319/12,0)</f>
        <v>27</v>
      </c>
      <c r="C319" s="49" t="n">
        <f aca="false">E318*Annahmen!$B$55/12</f>
        <v>1585.75391543708</v>
      </c>
      <c r="D319" s="49" t="n">
        <f aca="false">MIN($C$3-C319,E318)</f>
        <v>1914.24608456292</v>
      </c>
      <c r="E319" s="49" t="n">
        <f aca="false">E318-D319</f>
        <v>759247.633325237</v>
      </c>
      <c r="F319" s="49" t="n">
        <f aca="false">H318*Annahmen!$B$56/12</f>
        <v>1740.9966567889</v>
      </c>
      <c r="G319" s="49" t="n">
        <f aca="false">MIN($F$3-F319,H318)</f>
        <v>2084.00334321111</v>
      </c>
      <c r="H319" s="49" t="n">
        <f aca="false">H318-G319</f>
        <v>694314.659372347</v>
      </c>
      <c r="I319" s="49" t="n">
        <f aca="false">K318*Annahmen!$B$57/12</f>
        <v>4529.03393885207</v>
      </c>
      <c r="J319" s="49" t="n">
        <f aca="false">MIN($I$3-I319,K318)</f>
        <v>5879.32316940815</v>
      </c>
      <c r="K319" s="49" t="n">
        <f aca="false">K318-J319</f>
        <v>1352830.85848621</v>
      </c>
      <c r="L319" s="49" t="n">
        <f aca="false">C319+F319+I319</f>
        <v>7855.78451107805</v>
      </c>
      <c r="M319" s="49" t="n">
        <f aca="false">D319+G319+J319</f>
        <v>9877.57259718218</v>
      </c>
      <c r="N319" s="49" t="n">
        <f aca="false">L319+M319</f>
        <v>17733.3571082602</v>
      </c>
      <c r="O319" s="49" t="n">
        <f aca="false">E319+H319+K319</f>
        <v>2806393.1511838</v>
      </c>
    </row>
    <row r="320" customFormat="false" ht="15" hidden="false" customHeight="false" outlineLevel="0" collapsed="false">
      <c r="A320" s="48" t="n">
        <v>314</v>
      </c>
      <c r="B320" s="48" t="n">
        <f aca="false">ROUNDUP(A320/12,0)</f>
        <v>27</v>
      </c>
      <c r="C320" s="49" t="n">
        <f aca="false">E319*Annahmen!$B$55/12</f>
        <v>1581.76590276091</v>
      </c>
      <c r="D320" s="49" t="n">
        <f aca="false">MIN($C$3-C320,E319)</f>
        <v>1918.23409723909</v>
      </c>
      <c r="E320" s="49" t="n">
        <f aca="false">E319-D320</f>
        <v>757329.399227998</v>
      </c>
      <c r="F320" s="49" t="n">
        <f aca="false">H319*Annahmen!$B$56/12</f>
        <v>1735.78664843087</v>
      </c>
      <c r="G320" s="49" t="n">
        <f aca="false">MIN($F$3-F320,H319)</f>
        <v>2089.21335156913</v>
      </c>
      <c r="H320" s="49" t="n">
        <f aca="false">H319-G320</f>
        <v>692225.446020778</v>
      </c>
      <c r="I320" s="49" t="n">
        <f aca="false">K319*Annahmen!$B$57/12</f>
        <v>4509.43619495404</v>
      </c>
      <c r="J320" s="49" t="n">
        <f aca="false">MIN($I$3-I320,K319)</f>
        <v>5898.92091330618</v>
      </c>
      <c r="K320" s="49" t="n">
        <f aca="false">K319-J320</f>
        <v>1346931.93757291</v>
      </c>
      <c r="L320" s="49" t="n">
        <f aca="false">C320+F320+I320</f>
        <v>7826.98874614582</v>
      </c>
      <c r="M320" s="49" t="n">
        <f aca="false">D320+G320+J320</f>
        <v>9906.36836211441</v>
      </c>
      <c r="N320" s="49" t="n">
        <f aca="false">L320+M320</f>
        <v>17733.3571082602</v>
      </c>
      <c r="O320" s="49" t="n">
        <f aca="false">E320+H320+K320</f>
        <v>2796486.78282168</v>
      </c>
    </row>
    <row r="321" customFormat="false" ht="15" hidden="false" customHeight="false" outlineLevel="0" collapsed="false">
      <c r="A321" s="48" t="n">
        <v>315</v>
      </c>
      <c r="B321" s="48" t="n">
        <f aca="false">ROUNDUP(A321/12,0)</f>
        <v>27</v>
      </c>
      <c r="C321" s="49" t="n">
        <f aca="false">E320*Annahmen!$B$55/12</f>
        <v>1577.769581725</v>
      </c>
      <c r="D321" s="49" t="n">
        <f aca="false">MIN($C$3-C321,E320)</f>
        <v>1922.23041827501</v>
      </c>
      <c r="E321" s="49" t="n">
        <f aca="false">E320-D321</f>
        <v>755407.168809723</v>
      </c>
      <c r="F321" s="49" t="n">
        <f aca="false">H320*Annahmen!$B$56/12</f>
        <v>1730.56361505195</v>
      </c>
      <c r="G321" s="49" t="n">
        <f aca="false">MIN($F$3-F321,H320)</f>
        <v>2094.43638494806</v>
      </c>
      <c r="H321" s="49" t="n">
        <f aca="false">H320-G321</f>
        <v>690131.00963583</v>
      </c>
      <c r="I321" s="49" t="n">
        <f aca="false">K320*Annahmen!$B$57/12</f>
        <v>4489.77312524302</v>
      </c>
      <c r="J321" s="49" t="n">
        <f aca="false">MIN($I$3-I321,K320)</f>
        <v>5918.5839830172</v>
      </c>
      <c r="K321" s="49" t="n">
        <f aca="false">K320-J321</f>
        <v>1341013.35358989</v>
      </c>
      <c r="L321" s="49" t="n">
        <f aca="false">C321+F321+I321</f>
        <v>7798.10632201996</v>
      </c>
      <c r="M321" s="49" t="n">
        <f aca="false">D321+G321+J321</f>
        <v>9935.25078624026</v>
      </c>
      <c r="N321" s="49" t="n">
        <f aca="false">L321+M321</f>
        <v>17733.3571082602</v>
      </c>
      <c r="O321" s="49" t="n">
        <f aca="false">E321+H321+K321</f>
        <v>2786551.53203544</v>
      </c>
    </row>
    <row r="322" customFormat="false" ht="15" hidden="false" customHeight="false" outlineLevel="0" collapsed="false">
      <c r="A322" s="48" t="n">
        <v>316</v>
      </c>
      <c r="B322" s="48" t="n">
        <f aca="false">ROUNDUP(A322/12,0)</f>
        <v>27</v>
      </c>
      <c r="C322" s="49" t="n">
        <f aca="false">E321*Annahmen!$B$55/12</f>
        <v>1573.76493502026</v>
      </c>
      <c r="D322" s="49" t="n">
        <f aca="false">MIN($C$3-C322,E321)</f>
        <v>1926.23506497975</v>
      </c>
      <c r="E322" s="49" t="n">
        <f aca="false">E321-D322</f>
        <v>753480.933744743</v>
      </c>
      <c r="F322" s="49" t="n">
        <f aca="false">H321*Annahmen!$B$56/12</f>
        <v>1725.32752408957</v>
      </c>
      <c r="G322" s="49" t="n">
        <f aca="false">MIN($F$3-F322,H321)</f>
        <v>2099.67247591043</v>
      </c>
      <c r="H322" s="49" t="n">
        <f aca="false">H321-G322</f>
        <v>688031.33715992</v>
      </c>
      <c r="I322" s="49" t="n">
        <f aca="false">K321*Annahmen!$B$57/12</f>
        <v>4470.0445119663</v>
      </c>
      <c r="J322" s="49" t="n">
        <f aca="false">MIN($I$3-I322,K321)</f>
        <v>5938.31259629393</v>
      </c>
      <c r="K322" s="49" t="n">
        <f aca="false">K321-J322</f>
        <v>1335075.0409936</v>
      </c>
      <c r="L322" s="49" t="n">
        <f aca="false">C322+F322+I322</f>
        <v>7769.13697107613</v>
      </c>
      <c r="M322" s="49" t="n">
        <f aca="false">D322+G322+J322</f>
        <v>9964.2201371841</v>
      </c>
      <c r="N322" s="49" t="n">
        <f aca="false">L322+M322</f>
        <v>17733.3571082602</v>
      </c>
      <c r="O322" s="49" t="n">
        <f aca="false">E322+H322+K322</f>
        <v>2776587.31189826</v>
      </c>
    </row>
    <row r="323" customFormat="false" ht="15" hidden="false" customHeight="false" outlineLevel="0" collapsed="false">
      <c r="A323" s="48" t="n">
        <v>317</v>
      </c>
      <c r="B323" s="48" t="n">
        <f aca="false">ROUNDUP(A323/12,0)</f>
        <v>27</v>
      </c>
      <c r="C323" s="49" t="n">
        <f aca="false">E322*Annahmen!$B$55/12</f>
        <v>1569.75194530155</v>
      </c>
      <c r="D323" s="49" t="n">
        <f aca="false">MIN($C$3-C323,E322)</f>
        <v>1930.24805469845</v>
      </c>
      <c r="E323" s="49" t="n">
        <f aca="false">E322-D323</f>
        <v>751550.685690045</v>
      </c>
      <c r="F323" s="49" t="n">
        <f aca="false">H322*Annahmen!$B$56/12</f>
        <v>1720.0783428998</v>
      </c>
      <c r="G323" s="49" t="n">
        <f aca="false">MIN($F$3-F323,H322)</f>
        <v>2104.9216571002</v>
      </c>
      <c r="H323" s="49" t="n">
        <f aca="false">H322-G323</f>
        <v>685926.415502819</v>
      </c>
      <c r="I323" s="49" t="n">
        <f aca="false">K322*Annahmen!$B$57/12</f>
        <v>4450.25013664532</v>
      </c>
      <c r="J323" s="49" t="n">
        <f aca="false">MIN($I$3-I323,K322)</f>
        <v>5958.1069716149</v>
      </c>
      <c r="K323" s="49" t="n">
        <f aca="false">K322-J323</f>
        <v>1329116.93402198</v>
      </c>
      <c r="L323" s="49" t="n">
        <f aca="false">C323+F323+I323</f>
        <v>7740.08042484667</v>
      </c>
      <c r="M323" s="49" t="n">
        <f aca="false">D323+G323+J323</f>
        <v>9993.27668341356</v>
      </c>
      <c r="N323" s="49" t="n">
        <f aca="false">L323+M323</f>
        <v>17733.3571082602</v>
      </c>
      <c r="O323" s="49" t="n">
        <f aca="false">E323+H323+K323</f>
        <v>2766594.03521484</v>
      </c>
    </row>
    <row r="324" customFormat="false" ht="15" hidden="false" customHeight="false" outlineLevel="0" collapsed="false">
      <c r="A324" s="48" t="n">
        <v>318</v>
      </c>
      <c r="B324" s="48" t="n">
        <f aca="false">ROUNDUP(A324/12,0)</f>
        <v>27</v>
      </c>
      <c r="C324" s="49" t="n">
        <f aca="false">E323*Annahmen!$B$55/12</f>
        <v>1565.73059518759</v>
      </c>
      <c r="D324" s="49" t="n">
        <f aca="false">MIN($C$3-C324,E323)</f>
        <v>1934.26940481241</v>
      </c>
      <c r="E324" s="49" t="n">
        <f aca="false">E323-D324</f>
        <v>749616.416285232</v>
      </c>
      <c r="F324" s="49" t="n">
        <f aca="false">H323*Annahmen!$B$56/12</f>
        <v>1714.81603875705</v>
      </c>
      <c r="G324" s="49" t="n">
        <f aca="false">MIN($F$3-F324,H323)</f>
        <v>2110.18396124295</v>
      </c>
      <c r="H324" s="49" t="n">
        <f aca="false">H323-G324</f>
        <v>683816.231541576</v>
      </c>
      <c r="I324" s="49" t="n">
        <f aca="false">K323*Annahmen!$B$57/12</f>
        <v>4430.38978007327</v>
      </c>
      <c r="J324" s="49" t="n">
        <f aca="false">MIN($I$3-I324,K323)</f>
        <v>5977.96732818696</v>
      </c>
      <c r="K324" s="49" t="n">
        <f aca="false">K323-J324</f>
        <v>1323138.96669379</v>
      </c>
      <c r="L324" s="49" t="n">
        <f aca="false">C324+F324+I324</f>
        <v>7710.93641401791</v>
      </c>
      <c r="M324" s="49" t="n">
        <f aca="false">D324+G324+J324</f>
        <v>10022.4206942423</v>
      </c>
      <c r="N324" s="49" t="n">
        <f aca="false">L324+M324</f>
        <v>17733.3571082602</v>
      </c>
      <c r="O324" s="49" t="n">
        <f aca="false">E324+H324+K324</f>
        <v>2756571.6145206</v>
      </c>
    </row>
    <row r="325" customFormat="false" ht="15" hidden="false" customHeight="false" outlineLevel="0" collapsed="false">
      <c r="A325" s="48" t="n">
        <v>319</v>
      </c>
      <c r="B325" s="48" t="n">
        <f aca="false">ROUNDUP(A325/12,0)</f>
        <v>27</v>
      </c>
      <c r="C325" s="49" t="n">
        <f aca="false">E324*Annahmen!$B$55/12</f>
        <v>1561.7008672609</v>
      </c>
      <c r="D325" s="49" t="n">
        <f aca="false">MIN($C$3-C325,E324)</f>
        <v>1938.2991327391</v>
      </c>
      <c r="E325" s="49" t="n">
        <f aca="false">E324-D325</f>
        <v>747678.117152493</v>
      </c>
      <c r="F325" s="49" t="n">
        <f aca="false">H324*Annahmen!$B$56/12</f>
        <v>1709.54057885394</v>
      </c>
      <c r="G325" s="49" t="n">
        <f aca="false">MIN($F$3-F325,H324)</f>
        <v>2115.45942114606</v>
      </c>
      <c r="H325" s="49" t="n">
        <f aca="false">H324-G325</f>
        <v>681700.77212043</v>
      </c>
      <c r="I325" s="49" t="n">
        <f aca="false">K324*Annahmen!$B$57/12</f>
        <v>4410.46322231265</v>
      </c>
      <c r="J325" s="49" t="n">
        <f aca="false">MIN($I$3-I325,K324)</f>
        <v>5997.89388594758</v>
      </c>
      <c r="K325" s="49" t="n">
        <f aca="false">K324-J325</f>
        <v>1317141.07280785</v>
      </c>
      <c r="L325" s="49" t="n">
        <f aca="false">C325+F325+I325</f>
        <v>7681.70466842749</v>
      </c>
      <c r="M325" s="49" t="n">
        <f aca="false">D325+G325+J325</f>
        <v>10051.6524398327</v>
      </c>
      <c r="N325" s="49" t="n">
        <f aca="false">L325+M325</f>
        <v>17733.3571082602</v>
      </c>
      <c r="O325" s="49" t="n">
        <f aca="false">E325+H325+K325</f>
        <v>2746519.96208077</v>
      </c>
    </row>
    <row r="326" customFormat="false" ht="15" hidden="false" customHeight="false" outlineLevel="0" collapsed="false">
      <c r="A326" s="48" t="n">
        <v>320</v>
      </c>
      <c r="B326" s="48" t="n">
        <f aca="false">ROUNDUP(A326/12,0)</f>
        <v>27</v>
      </c>
      <c r="C326" s="49" t="n">
        <f aca="false">E325*Annahmen!$B$55/12</f>
        <v>1557.66274406769</v>
      </c>
      <c r="D326" s="49" t="n">
        <f aca="false">MIN($C$3-C326,E325)</f>
        <v>1942.33725593231</v>
      </c>
      <c r="E326" s="49" t="n">
        <f aca="false">E325-D326</f>
        <v>745735.779896561</v>
      </c>
      <c r="F326" s="49" t="n">
        <f aca="false">H325*Annahmen!$B$56/12</f>
        <v>1704.25193030108</v>
      </c>
      <c r="G326" s="49" t="n">
        <f aca="false">MIN($F$3-F326,H325)</f>
        <v>2120.74806969892</v>
      </c>
      <c r="H326" s="49" t="n">
        <f aca="false">H325-G326</f>
        <v>679580.024050731</v>
      </c>
      <c r="I326" s="49" t="n">
        <f aca="false">K325*Annahmen!$B$57/12</f>
        <v>4390.47024269282</v>
      </c>
      <c r="J326" s="49" t="n">
        <f aca="false">MIN($I$3-I326,K325)</f>
        <v>6017.8868655674</v>
      </c>
      <c r="K326" s="49" t="n">
        <f aca="false">K325-J326</f>
        <v>1311123.18594228</v>
      </c>
      <c r="L326" s="49" t="n">
        <f aca="false">C326+F326+I326</f>
        <v>7652.38491706159</v>
      </c>
      <c r="M326" s="49" t="n">
        <f aca="false">D326+G326+J326</f>
        <v>10080.9721911986</v>
      </c>
      <c r="N326" s="49" t="n">
        <f aca="false">L326+M326</f>
        <v>17733.3571082602</v>
      </c>
      <c r="O326" s="49" t="n">
        <f aca="false">E326+H326+K326</f>
        <v>2736438.98988957</v>
      </c>
    </row>
    <row r="327" customFormat="false" ht="15" hidden="false" customHeight="false" outlineLevel="0" collapsed="false">
      <c r="A327" s="48" t="n">
        <v>321</v>
      </c>
      <c r="B327" s="48" t="n">
        <f aca="false">ROUNDUP(A327/12,0)</f>
        <v>27</v>
      </c>
      <c r="C327" s="49" t="n">
        <f aca="false">E326*Annahmen!$B$55/12</f>
        <v>1553.61620811784</v>
      </c>
      <c r="D327" s="49" t="n">
        <f aca="false">MIN($C$3-C327,E326)</f>
        <v>1946.38379188217</v>
      </c>
      <c r="E327" s="49" t="n">
        <f aca="false">E326-D327</f>
        <v>743789.396104679</v>
      </c>
      <c r="F327" s="49" t="n">
        <f aca="false">H326*Annahmen!$B$56/12</f>
        <v>1698.95006012683</v>
      </c>
      <c r="G327" s="49" t="n">
        <f aca="false">MIN($F$3-F327,H326)</f>
        <v>2126.04993987317</v>
      </c>
      <c r="H327" s="49" t="n">
        <f aca="false">H326-G327</f>
        <v>677453.974110858</v>
      </c>
      <c r="I327" s="49" t="n">
        <f aca="false">K326*Annahmen!$B$57/12</f>
        <v>4370.4106198076</v>
      </c>
      <c r="J327" s="49" t="n">
        <f aca="false">MIN($I$3-I327,K326)</f>
        <v>6037.94648845263</v>
      </c>
      <c r="K327" s="49" t="n">
        <f aca="false">K326-J327</f>
        <v>1305085.23945383</v>
      </c>
      <c r="L327" s="49" t="n">
        <f aca="false">C327+F327+I327</f>
        <v>7622.97688805226</v>
      </c>
      <c r="M327" s="49" t="n">
        <f aca="false">D327+G327+J327</f>
        <v>10110.380220208</v>
      </c>
      <c r="N327" s="49" t="n">
        <f aca="false">L327+M327</f>
        <v>17733.3571082602</v>
      </c>
      <c r="O327" s="49" t="n">
        <f aca="false">E327+H327+K327</f>
        <v>2726328.60966936</v>
      </c>
    </row>
    <row r="328" customFormat="false" ht="15" hidden="false" customHeight="false" outlineLevel="0" collapsed="false">
      <c r="A328" s="48" t="n">
        <v>322</v>
      </c>
      <c r="B328" s="48" t="n">
        <f aca="false">ROUNDUP(A328/12,0)</f>
        <v>27</v>
      </c>
      <c r="C328" s="49" t="n">
        <f aca="false">E327*Annahmen!$B$55/12</f>
        <v>1549.56124188475</v>
      </c>
      <c r="D328" s="49" t="n">
        <f aca="false">MIN($C$3-C328,E327)</f>
        <v>1950.43875811525</v>
      </c>
      <c r="E328" s="49" t="n">
        <f aca="false">E327-D328</f>
        <v>741838.957346563</v>
      </c>
      <c r="F328" s="49" t="n">
        <f aca="false">H327*Annahmen!$B$56/12</f>
        <v>1693.63493527715</v>
      </c>
      <c r="G328" s="49" t="n">
        <f aca="false">MIN($F$3-F328,H327)</f>
        <v>2131.36506472286</v>
      </c>
      <c r="H328" s="49" t="n">
        <f aca="false">H327-G328</f>
        <v>675322.609046135</v>
      </c>
      <c r="I328" s="49" t="n">
        <f aca="false">K327*Annahmen!$B$57/12</f>
        <v>4350.28413151275</v>
      </c>
      <c r="J328" s="49" t="n">
        <f aca="false">MIN($I$3-I328,K327)</f>
        <v>6058.07297674747</v>
      </c>
      <c r="K328" s="49" t="n">
        <f aca="false">K327-J328</f>
        <v>1299027.16647708</v>
      </c>
      <c r="L328" s="49" t="n">
        <f aca="false">C328+F328+I328</f>
        <v>7593.48030867465</v>
      </c>
      <c r="M328" s="49" t="n">
        <f aca="false">D328+G328+J328</f>
        <v>10139.8767995856</v>
      </c>
      <c r="N328" s="49" t="n">
        <f aca="false">L328+M328</f>
        <v>17733.3571082602</v>
      </c>
      <c r="O328" s="49" t="n">
        <f aca="false">E328+H328+K328</f>
        <v>2716188.73286978</v>
      </c>
    </row>
    <row r="329" customFormat="false" ht="15" hidden="false" customHeight="false" outlineLevel="0" collapsed="false">
      <c r="A329" s="48" t="n">
        <v>323</v>
      </c>
      <c r="B329" s="48" t="n">
        <f aca="false">ROUNDUP(A329/12,0)</f>
        <v>27</v>
      </c>
      <c r="C329" s="49" t="n">
        <f aca="false">E328*Annahmen!$B$55/12</f>
        <v>1545.49782780534</v>
      </c>
      <c r="D329" s="49" t="n">
        <f aca="false">MIN($C$3-C329,E328)</f>
        <v>1954.50217219466</v>
      </c>
      <c r="E329" s="49" t="n">
        <f aca="false">E328-D329</f>
        <v>739884.455174369</v>
      </c>
      <c r="F329" s="49" t="n">
        <f aca="false">H328*Annahmen!$B$56/12</f>
        <v>1688.30652261534</v>
      </c>
      <c r="G329" s="49" t="n">
        <f aca="false">MIN($F$3-F329,H328)</f>
        <v>2136.69347738466</v>
      </c>
      <c r="H329" s="49" t="n">
        <f aca="false">H328-G329</f>
        <v>673185.915568751</v>
      </c>
      <c r="I329" s="49" t="n">
        <f aca="false">K328*Annahmen!$B$57/12</f>
        <v>4330.0905549236</v>
      </c>
      <c r="J329" s="49" t="n">
        <f aca="false">MIN($I$3-I329,K328)</f>
        <v>6078.26655333663</v>
      </c>
      <c r="K329" s="49" t="n">
        <f aca="false">K328-J329</f>
        <v>1292948.89992374</v>
      </c>
      <c r="L329" s="49" t="n">
        <f aca="false">C329+F329+I329</f>
        <v>7563.89490534427</v>
      </c>
      <c r="M329" s="49" t="n">
        <f aca="false">D329+G329+J329</f>
        <v>10169.462202916</v>
      </c>
      <c r="N329" s="49" t="n">
        <f aca="false">L329+M329</f>
        <v>17733.3571082602</v>
      </c>
      <c r="O329" s="49" t="n">
        <f aca="false">E329+H329+K329</f>
        <v>2706019.27066686</v>
      </c>
    </row>
    <row r="330" customFormat="false" ht="15" hidden="false" customHeight="false" outlineLevel="0" collapsed="false">
      <c r="A330" s="48" t="n">
        <v>324</v>
      </c>
      <c r="B330" s="48" t="n">
        <f aca="false">ROUNDUP(A330/12,0)</f>
        <v>27</v>
      </c>
      <c r="C330" s="49" t="n">
        <f aca="false">E329*Annahmen!$B$55/12</f>
        <v>1541.42594827994</v>
      </c>
      <c r="D330" s="49" t="n">
        <f aca="false">MIN($C$3-C330,E329)</f>
        <v>1958.57405172007</v>
      </c>
      <c r="E330" s="49" t="n">
        <f aca="false">E329-D330</f>
        <v>737925.881122649</v>
      </c>
      <c r="F330" s="49" t="n">
        <f aca="false">H329*Annahmen!$B$56/12</f>
        <v>1682.96478892188</v>
      </c>
      <c r="G330" s="49" t="n">
        <f aca="false">MIN($F$3-F330,H329)</f>
        <v>2142.03521107812</v>
      </c>
      <c r="H330" s="49" t="n">
        <f aca="false">H329-G330</f>
        <v>671043.880357673</v>
      </c>
      <c r="I330" s="49" t="n">
        <f aca="false">K329*Annahmen!$B$57/12</f>
        <v>4309.82966641247</v>
      </c>
      <c r="J330" s="49" t="n">
        <f aca="false">MIN($I$3-I330,K329)</f>
        <v>6098.52744184775</v>
      </c>
      <c r="K330" s="49" t="n">
        <f aca="false">K329-J330</f>
        <v>1286850.37248189</v>
      </c>
      <c r="L330" s="49" t="n">
        <f aca="false">C330+F330+I330</f>
        <v>7534.22040361429</v>
      </c>
      <c r="M330" s="49" t="n">
        <f aca="false">D330+G330+J330</f>
        <v>10199.1367046459</v>
      </c>
      <c r="N330" s="49" t="n">
        <f aca="false">L330+M330</f>
        <v>17733.3571082602</v>
      </c>
      <c r="O330" s="49" t="n">
        <f aca="false">E330+H330+K330</f>
        <v>2695820.13396222</v>
      </c>
    </row>
    <row r="331" customFormat="false" ht="15" hidden="false" customHeight="false" outlineLevel="0" collapsed="false">
      <c r="A331" s="48" t="n">
        <v>325</v>
      </c>
      <c r="B331" s="48" t="n">
        <f aca="false">ROUNDUP(A331/12,0)</f>
        <v>28</v>
      </c>
      <c r="C331" s="49" t="n">
        <f aca="false">E330*Annahmen!$B$55/12</f>
        <v>1537.34558567218</v>
      </c>
      <c r="D331" s="49" t="n">
        <f aca="false">MIN($C$3-C331,E330)</f>
        <v>1962.65441432782</v>
      </c>
      <c r="E331" s="49" t="n">
        <f aca="false">E330-D331</f>
        <v>735963.226708321</v>
      </c>
      <c r="F331" s="49" t="n">
        <f aca="false">H330*Annahmen!$B$56/12</f>
        <v>1677.60970089418</v>
      </c>
      <c r="G331" s="49" t="n">
        <f aca="false">MIN($F$3-F331,H330)</f>
        <v>2147.39029910582</v>
      </c>
      <c r="H331" s="49" t="n">
        <f aca="false">H330-G331</f>
        <v>668896.490058567</v>
      </c>
      <c r="I331" s="49" t="n">
        <f aca="false">K330*Annahmen!$B$57/12</f>
        <v>4289.50124160631</v>
      </c>
      <c r="J331" s="49" t="n">
        <f aca="false">MIN($I$3-I331,K330)</f>
        <v>6118.85586665391</v>
      </c>
      <c r="K331" s="49" t="n">
        <f aca="false">K330-J331</f>
        <v>1280731.51661524</v>
      </c>
      <c r="L331" s="49" t="n">
        <f aca="false">C331+F331+I331</f>
        <v>7504.45652817268</v>
      </c>
      <c r="M331" s="49" t="n">
        <f aca="false">D331+G331+J331</f>
        <v>10228.9005800875</v>
      </c>
      <c r="N331" s="49" t="n">
        <f aca="false">L331+M331</f>
        <v>17733.3571082602</v>
      </c>
      <c r="O331" s="49" t="n">
        <f aca="false">E331+H331+K331</f>
        <v>2685591.23338213</v>
      </c>
    </row>
    <row r="332" customFormat="false" ht="15" hidden="false" customHeight="false" outlineLevel="0" collapsed="false">
      <c r="A332" s="48" t="n">
        <v>326</v>
      </c>
      <c r="B332" s="48" t="n">
        <f aca="false">ROUNDUP(A332/12,0)</f>
        <v>28</v>
      </c>
      <c r="C332" s="49" t="n">
        <f aca="false">E331*Annahmen!$B$55/12</f>
        <v>1533.256722309</v>
      </c>
      <c r="D332" s="49" t="n">
        <f aca="false">MIN($C$3-C332,E331)</f>
        <v>1966.743277691</v>
      </c>
      <c r="E332" s="49" t="n">
        <f aca="false">E331-D332</f>
        <v>733996.48343063</v>
      </c>
      <c r="F332" s="49" t="n">
        <f aca="false">H331*Annahmen!$B$56/12</f>
        <v>1672.24122514642</v>
      </c>
      <c r="G332" s="49" t="n">
        <f aca="false">MIN($F$3-F332,H331)</f>
        <v>2152.75877485358</v>
      </c>
      <c r="H332" s="49" t="n">
        <f aca="false">H331-G332</f>
        <v>666743.731283713</v>
      </c>
      <c r="I332" s="49" t="n">
        <f aca="false">K331*Annahmen!$B$57/12</f>
        <v>4269.10505538414</v>
      </c>
      <c r="J332" s="49" t="n">
        <f aca="false">MIN($I$3-I332,K331)</f>
        <v>6139.25205287609</v>
      </c>
      <c r="K332" s="49" t="n">
        <f aca="false">K331-J332</f>
        <v>1274592.26456236</v>
      </c>
      <c r="L332" s="49" t="n">
        <f aca="false">C332+F332+I332</f>
        <v>7474.60300283955</v>
      </c>
      <c r="M332" s="49" t="n">
        <f aca="false">D332+G332+J332</f>
        <v>10258.7541054207</v>
      </c>
      <c r="N332" s="49" t="n">
        <f aca="false">L332+M332</f>
        <v>17733.3571082602</v>
      </c>
      <c r="O332" s="49" t="n">
        <f aca="false">E332+H332+K332</f>
        <v>2675332.47927671</v>
      </c>
    </row>
    <row r="333" customFormat="false" ht="15" hidden="false" customHeight="false" outlineLevel="0" collapsed="false">
      <c r="A333" s="48" t="n">
        <v>327</v>
      </c>
      <c r="B333" s="48" t="n">
        <f aca="false">ROUNDUP(A333/12,0)</f>
        <v>28</v>
      </c>
      <c r="C333" s="49" t="n">
        <f aca="false">E332*Annahmen!$B$55/12</f>
        <v>1529.15934048048</v>
      </c>
      <c r="D333" s="49" t="n">
        <f aca="false">MIN($C$3-C333,E332)</f>
        <v>1970.84065951952</v>
      </c>
      <c r="E333" s="49" t="n">
        <f aca="false">E332-D333</f>
        <v>732025.64277111</v>
      </c>
      <c r="F333" s="49" t="n">
        <f aca="false">H332*Annahmen!$B$56/12</f>
        <v>1666.85932820928</v>
      </c>
      <c r="G333" s="49" t="n">
        <f aca="false">MIN($F$3-F333,H332)</f>
        <v>2158.14067179072</v>
      </c>
      <c r="H333" s="49" t="n">
        <f aca="false">H332-G333</f>
        <v>664585.590611923</v>
      </c>
      <c r="I333" s="49" t="n">
        <f aca="false">K332*Annahmen!$B$57/12</f>
        <v>4248.64088187455</v>
      </c>
      <c r="J333" s="49" t="n">
        <f aca="false">MIN($I$3-I333,K332)</f>
        <v>6159.71622638568</v>
      </c>
      <c r="K333" s="49" t="n">
        <f aca="false">K332-J333</f>
        <v>1268432.54833598</v>
      </c>
      <c r="L333" s="49" t="n">
        <f aca="false">C333+F333+I333</f>
        <v>7444.65955056431</v>
      </c>
      <c r="M333" s="49" t="n">
        <f aca="false">D333+G333+J333</f>
        <v>10288.6975576959</v>
      </c>
      <c r="N333" s="49" t="n">
        <f aca="false">L333+M333</f>
        <v>17733.3571082602</v>
      </c>
      <c r="O333" s="49" t="n">
        <f aca="false">E333+H333+K333</f>
        <v>2665043.78171901</v>
      </c>
    </row>
    <row r="334" customFormat="false" ht="15" hidden="false" customHeight="false" outlineLevel="0" collapsed="false">
      <c r="A334" s="48" t="n">
        <v>328</v>
      </c>
      <c r="B334" s="48" t="n">
        <f aca="false">ROUNDUP(A334/12,0)</f>
        <v>28</v>
      </c>
      <c r="C334" s="49" t="n">
        <f aca="false">E333*Annahmen!$B$55/12</f>
        <v>1525.05342243981</v>
      </c>
      <c r="D334" s="49" t="n">
        <f aca="false">MIN($C$3-C334,E333)</f>
        <v>1974.94657756019</v>
      </c>
      <c r="E334" s="49" t="n">
        <f aca="false">E333-D334</f>
        <v>730050.69619355</v>
      </c>
      <c r="F334" s="49" t="n">
        <f aca="false">H333*Annahmen!$B$56/12</f>
        <v>1661.46397652981</v>
      </c>
      <c r="G334" s="49" t="n">
        <f aca="false">MIN($F$3-F334,H333)</f>
        <v>2163.53602347019</v>
      </c>
      <c r="H334" s="49" t="n">
        <f aca="false">H333-G334</f>
        <v>662422.054588452</v>
      </c>
      <c r="I334" s="49" t="n">
        <f aca="false">K333*Annahmen!$B$57/12</f>
        <v>4228.10849445326</v>
      </c>
      <c r="J334" s="49" t="n">
        <f aca="false">MIN($I$3-I334,K333)</f>
        <v>6180.24861380696</v>
      </c>
      <c r="K334" s="49" t="n">
        <f aca="false">K333-J334</f>
        <v>1262252.29972217</v>
      </c>
      <c r="L334" s="49" t="n">
        <f aca="false">C334+F334+I334</f>
        <v>7414.62589342288</v>
      </c>
      <c r="M334" s="49" t="n">
        <f aca="false">D334+G334+J334</f>
        <v>10318.7312148373</v>
      </c>
      <c r="N334" s="49" t="n">
        <f aca="false">L334+M334</f>
        <v>17733.3571082602</v>
      </c>
      <c r="O334" s="49" t="n">
        <f aca="false">E334+H334+K334</f>
        <v>2654725.05050417</v>
      </c>
    </row>
    <row r="335" customFormat="false" ht="15" hidden="false" customHeight="false" outlineLevel="0" collapsed="false">
      <c r="A335" s="48" t="n">
        <v>329</v>
      </c>
      <c r="B335" s="48" t="n">
        <f aca="false">ROUNDUP(A335/12,0)</f>
        <v>28</v>
      </c>
      <c r="C335" s="49" t="n">
        <f aca="false">E334*Annahmen!$B$55/12</f>
        <v>1520.93895040323</v>
      </c>
      <c r="D335" s="49" t="n">
        <f aca="false">MIN($C$3-C335,E334)</f>
        <v>1979.06104959677</v>
      </c>
      <c r="E335" s="49" t="n">
        <f aca="false">E334-D335</f>
        <v>728071.635143953</v>
      </c>
      <c r="F335" s="49" t="n">
        <f aca="false">H334*Annahmen!$B$56/12</f>
        <v>1656.05513647113</v>
      </c>
      <c r="G335" s="49" t="n">
        <f aca="false">MIN($F$3-F335,H334)</f>
        <v>2168.94486352887</v>
      </c>
      <c r="H335" s="49" t="n">
        <f aca="false">H334-G335</f>
        <v>660253.109724924</v>
      </c>
      <c r="I335" s="49" t="n">
        <f aca="false">K334*Annahmen!$B$57/12</f>
        <v>4207.50766574057</v>
      </c>
      <c r="J335" s="49" t="n">
        <f aca="false">MIN($I$3-I335,K334)</f>
        <v>6200.84944251965</v>
      </c>
      <c r="K335" s="49" t="n">
        <f aca="false">K334-J335</f>
        <v>1256051.45027965</v>
      </c>
      <c r="L335" s="49" t="n">
        <f aca="false">C335+F335+I335</f>
        <v>7384.50175261493</v>
      </c>
      <c r="M335" s="49" t="n">
        <f aca="false">D335+G335+J335</f>
        <v>10348.8553556453</v>
      </c>
      <c r="N335" s="49" t="n">
        <f aca="false">L335+M335</f>
        <v>17733.3571082602</v>
      </c>
      <c r="O335" s="49" t="n">
        <f aca="false">E335+H335+K335</f>
        <v>2644376.19514853</v>
      </c>
    </row>
    <row r="336" customFormat="false" ht="15" hidden="false" customHeight="false" outlineLevel="0" collapsed="false">
      <c r="A336" s="48" t="n">
        <v>330</v>
      </c>
      <c r="B336" s="48" t="n">
        <f aca="false">ROUNDUP(A336/12,0)</f>
        <v>28</v>
      </c>
      <c r="C336" s="49" t="n">
        <f aca="false">E335*Annahmen!$B$55/12</f>
        <v>1516.8159065499</v>
      </c>
      <c r="D336" s="49" t="n">
        <f aca="false">MIN($C$3-C336,E335)</f>
        <v>1983.1840934501</v>
      </c>
      <c r="E336" s="49" t="n">
        <f aca="false">E335-D336</f>
        <v>726088.451050503</v>
      </c>
      <c r="F336" s="49" t="n">
        <f aca="false">H335*Annahmen!$B$56/12</f>
        <v>1650.63277431231</v>
      </c>
      <c r="G336" s="49" t="n">
        <f aca="false">MIN($F$3-F336,H335)</f>
        <v>2174.36722568769</v>
      </c>
      <c r="H336" s="49" t="n">
        <f aca="false">H335-G336</f>
        <v>658078.742499236</v>
      </c>
      <c r="I336" s="49" t="n">
        <f aca="false">K335*Annahmen!$B$57/12</f>
        <v>4186.83816759884</v>
      </c>
      <c r="J336" s="49" t="n">
        <f aca="false">MIN($I$3-I336,K335)</f>
        <v>6221.51894066138</v>
      </c>
      <c r="K336" s="49" t="n">
        <f aca="false">K335-J336</f>
        <v>1249829.93133899</v>
      </c>
      <c r="L336" s="49" t="n">
        <f aca="false">C336+F336+I336</f>
        <v>7354.28684846105</v>
      </c>
      <c r="M336" s="49" t="n">
        <f aca="false">D336+G336+J336</f>
        <v>10379.0702597992</v>
      </c>
      <c r="N336" s="49" t="n">
        <f aca="false">L336+M336</f>
        <v>17733.3571082602</v>
      </c>
      <c r="O336" s="49" t="n">
        <f aca="false">E336+H336+K336</f>
        <v>2633997.12488873</v>
      </c>
    </row>
    <row r="337" customFormat="false" ht="15" hidden="false" customHeight="false" outlineLevel="0" collapsed="false">
      <c r="A337" s="48" t="n">
        <v>331</v>
      </c>
      <c r="B337" s="48" t="n">
        <f aca="false">ROUNDUP(A337/12,0)</f>
        <v>28</v>
      </c>
      <c r="C337" s="49" t="n">
        <f aca="false">E336*Annahmen!$B$55/12</f>
        <v>1512.68427302188</v>
      </c>
      <c r="D337" s="49" t="n">
        <f aca="false">MIN($C$3-C337,E336)</f>
        <v>1987.31572697812</v>
      </c>
      <c r="E337" s="49" t="n">
        <f aca="false">E336-D337</f>
        <v>724101.135323525</v>
      </c>
      <c r="F337" s="49" t="n">
        <f aca="false">H336*Annahmen!$B$56/12</f>
        <v>1645.19685624809</v>
      </c>
      <c r="G337" s="49" t="n">
        <f aca="false">MIN($F$3-F337,H336)</f>
        <v>2179.80314375191</v>
      </c>
      <c r="H337" s="49" t="n">
        <f aca="false">H336-G337</f>
        <v>655898.939355484</v>
      </c>
      <c r="I337" s="49" t="n">
        <f aca="false">K336*Annahmen!$B$57/12</f>
        <v>4166.09977112997</v>
      </c>
      <c r="J337" s="49" t="n">
        <f aca="false">MIN($I$3-I337,K336)</f>
        <v>6242.25733713025</v>
      </c>
      <c r="K337" s="49" t="n">
        <f aca="false">K336-J337</f>
        <v>1243587.67400186</v>
      </c>
      <c r="L337" s="49" t="n">
        <f aca="false">C337+F337+I337</f>
        <v>7323.98090039994</v>
      </c>
      <c r="M337" s="49" t="n">
        <f aca="false">D337+G337+J337</f>
        <v>10409.3762078603</v>
      </c>
      <c r="N337" s="49" t="n">
        <f aca="false">L337+M337</f>
        <v>17733.3571082602</v>
      </c>
      <c r="O337" s="49" t="n">
        <f aca="false">E337+H337+K337</f>
        <v>2623587.74868087</v>
      </c>
    </row>
    <row r="338" customFormat="false" ht="15" hidden="false" customHeight="false" outlineLevel="0" collapsed="false">
      <c r="A338" s="48" t="n">
        <v>332</v>
      </c>
      <c r="B338" s="48" t="n">
        <f aca="false">ROUNDUP(A338/12,0)</f>
        <v>28</v>
      </c>
      <c r="C338" s="49" t="n">
        <f aca="false">E337*Annahmen!$B$55/12</f>
        <v>1508.54403192401</v>
      </c>
      <c r="D338" s="49" t="n">
        <f aca="false">MIN($C$3-C338,E337)</f>
        <v>1991.45596807599</v>
      </c>
      <c r="E338" s="49" t="n">
        <f aca="false">E337-D338</f>
        <v>722109.679355449</v>
      </c>
      <c r="F338" s="49" t="n">
        <f aca="false">H337*Annahmen!$B$56/12</f>
        <v>1639.74734838871</v>
      </c>
      <c r="G338" s="49" t="n">
        <f aca="false">MIN($F$3-F338,H337)</f>
        <v>2185.25265161129</v>
      </c>
      <c r="H338" s="49" t="n">
        <f aca="false">H337-G338</f>
        <v>653713.686703873</v>
      </c>
      <c r="I338" s="49" t="n">
        <f aca="false">K337*Annahmen!$B$57/12</f>
        <v>4145.29224667287</v>
      </c>
      <c r="J338" s="49" t="n">
        <f aca="false">MIN($I$3-I338,K337)</f>
        <v>6263.06486158736</v>
      </c>
      <c r="K338" s="49" t="n">
        <f aca="false">K337-J338</f>
        <v>1237324.60914027</v>
      </c>
      <c r="L338" s="49" t="n">
        <f aca="false">C338+F338+I338</f>
        <v>7293.58362698559</v>
      </c>
      <c r="M338" s="49" t="n">
        <f aca="false">D338+G338+J338</f>
        <v>10439.7734812746</v>
      </c>
      <c r="N338" s="49" t="n">
        <f aca="false">L338+M338</f>
        <v>17733.3571082602</v>
      </c>
      <c r="O338" s="49" t="n">
        <f aca="false">E338+H338+K338</f>
        <v>2613147.9751996</v>
      </c>
    </row>
    <row r="339" customFormat="false" ht="15" hidden="false" customHeight="false" outlineLevel="0" collapsed="false">
      <c r="A339" s="48" t="n">
        <v>333</v>
      </c>
      <c r="B339" s="48" t="n">
        <f aca="false">ROUNDUP(A339/12,0)</f>
        <v>28</v>
      </c>
      <c r="C339" s="49" t="n">
        <f aca="false">E338*Annahmen!$B$55/12</f>
        <v>1504.39516532385</v>
      </c>
      <c r="D339" s="49" t="n">
        <f aca="false">MIN($C$3-C339,E338)</f>
        <v>1995.60483467615</v>
      </c>
      <c r="E339" s="49" t="n">
        <f aca="false">E338-D339</f>
        <v>720114.074520773</v>
      </c>
      <c r="F339" s="49" t="n">
        <f aca="false">H338*Annahmen!$B$56/12</f>
        <v>1634.28421675968</v>
      </c>
      <c r="G339" s="49" t="n">
        <f aca="false">MIN($F$3-F339,H338)</f>
        <v>2190.71578324032</v>
      </c>
      <c r="H339" s="49" t="n">
        <f aca="false">H338-G339</f>
        <v>651522.970920632</v>
      </c>
      <c r="I339" s="49" t="n">
        <f aca="false">K338*Annahmen!$B$57/12</f>
        <v>4124.41536380091</v>
      </c>
      <c r="J339" s="49" t="n">
        <f aca="false">MIN($I$3-I339,K338)</f>
        <v>6283.94174445931</v>
      </c>
      <c r="K339" s="49" t="n">
        <f aca="false">K338-J339</f>
        <v>1231040.66739581</v>
      </c>
      <c r="L339" s="49" t="n">
        <f aca="false">C339+F339+I339</f>
        <v>7263.09474588445</v>
      </c>
      <c r="M339" s="49" t="n">
        <f aca="false">D339+G339+J339</f>
        <v>10470.2623623758</v>
      </c>
      <c r="N339" s="49" t="n">
        <f aca="false">L339+M339</f>
        <v>17733.3571082602</v>
      </c>
      <c r="O339" s="49" t="n">
        <f aca="false">E339+H339+K339</f>
        <v>2602677.71283722</v>
      </c>
    </row>
    <row r="340" customFormat="false" ht="15" hidden="false" customHeight="false" outlineLevel="0" collapsed="false">
      <c r="A340" s="48" t="n">
        <v>334</v>
      </c>
      <c r="B340" s="48" t="n">
        <f aca="false">ROUNDUP(A340/12,0)</f>
        <v>28</v>
      </c>
      <c r="C340" s="49" t="n">
        <f aca="false">E339*Annahmen!$B$55/12</f>
        <v>1500.23765525161</v>
      </c>
      <c r="D340" s="49" t="n">
        <f aca="false">MIN($C$3-C340,E339)</f>
        <v>1999.76234474839</v>
      </c>
      <c r="E340" s="49" t="n">
        <f aca="false">E339-D340</f>
        <v>718114.312176025</v>
      </c>
      <c r="F340" s="49" t="n">
        <f aca="false">H339*Annahmen!$B$56/12</f>
        <v>1628.80742730158</v>
      </c>
      <c r="G340" s="49" t="n">
        <f aca="false">MIN($F$3-F340,H339)</f>
        <v>2196.19257269842</v>
      </c>
      <c r="H340" s="49" t="n">
        <f aca="false">H339-G340</f>
        <v>649326.778347934</v>
      </c>
      <c r="I340" s="49" t="n">
        <f aca="false">K339*Annahmen!$B$57/12</f>
        <v>4103.46889131938</v>
      </c>
      <c r="J340" s="49" t="n">
        <f aca="false">MIN($I$3-I340,K339)</f>
        <v>6304.88821694084</v>
      </c>
      <c r="K340" s="49" t="n">
        <f aca="false">K339-J340</f>
        <v>1224735.77917887</v>
      </c>
      <c r="L340" s="49" t="n">
        <f aca="false">C340+F340+I340</f>
        <v>7232.51397387257</v>
      </c>
      <c r="M340" s="49" t="n">
        <f aca="false">D340+G340+J340</f>
        <v>10500.8431343877</v>
      </c>
      <c r="N340" s="49" t="n">
        <f aca="false">L340+M340</f>
        <v>17733.3571082602</v>
      </c>
      <c r="O340" s="49" t="n">
        <f aca="false">E340+H340+K340</f>
        <v>2592176.86970283</v>
      </c>
    </row>
    <row r="341" customFormat="false" ht="15" hidden="false" customHeight="false" outlineLevel="0" collapsed="false">
      <c r="A341" s="48" t="n">
        <v>335</v>
      </c>
      <c r="B341" s="48" t="n">
        <f aca="false">ROUNDUP(A341/12,0)</f>
        <v>28</v>
      </c>
      <c r="C341" s="49" t="n">
        <f aca="false">E340*Annahmen!$B$55/12</f>
        <v>1496.07148370005</v>
      </c>
      <c r="D341" s="49" t="n">
        <f aca="false">MIN($C$3-C341,E340)</f>
        <v>2003.92851629995</v>
      </c>
      <c r="E341" s="49" t="n">
        <f aca="false">E340-D341</f>
        <v>716110.383659725</v>
      </c>
      <c r="F341" s="49" t="n">
        <f aca="false">H340*Annahmen!$B$56/12</f>
        <v>1623.31694586983</v>
      </c>
      <c r="G341" s="49" t="n">
        <f aca="false">MIN($F$3-F341,H340)</f>
        <v>2201.68305413017</v>
      </c>
      <c r="H341" s="49" t="n">
        <f aca="false">H340-G341</f>
        <v>647125.095293804</v>
      </c>
      <c r="I341" s="49" t="n">
        <f aca="false">K340*Annahmen!$B$57/12</f>
        <v>4082.45259726291</v>
      </c>
      <c r="J341" s="49" t="n">
        <f aca="false">MIN($I$3-I341,K340)</f>
        <v>6325.90451099731</v>
      </c>
      <c r="K341" s="49" t="n">
        <f aca="false">K340-J341</f>
        <v>1218409.87466788</v>
      </c>
      <c r="L341" s="49" t="n">
        <f aca="false">C341+F341+I341</f>
        <v>7201.8410268328</v>
      </c>
      <c r="M341" s="49" t="n">
        <f aca="false">D341+G341+J341</f>
        <v>10531.5160814274</v>
      </c>
      <c r="N341" s="49" t="n">
        <f aca="false">L341+M341</f>
        <v>17733.3571082602</v>
      </c>
      <c r="O341" s="49" t="n">
        <f aca="false">E341+H341+K341</f>
        <v>2581645.3536214</v>
      </c>
    </row>
    <row r="342" customFormat="false" ht="15" hidden="false" customHeight="false" outlineLevel="0" collapsed="false">
      <c r="A342" s="48" t="n">
        <v>336</v>
      </c>
      <c r="B342" s="48" t="n">
        <f aca="false">ROUNDUP(A342/12,0)</f>
        <v>28</v>
      </c>
      <c r="C342" s="49" t="n">
        <f aca="false">E341*Annahmen!$B$55/12</f>
        <v>1491.89663262443</v>
      </c>
      <c r="D342" s="49" t="n">
        <f aca="false">MIN($C$3-C342,E341)</f>
        <v>2008.10336737558</v>
      </c>
      <c r="E342" s="49" t="n">
        <f aca="false">E341-D342</f>
        <v>714102.280292349</v>
      </c>
      <c r="F342" s="49" t="n">
        <f aca="false">H341*Annahmen!$B$56/12</f>
        <v>1617.81273823451</v>
      </c>
      <c r="G342" s="49" t="n">
        <f aca="false">MIN($F$3-F342,H341)</f>
        <v>2207.18726176549</v>
      </c>
      <c r="H342" s="49" t="n">
        <f aca="false">H341-G342</f>
        <v>644917.908032038</v>
      </c>
      <c r="I342" s="49" t="n">
        <f aca="false">K341*Annahmen!$B$57/12</f>
        <v>4061.36624889292</v>
      </c>
      <c r="J342" s="49" t="n">
        <f aca="false">MIN($I$3-I342,K341)</f>
        <v>6346.9908593673</v>
      </c>
      <c r="K342" s="49" t="n">
        <f aca="false">K341-J342</f>
        <v>1212062.88380851</v>
      </c>
      <c r="L342" s="49" t="n">
        <f aca="false">C342+F342+I342</f>
        <v>7171.07561975186</v>
      </c>
      <c r="M342" s="49" t="n">
        <f aca="false">D342+G342+J342</f>
        <v>10562.2814885084</v>
      </c>
      <c r="N342" s="49" t="n">
        <f aca="false">L342+M342</f>
        <v>17733.3571082602</v>
      </c>
      <c r="O342" s="49" t="n">
        <f aca="false">E342+H342+K342</f>
        <v>2571083.0721329</v>
      </c>
    </row>
    <row r="343" customFormat="false" ht="15" hidden="false" customHeight="false" outlineLevel="0" collapsed="false">
      <c r="A343" s="48" t="n">
        <v>337</v>
      </c>
      <c r="B343" s="48" t="n">
        <f aca="false">ROUNDUP(A343/12,0)</f>
        <v>29</v>
      </c>
      <c r="C343" s="49" t="n">
        <f aca="false">E342*Annahmen!$B$55/12</f>
        <v>1487.71308394239</v>
      </c>
      <c r="D343" s="49" t="n">
        <f aca="false">MIN($C$3-C343,E342)</f>
        <v>2012.28691605761</v>
      </c>
      <c r="E343" s="49" t="n">
        <f aca="false">E342-D343</f>
        <v>712089.993376292</v>
      </c>
      <c r="F343" s="49" t="n">
        <f aca="false">H342*Annahmen!$B$56/12</f>
        <v>1612.2947700801</v>
      </c>
      <c r="G343" s="49" t="n">
        <f aca="false">MIN($F$3-F343,H342)</f>
        <v>2212.70522991991</v>
      </c>
      <c r="H343" s="49" t="n">
        <f aca="false">H342-G343</f>
        <v>642705.202802118</v>
      </c>
      <c r="I343" s="49" t="n">
        <f aca="false">K342*Annahmen!$B$57/12</f>
        <v>4040.20961269503</v>
      </c>
      <c r="J343" s="49" t="n">
        <f aca="false">MIN($I$3-I343,K342)</f>
        <v>6368.1474955652</v>
      </c>
      <c r="K343" s="49" t="n">
        <f aca="false">K342-J343</f>
        <v>1205694.73631294</v>
      </c>
      <c r="L343" s="49" t="n">
        <f aca="false">C343+F343+I343</f>
        <v>7140.21746671752</v>
      </c>
      <c r="M343" s="49" t="n">
        <f aca="false">D343+G343+J343</f>
        <v>10593.1396415427</v>
      </c>
      <c r="N343" s="49" t="n">
        <f aca="false">L343+M343</f>
        <v>17733.3571082602</v>
      </c>
      <c r="O343" s="49" t="n">
        <f aca="false">E343+H343+K343</f>
        <v>2560489.93249135</v>
      </c>
    </row>
    <row r="344" customFormat="false" ht="15" hidden="false" customHeight="false" outlineLevel="0" collapsed="false">
      <c r="A344" s="48" t="n">
        <v>338</v>
      </c>
      <c r="B344" s="48" t="n">
        <f aca="false">ROUNDUP(A344/12,0)</f>
        <v>29</v>
      </c>
      <c r="C344" s="49" t="n">
        <f aca="false">E343*Annahmen!$B$55/12</f>
        <v>1483.52081953394</v>
      </c>
      <c r="D344" s="49" t="n">
        <f aca="false">MIN($C$3-C344,E343)</f>
        <v>2016.47918046606</v>
      </c>
      <c r="E344" s="49" t="n">
        <f aca="false">E343-D344</f>
        <v>710073.514195826</v>
      </c>
      <c r="F344" s="49" t="n">
        <f aca="false">H343*Annahmen!$B$56/12</f>
        <v>1606.7630070053</v>
      </c>
      <c r="G344" s="49" t="n">
        <f aca="false">MIN($F$3-F344,H343)</f>
        <v>2218.2369929947</v>
      </c>
      <c r="H344" s="49" t="n">
        <f aca="false">H343-G344</f>
        <v>640486.965809124</v>
      </c>
      <c r="I344" s="49" t="n">
        <f aca="false">K343*Annahmen!$B$57/12</f>
        <v>4018.98245437648</v>
      </c>
      <c r="J344" s="49" t="n">
        <f aca="false">MIN($I$3-I344,K343)</f>
        <v>6389.37465388375</v>
      </c>
      <c r="K344" s="49" t="n">
        <f aca="false">K343-J344</f>
        <v>1199305.36165906</v>
      </c>
      <c r="L344" s="49" t="n">
        <f aca="false">C344+F344+I344</f>
        <v>7109.26628091571</v>
      </c>
      <c r="M344" s="49" t="n">
        <f aca="false">D344+G344+J344</f>
        <v>10624.0908273445</v>
      </c>
      <c r="N344" s="49" t="n">
        <f aca="false">L344+M344</f>
        <v>17733.3571082602</v>
      </c>
      <c r="O344" s="49" t="n">
        <f aca="false">E344+H344+K344</f>
        <v>2549865.84166401</v>
      </c>
    </row>
    <row r="345" customFormat="false" ht="15" hidden="false" customHeight="false" outlineLevel="0" collapsed="false">
      <c r="A345" s="48" t="n">
        <v>339</v>
      </c>
      <c r="B345" s="48" t="n">
        <f aca="false">ROUNDUP(A345/12,0)</f>
        <v>29</v>
      </c>
      <c r="C345" s="49" t="n">
        <f aca="false">E344*Annahmen!$B$55/12</f>
        <v>1479.3198212413</v>
      </c>
      <c r="D345" s="49" t="n">
        <f aca="false">MIN($C$3-C345,E344)</f>
        <v>2020.6801787587</v>
      </c>
      <c r="E345" s="49" t="n">
        <f aca="false">E344-D345</f>
        <v>708052.834017067</v>
      </c>
      <c r="F345" s="49" t="n">
        <f aca="false">H344*Annahmen!$B$56/12</f>
        <v>1601.21741452281</v>
      </c>
      <c r="G345" s="49" t="n">
        <f aca="false">MIN($F$3-F345,H344)</f>
        <v>2223.78258547719</v>
      </c>
      <c r="H345" s="49" t="n">
        <f aca="false">H344-G345</f>
        <v>638263.183223647</v>
      </c>
      <c r="I345" s="49" t="n">
        <f aca="false">K344*Annahmen!$B$57/12</f>
        <v>3997.68453886353</v>
      </c>
      <c r="J345" s="49" t="n">
        <f aca="false">MIN($I$3-I345,K344)</f>
        <v>6410.67256939669</v>
      </c>
      <c r="K345" s="49" t="n">
        <f aca="false">K344-J345</f>
        <v>1192894.68908966</v>
      </c>
      <c r="L345" s="49" t="n">
        <f aca="false">C345+F345+I345</f>
        <v>7078.22177462764</v>
      </c>
      <c r="M345" s="49" t="n">
        <f aca="false">D345+G345+J345</f>
        <v>10655.1353336326</v>
      </c>
      <c r="N345" s="49" t="n">
        <f aca="false">L345+M345</f>
        <v>17733.3571082602</v>
      </c>
      <c r="O345" s="49" t="n">
        <f aca="false">E345+H345+K345</f>
        <v>2539210.70633038</v>
      </c>
    </row>
    <row r="346" customFormat="false" ht="15" hidden="false" customHeight="false" outlineLevel="0" collapsed="false">
      <c r="A346" s="48" t="n">
        <v>340</v>
      </c>
      <c r="B346" s="48" t="n">
        <f aca="false">ROUNDUP(A346/12,0)</f>
        <v>29</v>
      </c>
      <c r="C346" s="49" t="n">
        <f aca="false">E345*Annahmen!$B$55/12</f>
        <v>1475.11007086889</v>
      </c>
      <c r="D346" s="49" t="n">
        <f aca="false">MIN($C$3-C346,E345)</f>
        <v>2024.88992913111</v>
      </c>
      <c r="E346" s="49" t="n">
        <f aca="false">E345-D346</f>
        <v>706027.944087936</v>
      </c>
      <c r="F346" s="49" t="n">
        <f aca="false">H345*Annahmen!$B$56/12</f>
        <v>1595.65795805912</v>
      </c>
      <c r="G346" s="49" t="n">
        <f aca="false">MIN($F$3-F346,H345)</f>
        <v>2229.34204194088</v>
      </c>
      <c r="H346" s="49" t="n">
        <f aca="false">H345-G346</f>
        <v>636033.841181706</v>
      </c>
      <c r="I346" s="49" t="n">
        <f aca="false">K345*Annahmen!$B$57/12</f>
        <v>3976.31563029888</v>
      </c>
      <c r="J346" s="49" t="n">
        <f aca="false">MIN($I$3-I346,K345)</f>
        <v>6432.04147796135</v>
      </c>
      <c r="K346" s="49" t="n">
        <f aca="false">K345-J346</f>
        <v>1186462.6476117</v>
      </c>
      <c r="L346" s="49" t="n">
        <f aca="false">C346+F346+I346</f>
        <v>7047.08365922688</v>
      </c>
      <c r="M346" s="49" t="n">
        <f aca="false">D346+G346+J346</f>
        <v>10686.2734490333</v>
      </c>
      <c r="N346" s="49" t="n">
        <f aca="false">L346+M346</f>
        <v>17733.3571082602</v>
      </c>
      <c r="O346" s="49" t="n">
        <f aca="false">E346+H346+K346</f>
        <v>2528524.43288134</v>
      </c>
    </row>
    <row r="347" customFormat="false" ht="15" hidden="false" customHeight="false" outlineLevel="0" collapsed="false">
      <c r="A347" s="48" t="n">
        <v>341</v>
      </c>
      <c r="B347" s="48" t="n">
        <f aca="false">ROUNDUP(A347/12,0)</f>
        <v>29</v>
      </c>
      <c r="C347" s="49" t="n">
        <f aca="false">E346*Annahmen!$B$55/12</f>
        <v>1470.8915501832</v>
      </c>
      <c r="D347" s="49" t="n">
        <f aca="false">MIN($C$3-C347,E346)</f>
        <v>2029.1084498168</v>
      </c>
      <c r="E347" s="49" t="n">
        <f aca="false">E346-D347</f>
        <v>703998.835638119</v>
      </c>
      <c r="F347" s="49" t="n">
        <f aca="false">H346*Annahmen!$B$56/12</f>
        <v>1590.08460295426</v>
      </c>
      <c r="G347" s="49" t="n">
        <f aca="false">MIN($F$3-F347,H346)</f>
        <v>2234.91539704574</v>
      </c>
      <c r="H347" s="49" t="n">
        <f aca="false">H346-G347</f>
        <v>633798.92578466</v>
      </c>
      <c r="I347" s="49" t="n">
        <f aca="false">K346*Annahmen!$B$57/12</f>
        <v>3954.87549203901</v>
      </c>
      <c r="J347" s="49" t="n">
        <f aca="false">MIN($I$3-I347,K346)</f>
        <v>6453.48161622122</v>
      </c>
      <c r="K347" s="49" t="n">
        <f aca="false">K346-J347</f>
        <v>1180009.16599548</v>
      </c>
      <c r="L347" s="49" t="n">
        <f aca="false">C347+F347+I347</f>
        <v>7015.85164517647</v>
      </c>
      <c r="M347" s="49" t="n">
        <f aca="false">D347+G347+J347</f>
        <v>10717.5054630838</v>
      </c>
      <c r="N347" s="49" t="n">
        <f aca="false">L347+M347</f>
        <v>17733.3571082602</v>
      </c>
      <c r="O347" s="49" t="n">
        <f aca="false">E347+H347+K347</f>
        <v>2517806.92741826</v>
      </c>
    </row>
    <row r="348" customFormat="false" ht="15" hidden="false" customHeight="false" outlineLevel="0" collapsed="false">
      <c r="A348" s="48" t="n">
        <v>342</v>
      </c>
      <c r="B348" s="48" t="n">
        <f aca="false">ROUNDUP(A348/12,0)</f>
        <v>29</v>
      </c>
      <c r="C348" s="49" t="n">
        <f aca="false">E347*Annahmen!$B$55/12</f>
        <v>1466.66424091275</v>
      </c>
      <c r="D348" s="49" t="n">
        <f aca="false">MIN($C$3-C348,E347)</f>
        <v>2033.33575908725</v>
      </c>
      <c r="E348" s="49" t="n">
        <f aca="false">E347-D348</f>
        <v>701965.499879032</v>
      </c>
      <c r="F348" s="49" t="n">
        <f aca="false">H347*Annahmen!$B$56/12</f>
        <v>1584.49731446165</v>
      </c>
      <c r="G348" s="49" t="n">
        <f aca="false">MIN($F$3-F348,H347)</f>
        <v>2240.50268553835</v>
      </c>
      <c r="H348" s="49" t="n">
        <f aca="false">H347-G348</f>
        <v>631558.423099121</v>
      </c>
      <c r="I348" s="49" t="n">
        <f aca="false">K347*Annahmen!$B$57/12</f>
        <v>3933.3638866516</v>
      </c>
      <c r="J348" s="49" t="n">
        <f aca="false">MIN($I$3-I348,K347)</f>
        <v>6474.99322160862</v>
      </c>
      <c r="K348" s="49" t="n">
        <f aca="false">K347-J348</f>
        <v>1173534.17277387</v>
      </c>
      <c r="L348" s="49" t="n">
        <f aca="false">C348+F348+I348</f>
        <v>6984.525442026</v>
      </c>
      <c r="M348" s="49" t="n">
        <f aca="false">D348+G348+J348</f>
        <v>10748.8316662342</v>
      </c>
      <c r="N348" s="49" t="n">
        <f aca="false">L348+M348</f>
        <v>17733.3571082602</v>
      </c>
      <c r="O348" s="49" t="n">
        <f aca="false">E348+H348+K348</f>
        <v>2507058.09575202</v>
      </c>
    </row>
    <row r="349" customFormat="false" ht="15" hidden="false" customHeight="false" outlineLevel="0" collapsed="false">
      <c r="A349" s="48" t="n">
        <v>343</v>
      </c>
      <c r="B349" s="48" t="n">
        <f aca="false">ROUNDUP(A349/12,0)</f>
        <v>29</v>
      </c>
      <c r="C349" s="49" t="n">
        <f aca="false">E348*Annahmen!$B$55/12</f>
        <v>1462.42812474798</v>
      </c>
      <c r="D349" s="49" t="n">
        <f aca="false">MIN($C$3-C349,E348)</f>
        <v>2037.57187525202</v>
      </c>
      <c r="E349" s="49" t="n">
        <f aca="false">E348-D349</f>
        <v>699927.92800378</v>
      </c>
      <c r="F349" s="49" t="n">
        <f aca="false">H348*Annahmen!$B$56/12</f>
        <v>1578.8960577478</v>
      </c>
      <c r="G349" s="49" t="n">
        <f aca="false">MIN($F$3-F349,H348)</f>
        <v>2246.1039422522</v>
      </c>
      <c r="H349" s="49" t="n">
        <f aca="false">H348-G349</f>
        <v>629312.319156869</v>
      </c>
      <c r="I349" s="49" t="n">
        <f aca="false">K348*Annahmen!$B$57/12</f>
        <v>3911.78057591291</v>
      </c>
      <c r="J349" s="49" t="n">
        <f aca="false">MIN($I$3-I349,K348)</f>
        <v>6496.57653234732</v>
      </c>
      <c r="K349" s="49" t="n">
        <f aca="false">K348-J349</f>
        <v>1167037.59624152</v>
      </c>
      <c r="L349" s="49" t="n">
        <f aca="false">C349+F349+I349</f>
        <v>6953.10475840869</v>
      </c>
      <c r="M349" s="49" t="n">
        <f aca="false">D349+G349+J349</f>
        <v>10780.2523498515</v>
      </c>
      <c r="N349" s="49" t="n">
        <f aca="false">L349+M349</f>
        <v>17733.3571082602</v>
      </c>
      <c r="O349" s="49" t="n">
        <f aca="false">E349+H349+K349</f>
        <v>2496277.84340217</v>
      </c>
    </row>
    <row r="350" customFormat="false" ht="15" hidden="false" customHeight="false" outlineLevel="0" collapsed="false">
      <c r="A350" s="48" t="n">
        <v>344</v>
      </c>
      <c r="B350" s="48" t="n">
        <f aca="false">ROUNDUP(A350/12,0)</f>
        <v>29</v>
      </c>
      <c r="C350" s="49" t="n">
        <f aca="false">E349*Annahmen!$B$55/12</f>
        <v>1458.18318334121</v>
      </c>
      <c r="D350" s="49" t="n">
        <f aca="false">MIN($C$3-C350,E349)</f>
        <v>2041.81681665879</v>
      </c>
      <c r="E350" s="49" t="n">
        <f aca="false">E349-D350</f>
        <v>697886.111187121</v>
      </c>
      <c r="F350" s="49" t="n">
        <f aca="false">H349*Annahmen!$B$56/12</f>
        <v>1573.28079789217</v>
      </c>
      <c r="G350" s="49" t="n">
        <f aca="false">MIN($F$3-F350,H349)</f>
        <v>2251.71920210783</v>
      </c>
      <c r="H350" s="49" t="n">
        <f aca="false">H349-G350</f>
        <v>627060.599954761</v>
      </c>
      <c r="I350" s="49" t="n">
        <f aca="false">K349*Annahmen!$B$57/12</f>
        <v>3890.12532080508</v>
      </c>
      <c r="J350" s="49" t="n">
        <f aca="false">MIN($I$3-I350,K349)</f>
        <v>6518.23178745514</v>
      </c>
      <c r="K350" s="49" t="n">
        <f aca="false">K349-J350</f>
        <v>1160519.36445407</v>
      </c>
      <c r="L350" s="49" t="n">
        <f aca="false">C350+F350+I350</f>
        <v>6921.58930203846</v>
      </c>
      <c r="M350" s="49" t="n">
        <f aca="false">D350+G350+J350</f>
        <v>10811.7678062218</v>
      </c>
      <c r="N350" s="49" t="n">
        <f aca="false">L350+M350</f>
        <v>17733.3571082602</v>
      </c>
      <c r="O350" s="49" t="n">
        <f aca="false">E350+H350+K350</f>
        <v>2485466.07559595</v>
      </c>
    </row>
    <row r="351" customFormat="false" ht="15" hidden="false" customHeight="false" outlineLevel="0" collapsed="false">
      <c r="A351" s="48" t="n">
        <v>345</v>
      </c>
      <c r="B351" s="48" t="n">
        <f aca="false">ROUNDUP(A351/12,0)</f>
        <v>29</v>
      </c>
      <c r="C351" s="49" t="n">
        <f aca="false">E350*Annahmen!$B$55/12</f>
        <v>1453.9293983065</v>
      </c>
      <c r="D351" s="49" t="n">
        <f aca="false">MIN($C$3-C351,E350)</f>
        <v>2046.0706016935</v>
      </c>
      <c r="E351" s="49" t="n">
        <f aca="false">E350-D351</f>
        <v>695840.040585427</v>
      </c>
      <c r="F351" s="49" t="n">
        <f aca="false">H350*Annahmen!$B$56/12</f>
        <v>1567.6514998869</v>
      </c>
      <c r="G351" s="49" t="n">
        <f aca="false">MIN($F$3-F351,H350)</f>
        <v>2257.3485001131</v>
      </c>
      <c r="H351" s="49" t="n">
        <f aca="false">H350-G351</f>
        <v>624803.251454648</v>
      </c>
      <c r="I351" s="49" t="n">
        <f aca="false">K350*Annahmen!$B$57/12</f>
        <v>3868.39788151356</v>
      </c>
      <c r="J351" s="49" t="n">
        <f aca="false">MIN($I$3-I351,K350)</f>
        <v>6539.95922674666</v>
      </c>
      <c r="K351" s="49" t="n">
        <f aca="false">K350-J351</f>
        <v>1153979.40522732</v>
      </c>
      <c r="L351" s="49" t="n">
        <f aca="false">C351+F351+I351</f>
        <v>6889.97877970697</v>
      </c>
      <c r="M351" s="49" t="n">
        <f aca="false">D351+G351+J351</f>
        <v>10843.3783285533</v>
      </c>
      <c r="N351" s="49" t="n">
        <f aca="false">L351+M351</f>
        <v>17733.3571082602</v>
      </c>
      <c r="O351" s="49" t="n">
        <f aca="false">E351+H351+K351</f>
        <v>2474622.6972674</v>
      </c>
    </row>
    <row r="352" customFormat="false" ht="15" hidden="false" customHeight="false" outlineLevel="0" collapsed="false">
      <c r="A352" s="48" t="n">
        <v>346</v>
      </c>
      <c r="B352" s="48" t="n">
        <f aca="false">ROUNDUP(A352/12,0)</f>
        <v>29</v>
      </c>
      <c r="C352" s="49" t="n">
        <f aca="false">E351*Annahmen!$B$55/12</f>
        <v>1449.66675121964</v>
      </c>
      <c r="D352" s="49" t="n">
        <f aca="false">MIN($C$3-C352,E351)</f>
        <v>2050.33324878036</v>
      </c>
      <c r="E352" s="49" t="n">
        <f aca="false">E351-D352</f>
        <v>693789.707336647</v>
      </c>
      <c r="F352" s="49" t="n">
        <f aca="false">H351*Annahmen!$B$56/12</f>
        <v>1562.00812863662</v>
      </c>
      <c r="G352" s="49" t="n">
        <f aca="false">MIN($F$3-F352,H351)</f>
        <v>2262.99187136338</v>
      </c>
      <c r="H352" s="49" t="n">
        <f aca="false">H351-G352</f>
        <v>622540.259583285</v>
      </c>
      <c r="I352" s="49" t="n">
        <f aca="false">K351*Annahmen!$B$57/12</f>
        <v>3846.59801742441</v>
      </c>
      <c r="J352" s="49" t="n">
        <f aca="false">MIN($I$3-I352,K351)</f>
        <v>6561.75909083581</v>
      </c>
      <c r="K352" s="49" t="n">
        <f aca="false">K351-J352</f>
        <v>1147417.64613649</v>
      </c>
      <c r="L352" s="49" t="n">
        <f aca="false">C352+F352+I352</f>
        <v>6858.27289728067</v>
      </c>
      <c r="M352" s="49" t="n">
        <f aca="false">D352+G352+J352</f>
        <v>10875.0842109796</v>
      </c>
      <c r="N352" s="49" t="n">
        <f aca="false">L352+M352</f>
        <v>17733.3571082602</v>
      </c>
      <c r="O352" s="49" t="n">
        <f aca="false">E352+H352+K352</f>
        <v>2463747.61305642</v>
      </c>
    </row>
    <row r="353" customFormat="false" ht="15" hidden="false" customHeight="false" outlineLevel="0" collapsed="false">
      <c r="A353" s="48" t="n">
        <v>347</v>
      </c>
      <c r="B353" s="48" t="n">
        <f aca="false">ROUNDUP(A353/12,0)</f>
        <v>29</v>
      </c>
      <c r="C353" s="49" t="n">
        <f aca="false">E352*Annahmen!$B$55/12</f>
        <v>1445.39522361801</v>
      </c>
      <c r="D353" s="49" t="n">
        <f aca="false">MIN($C$3-C353,E352)</f>
        <v>2054.60477638199</v>
      </c>
      <c r="E353" s="49" t="n">
        <f aca="false">E352-D353</f>
        <v>691735.102560265</v>
      </c>
      <c r="F353" s="49" t="n">
        <f aca="false">H352*Annahmen!$B$56/12</f>
        <v>1556.35064895821</v>
      </c>
      <c r="G353" s="49" t="n">
        <f aca="false">MIN($F$3-F353,H352)</f>
        <v>2268.64935104179</v>
      </c>
      <c r="H353" s="49" t="n">
        <f aca="false">H352-G353</f>
        <v>620271.610232243</v>
      </c>
      <c r="I353" s="49" t="n">
        <f aca="false">K352*Annahmen!$B$57/12</f>
        <v>3824.72548712162</v>
      </c>
      <c r="J353" s="49" t="n">
        <f aca="false">MIN($I$3-I353,K352)</f>
        <v>6583.6316211386</v>
      </c>
      <c r="K353" s="49" t="n">
        <f aca="false">K352-J353</f>
        <v>1140834.01451535</v>
      </c>
      <c r="L353" s="49" t="n">
        <f aca="false">C353+F353+I353</f>
        <v>6826.47135969785</v>
      </c>
      <c r="M353" s="49" t="n">
        <f aca="false">D353+G353+J353</f>
        <v>10906.8857485624</v>
      </c>
      <c r="N353" s="49" t="n">
        <f aca="false">L353+M353</f>
        <v>17733.3571082602</v>
      </c>
      <c r="O353" s="49" t="n">
        <f aca="false">E353+H353+K353</f>
        <v>2452840.72730786</v>
      </c>
    </row>
    <row r="354" customFormat="false" ht="15" hidden="false" customHeight="false" outlineLevel="0" collapsed="false">
      <c r="A354" s="48" t="n">
        <v>348</v>
      </c>
      <c r="B354" s="48" t="n">
        <f aca="false">ROUNDUP(A354/12,0)</f>
        <v>29</v>
      </c>
      <c r="C354" s="49" t="n">
        <f aca="false">E353*Annahmen!$B$55/12</f>
        <v>1441.11479700055</v>
      </c>
      <c r="D354" s="49" t="n">
        <f aca="false">MIN($C$3-C354,E353)</f>
        <v>2058.88520299945</v>
      </c>
      <c r="E354" s="49" t="n">
        <f aca="false">E353-D354</f>
        <v>689676.217357266</v>
      </c>
      <c r="F354" s="49" t="n">
        <f aca="false">H353*Annahmen!$B$56/12</f>
        <v>1550.67902558061</v>
      </c>
      <c r="G354" s="49" t="n">
        <f aca="false">MIN($F$3-F354,H353)</f>
        <v>2274.32097441939</v>
      </c>
      <c r="H354" s="49" t="n">
        <f aca="false">H353-G354</f>
        <v>617997.289257824</v>
      </c>
      <c r="I354" s="49" t="n">
        <f aca="false">K353*Annahmen!$B$57/12</f>
        <v>3802.78004838449</v>
      </c>
      <c r="J354" s="49" t="n">
        <f aca="false">MIN($I$3-I354,K353)</f>
        <v>6605.57705987573</v>
      </c>
      <c r="K354" s="49" t="n">
        <f aca="false">K353-J354</f>
        <v>1134228.43745547</v>
      </c>
      <c r="L354" s="49" t="n">
        <f aca="false">C354+F354+I354</f>
        <v>6794.57387096565</v>
      </c>
      <c r="M354" s="49" t="n">
        <f aca="false">D354+G354+J354</f>
        <v>10938.7832372946</v>
      </c>
      <c r="N354" s="49" t="n">
        <f aca="false">L354+M354</f>
        <v>17733.3571082602</v>
      </c>
      <c r="O354" s="49" t="n">
        <f aca="false">E354+H354+K354</f>
        <v>2441901.94407056</v>
      </c>
    </row>
    <row r="355" customFormat="false" ht="15" hidden="false" customHeight="false" outlineLevel="0" collapsed="false">
      <c r="A355" s="48" t="n">
        <v>349</v>
      </c>
      <c r="B355" s="48" t="n">
        <f aca="false">ROUNDUP(A355/12,0)</f>
        <v>30</v>
      </c>
      <c r="C355" s="49" t="n">
        <f aca="false">E354*Annahmen!$B$55/12</f>
        <v>1436.82545282764</v>
      </c>
      <c r="D355" s="49" t="n">
        <f aca="false">MIN($C$3-C355,E354)</f>
        <v>2063.17454717237</v>
      </c>
      <c r="E355" s="49" t="n">
        <f aca="false">E354-D355</f>
        <v>687613.042810093</v>
      </c>
      <c r="F355" s="49" t="n">
        <f aca="false">H354*Annahmen!$B$56/12</f>
        <v>1544.99322314456</v>
      </c>
      <c r="G355" s="49" t="n">
        <f aca="false">MIN($F$3-F355,H354)</f>
        <v>2280.00677685544</v>
      </c>
      <c r="H355" s="49" t="n">
        <f aca="false">H354-G355</f>
        <v>615717.282480968</v>
      </c>
      <c r="I355" s="49" t="n">
        <f aca="false">K354*Annahmen!$B$57/12</f>
        <v>3780.76145818491</v>
      </c>
      <c r="J355" s="49" t="n">
        <f aca="false">MIN($I$3-I355,K354)</f>
        <v>6627.59565007532</v>
      </c>
      <c r="K355" s="49" t="n">
        <f aca="false">K354-J355</f>
        <v>1127600.8418054</v>
      </c>
      <c r="L355" s="49" t="n">
        <f aca="false">C355+F355+I355</f>
        <v>6762.5801341571</v>
      </c>
      <c r="M355" s="49" t="n">
        <f aca="false">D355+G355+J355</f>
        <v>10970.7769741031</v>
      </c>
      <c r="N355" s="49" t="n">
        <f aca="false">L355+M355</f>
        <v>17733.3571082602</v>
      </c>
      <c r="O355" s="49" t="n">
        <f aca="false">E355+H355+K355</f>
        <v>2430931.16709646</v>
      </c>
    </row>
    <row r="356" customFormat="false" ht="15" hidden="false" customHeight="false" outlineLevel="0" collapsed="false">
      <c r="A356" s="48" t="n">
        <v>350</v>
      </c>
      <c r="B356" s="48" t="n">
        <f aca="false">ROUNDUP(A356/12,0)</f>
        <v>30</v>
      </c>
      <c r="C356" s="49" t="n">
        <f aca="false">E355*Annahmen!$B$55/12</f>
        <v>1432.52717252103</v>
      </c>
      <c r="D356" s="49" t="n">
        <f aca="false">MIN($C$3-C356,E355)</f>
        <v>2067.47282747897</v>
      </c>
      <c r="E356" s="49" t="n">
        <f aca="false">E355-D356</f>
        <v>685545.569982614</v>
      </c>
      <c r="F356" s="49" t="n">
        <f aca="false">H355*Annahmen!$B$56/12</f>
        <v>1539.29320620242</v>
      </c>
      <c r="G356" s="49" t="n">
        <f aca="false">MIN($F$3-F356,H355)</f>
        <v>2285.70679379758</v>
      </c>
      <c r="H356" s="49" t="n">
        <f aca="false">H355-G356</f>
        <v>613431.575687171</v>
      </c>
      <c r="I356" s="49" t="n">
        <f aca="false">K355*Annahmen!$B$57/12</f>
        <v>3758.66947268466</v>
      </c>
      <c r="J356" s="49" t="n">
        <f aca="false">MIN($I$3-I356,K355)</f>
        <v>6649.68763557557</v>
      </c>
      <c r="K356" s="49" t="n">
        <f aca="false">K355-J356</f>
        <v>1120951.15416982</v>
      </c>
      <c r="L356" s="49" t="n">
        <f aca="false">C356+F356+I356</f>
        <v>6730.48985140811</v>
      </c>
      <c r="M356" s="49" t="n">
        <f aca="false">D356+G356+J356</f>
        <v>11002.8672568521</v>
      </c>
      <c r="N356" s="49" t="n">
        <f aca="false">L356+M356</f>
        <v>17733.3571082602</v>
      </c>
      <c r="O356" s="49" t="n">
        <f aca="false">E356+H356+K356</f>
        <v>2419928.29983961</v>
      </c>
    </row>
    <row r="357" customFormat="false" ht="15" hidden="false" customHeight="false" outlineLevel="0" collapsed="false">
      <c r="A357" s="48" t="n">
        <v>351</v>
      </c>
      <c r="B357" s="48" t="n">
        <f aca="false">ROUNDUP(A357/12,0)</f>
        <v>30</v>
      </c>
      <c r="C357" s="49" t="n">
        <f aca="false">E356*Annahmen!$B$55/12</f>
        <v>1428.21993746378</v>
      </c>
      <c r="D357" s="49" t="n">
        <f aca="false">MIN($C$3-C357,E356)</f>
        <v>2071.78006253622</v>
      </c>
      <c r="E357" s="49" t="n">
        <f aca="false">E356-D357</f>
        <v>683473.789920078</v>
      </c>
      <c r="F357" s="49" t="n">
        <f aca="false">H356*Annahmen!$B$56/12</f>
        <v>1533.57893921793</v>
      </c>
      <c r="G357" s="49" t="n">
        <f aca="false">MIN($F$3-F357,H356)</f>
        <v>2291.42106078207</v>
      </c>
      <c r="H357" s="49" t="n">
        <f aca="false">H356-G357</f>
        <v>611140.154626389</v>
      </c>
      <c r="I357" s="49" t="n">
        <f aca="false">K356*Annahmen!$B$57/12</f>
        <v>3736.50384723274</v>
      </c>
      <c r="J357" s="49" t="n">
        <f aca="false">MIN($I$3-I357,K356)</f>
        <v>6671.85326102749</v>
      </c>
      <c r="K357" s="49" t="n">
        <f aca="false">K356-J357</f>
        <v>1114279.30090879</v>
      </c>
      <c r="L357" s="49" t="n">
        <f aca="false">C357+F357+I357</f>
        <v>6698.30272391444</v>
      </c>
      <c r="M357" s="49" t="n">
        <f aca="false">D357+G357+J357</f>
        <v>11035.0543843458</v>
      </c>
      <c r="N357" s="49" t="n">
        <f aca="false">L357+M357</f>
        <v>17733.3571082602</v>
      </c>
      <c r="O357" s="49" t="n">
        <f aca="false">E357+H357+K357</f>
        <v>2408893.24545526</v>
      </c>
    </row>
    <row r="358" customFormat="false" ht="15" hidden="false" customHeight="false" outlineLevel="0" collapsed="false">
      <c r="A358" s="48" t="n">
        <v>352</v>
      </c>
      <c r="B358" s="48" t="n">
        <f aca="false">ROUNDUP(A358/12,0)</f>
        <v>30</v>
      </c>
      <c r="C358" s="49" t="n">
        <f aca="false">E357*Annahmen!$B$55/12</f>
        <v>1423.90372900016</v>
      </c>
      <c r="D358" s="49" t="n">
        <f aca="false">MIN($C$3-C358,E357)</f>
        <v>2076.09627099984</v>
      </c>
      <c r="E358" s="49" t="n">
        <f aca="false">E357-D358</f>
        <v>681397.693649078</v>
      </c>
      <c r="F358" s="49" t="n">
        <f aca="false">H357*Annahmen!$B$56/12</f>
        <v>1527.85038656597</v>
      </c>
      <c r="G358" s="49" t="n">
        <f aca="false">MIN($F$3-F358,H357)</f>
        <v>2297.14961343403</v>
      </c>
      <c r="H358" s="49" t="n">
        <f aca="false">H357-G358</f>
        <v>608843.005012955</v>
      </c>
      <c r="I358" s="49" t="n">
        <f aca="false">K357*Annahmen!$B$57/12</f>
        <v>3714.26433636265</v>
      </c>
      <c r="J358" s="49" t="n">
        <f aca="false">MIN($I$3-I358,K357)</f>
        <v>6694.09277189758</v>
      </c>
      <c r="K358" s="49" t="n">
        <f aca="false">K357-J358</f>
        <v>1107585.2081369</v>
      </c>
      <c r="L358" s="49" t="n">
        <f aca="false">C358+F358+I358</f>
        <v>6666.01845192878</v>
      </c>
      <c r="M358" s="49" t="n">
        <f aca="false">D358+G358+J358</f>
        <v>11067.3386563314</v>
      </c>
      <c r="N358" s="49" t="n">
        <f aca="false">L358+M358</f>
        <v>17733.3571082602</v>
      </c>
      <c r="O358" s="49" t="n">
        <f aca="false">E358+H358+K358</f>
        <v>2397825.90679893</v>
      </c>
    </row>
    <row r="359" customFormat="false" ht="15" hidden="false" customHeight="false" outlineLevel="0" collapsed="false">
      <c r="A359" s="48" t="n">
        <v>353</v>
      </c>
      <c r="B359" s="48" t="n">
        <f aca="false">ROUNDUP(A359/12,0)</f>
        <v>30</v>
      </c>
      <c r="C359" s="49" t="n">
        <f aca="false">E358*Annahmen!$B$55/12</f>
        <v>1419.57852843558</v>
      </c>
      <c r="D359" s="49" t="n">
        <f aca="false">MIN($C$3-C359,E358)</f>
        <v>2080.42147156442</v>
      </c>
      <c r="E359" s="49" t="n">
        <f aca="false">E358-D359</f>
        <v>679317.272177514</v>
      </c>
      <c r="F359" s="49" t="n">
        <f aca="false">H358*Annahmen!$B$56/12</f>
        <v>1522.10751253239</v>
      </c>
      <c r="G359" s="49" t="n">
        <f aca="false">MIN($F$3-F359,H358)</f>
        <v>2302.89248746761</v>
      </c>
      <c r="H359" s="49" t="n">
        <f aca="false">H358-G359</f>
        <v>606540.112525487</v>
      </c>
      <c r="I359" s="49" t="n">
        <f aca="false">K358*Annahmen!$B$57/12</f>
        <v>3691.95069378966</v>
      </c>
      <c r="J359" s="49" t="n">
        <f aca="false">MIN($I$3-I359,K358)</f>
        <v>6716.40641447057</v>
      </c>
      <c r="K359" s="49" t="n">
        <f aca="false">K358-J359</f>
        <v>1100868.80172243</v>
      </c>
      <c r="L359" s="49" t="n">
        <f aca="false">C359+F359+I359</f>
        <v>6633.63673475762</v>
      </c>
      <c r="M359" s="49" t="n">
        <f aca="false">D359+G359+J359</f>
        <v>11099.7203735026</v>
      </c>
      <c r="N359" s="49" t="n">
        <f aca="false">L359+M359</f>
        <v>17733.3571082602</v>
      </c>
      <c r="O359" s="49" t="n">
        <f aca="false">E359+H359+K359</f>
        <v>2386726.18642543</v>
      </c>
    </row>
    <row r="360" customFormat="false" ht="15" hidden="false" customHeight="false" outlineLevel="0" collapsed="false">
      <c r="A360" s="48" t="n">
        <v>354</v>
      </c>
      <c r="B360" s="48" t="n">
        <f aca="false">ROUNDUP(A360/12,0)</f>
        <v>30</v>
      </c>
      <c r="C360" s="49" t="n">
        <f aca="false">E359*Annahmen!$B$55/12</f>
        <v>1415.24431703649</v>
      </c>
      <c r="D360" s="49" t="n">
        <f aca="false">MIN($C$3-C360,E359)</f>
        <v>2084.75568296352</v>
      </c>
      <c r="E360" s="49" t="n">
        <f aca="false">E359-D360</f>
        <v>677232.51649455</v>
      </c>
      <c r="F360" s="49" t="n">
        <f aca="false">H359*Annahmen!$B$56/12</f>
        <v>1516.35028131372</v>
      </c>
      <c r="G360" s="49" t="n">
        <f aca="false">MIN($F$3-F360,H359)</f>
        <v>2308.64971868628</v>
      </c>
      <c r="H360" s="49" t="n">
        <f aca="false">H359-G360</f>
        <v>604231.462806801</v>
      </c>
      <c r="I360" s="49" t="n">
        <f aca="false">K359*Annahmen!$B$57/12</f>
        <v>3669.56267240809</v>
      </c>
      <c r="J360" s="49" t="n">
        <f aca="false">MIN($I$3-I360,K359)</f>
        <v>6738.79443585214</v>
      </c>
      <c r="K360" s="49" t="n">
        <f aca="false">K359-J360</f>
        <v>1094130.00728657</v>
      </c>
      <c r="L360" s="49" t="n">
        <f aca="false">C360+F360+I360</f>
        <v>6601.15727075829</v>
      </c>
      <c r="M360" s="49" t="n">
        <f aca="false">D360+G360+J360</f>
        <v>11132.1998375019</v>
      </c>
      <c r="N360" s="49" t="n">
        <f aca="false">L360+M360</f>
        <v>17733.3571082602</v>
      </c>
      <c r="O360" s="49" t="n">
        <f aca="false">E360+H360+K360</f>
        <v>2375593.98658792</v>
      </c>
    </row>
    <row r="361" customFormat="false" ht="15" hidden="false" customHeight="false" outlineLevel="0" collapsed="false">
      <c r="A361" s="48" t="n">
        <v>355</v>
      </c>
      <c r="B361" s="48" t="n">
        <f aca="false">ROUNDUP(A361/12,0)</f>
        <v>30</v>
      </c>
      <c r="C361" s="49" t="n">
        <f aca="false">E360*Annahmen!$B$55/12</f>
        <v>1410.90107603031</v>
      </c>
      <c r="D361" s="49" t="n">
        <f aca="false">MIN($C$3-C361,E360)</f>
        <v>2089.09892396969</v>
      </c>
      <c r="E361" s="49" t="n">
        <f aca="false">E360-D361</f>
        <v>675143.41757058</v>
      </c>
      <c r="F361" s="49" t="n">
        <f aca="false">H360*Annahmen!$B$56/12</f>
        <v>1510.578657017</v>
      </c>
      <c r="G361" s="49" t="n">
        <f aca="false">MIN($F$3-F361,H360)</f>
        <v>2314.421342983</v>
      </c>
      <c r="H361" s="49" t="n">
        <f aca="false">H360-G361</f>
        <v>601917.041463818</v>
      </c>
      <c r="I361" s="49" t="n">
        <f aca="false">K360*Annahmen!$B$57/12</f>
        <v>3647.10002428858</v>
      </c>
      <c r="J361" s="49" t="n">
        <f aca="false">MIN($I$3-I361,K360)</f>
        <v>6761.25708397164</v>
      </c>
      <c r="K361" s="49" t="n">
        <f aca="false">K360-J361</f>
        <v>1087368.7502026</v>
      </c>
      <c r="L361" s="49" t="n">
        <f aca="false">C361+F361+I361</f>
        <v>6568.57975733589</v>
      </c>
      <c r="M361" s="49" t="n">
        <f aca="false">D361+G361+J361</f>
        <v>11164.7773509243</v>
      </c>
      <c r="N361" s="49" t="n">
        <f aca="false">L361+M361</f>
        <v>17733.3571082602</v>
      </c>
      <c r="O361" s="49" t="n">
        <f aca="false">E361+H361+K361</f>
        <v>2364429.209237</v>
      </c>
    </row>
    <row r="362" customFormat="false" ht="15" hidden="false" customHeight="false" outlineLevel="0" collapsed="false">
      <c r="A362" s="48" t="n">
        <v>356</v>
      </c>
      <c r="B362" s="48" t="n">
        <f aca="false">ROUNDUP(A362/12,0)</f>
        <v>30</v>
      </c>
      <c r="C362" s="49" t="n">
        <f aca="false">E361*Annahmen!$B$55/12</f>
        <v>1406.54878660538</v>
      </c>
      <c r="D362" s="49" t="n">
        <f aca="false">MIN($C$3-C362,E361)</f>
        <v>2093.45121339463</v>
      </c>
      <c r="E362" s="49" t="n">
        <f aca="false">E361-D362</f>
        <v>673049.966357186</v>
      </c>
      <c r="F362" s="49" t="n">
        <f aca="false">H361*Annahmen!$B$56/12</f>
        <v>1504.79260365954</v>
      </c>
      <c r="G362" s="49" t="n">
        <f aca="false">MIN($F$3-F362,H361)</f>
        <v>2320.20739634046</v>
      </c>
      <c r="H362" s="49" t="n">
        <f aca="false">H361-G362</f>
        <v>599596.834067477</v>
      </c>
      <c r="I362" s="49" t="n">
        <f aca="false">K361*Annahmen!$B$57/12</f>
        <v>3624.56250067534</v>
      </c>
      <c r="J362" s="49" t="n">
        <f aca="false">MIN($I$3-I362,K361)</f>
        <v>6783.79460758488</v>
      </c>
      <c r="K362" s="49" t="n">
        <f aca="false">K361-J362</f>
        <v>1080584.95559502</v>
      </c>
      <c r="L362" s="49" t="n">
        <f aca="false">C362+F362+I362</f>
        <v>6535.90389094026</v>
      </c>
      <c r="M362" s="49" t="n">
        <f aca="false">D362+G362+J362</f>
        <v>11197.45321732</v>
      </c>
      <c r="N362" s="49" t="n">
        <f aca="false">L362+M362</f>
        <v>17733.3571082602</v>
      </c>
      <c r="O362" s="49" t="n">
        <f aca="false">E362+H362+K362</f>
        <v>2353231.75601968</v>
      </c>
    </row>
    <row r="363" customFormat="false" ht="15" hidden="false" customHeight="false" outlineLevel="0" collapsed="false">
      <c r="A363" s="48" t="n">
        <v>357</v>
      </c>
      <c r="B363" s="48" t="n">
        <f aca="false">ROUNDUP(A363/12,0)</f>
        <v>30</v>
      </c>
      <c r="C363" s="49" t="n">
        <f aca="false">E362*Annahmen!$B$55/12</f>
        <v>1402.1874299108</v>
      </c>
      <c r="D363" s="49" t="n">
        <f aca="false">MIN($C$3-C363,E362)</f>
        <v>2097.8125700892</v>
      </c>
      <c r="E363" s="49" t="n">
        <f aca="false">E362-D363</f>
        <v>670952.153787097</v>
      </c>
      <c r="F363" s="49" t="n">
        <f aca="false">H362*Annahmen!$B$56/12</f>
        <v>1498.99208516869</v>
      </c>
      <c r="G363" s="49" t="n">
        <f aca="false">MIN($F$3-F363,H362)</f>
        <v>2326.00791483131</v>
      </c>
      <c r="H363" s="49" t="n">
        <f aca="false">H362-G363</f>
        <v>597270.826152646</v>
      </c>
      <c r="I363" s="49" t="n">
        <f aca="false">K362*Annahmen!$B$57/12</f>
        <v>3601.94985198339</v>
      </c>
      <c r="J363" s="49" t="n">
        <f aca="false">MIN($I$3-I363,K362)</f>
        <v>6806.40725627683</v>
      </c>
      <c r="K363" s="49" t="n">
        <f aca="false">K362-J363</f>
        <v>1073778.54833874</v>
      </c>
      <c r="L363" s="49" t="n">
        <f aca="false">C363+F363+I363</f>
        <v>6503.12936706289</v>
      </c>
      <c r="M363" s="49" t="n">
        <f aca="false">D363+G363+J363</f>
        <v>11230.2277411973</v>
      </c>
      <c r="N363" s="49" t="n">
        <f aca="false">L363+M363</f>
        <v>17733.3571082602</v>
      </c>
      <c r="O363" s="49" t="n">
        <f aca="false">E363+H363+K363</f>
        <v>2342001.52827848</v>
      </c>
    </row>
    <row r="364" customFormat="false" ht="15" hidden="false" customHeight="false" outlineLevel="0" collapsed="false">
      <c r="A364" s="48" t="n">
        <v>358</v>
      </c>
      <c r="B364" s="48" t="n">
        <f aca="false">ROUNDUP(A364/12,0)</f>
        <v>30</v>
      </c>
      <c r="C364" s="49" t="n">
        <f aca="false">E363*Annahmen!$B$55/12</f>
        <v>1397.81698705645</v>
      </c>
      <c r="D364" s="49" t="n">
        <f aca="false">MIN($C$3-C364,E363)</f>
        <v>2102.18301294355</v>
      </c>
      <c r="E364" s="49" t="n">
        <f aca="false">E363-D364</f>
        <v>668849.970774153</v>
      </c>
      <c r="F364" s="49" t="n">
        <f aca="false">H363*Annahmen!$B$56/12</f>
        <v>1493.17706538162</v>
      </c>
      <c r="G364" s="49" t="n">
        <f aca="false">MIN($F$3-F364,H363)</f>
        <v>2331.82293461839</v>
      </c>
      <c r="H364" s="49" t="n">
        <f aca="false">H363-G364</f>
        <v>594939.003218028</v>
      </c>
      <c r="I364" s="49" t="n">
        <f aca="false">K363*Annahmen!$B$57/12</f>
        <v>3579.2618277958</v>
      </c>
      <c r="J364" s="49" t="n">
        <f aca="false">MIN($I$3-I364,K363)</f>
        <v>6829.09528046442</v>
      </c>
      <c r="K364" s="49" t="n">
        <f aca="false">K363-J364</f>
        <v>1066949.45305828</v>
      </c>
      <c r="L364" s="49" t="n">
        <f aca="false">C364+F364+I364</f>
        <v>6470.25588023387</v>
      </c>
      <c r="M364" s="49" t="n">
        <f aca="false">D364+G364+J364</f>
        <v>11263.1012280264</v>
      </c>
      <c r="N364" s="49" t="n">
        <f aca="false">L364+M364</f>
        <v>17733.3571082602</v>
      </c>
      <c r="O364" s="49" t="n">
        <f aca="false">E364+H364+K364</f>
        <v>2330738.42705046</v>
      </c>
    </row>
    <row r="365" customFormat="false" ht="15" hidden="false" customHeight="false" outlineLevel="0" collapsed="false">
      <c r="A365" s="48" t="n">
        <v>359</v>
      </c>
      <c r="B365" s="48" t="n">
        <f aca="false">ROUNDUP(A365/12,0)</f>
        <v>30</v>
      </c>
      <c r="C365" s="49" t="n">
        <f aca="false">E364*Annahmen!$B$55/12</f>
        <v>1393.43743911282</v>
      </c>
      <c r="D365" s="49" t="n">
        <f aca="false">MIN($C$3-C365,E364)</f>
        <v>2106.56256088718</v>
      </c>
      <c r="E365" s="49" t="n">
        <f aca="false">E364-D365</f>
        <v>666743.408213266</v>
      </c>
      <c r="F365" s="49" t="n">
        <f aca="false">H364*Annahmen!$B$56/12</f>
        <v>1487.34750804507</v>
      </c>
      <c r="G365" s="49" t="n">
        <f aca="false">MIN($F$3-F365,H364)</f>
        <v>2337.65249195493</v>
      </c>
      <c r="H365" s="49" t="n">
        <f aca="false">H364-G365</f>
        <v>592601.350726073</v>
      </c>
      <c r="I365" s="49" t="n">
        <f aca="false">K364*Annahmen!$B$57/12</f>
        <v>3556.49817686092</v>
      </c>
      <c r="J365" s="49" t="n">
        <f aca="false">MIN($I$3-I365,K364)</f>
        <v>6851.8589313993</v>
      </c>
      <c r="K365" s="49" t="n">
        <f aca="false">K364-J365</f>
        <v>1060097.59412688</v>
      </c>
      <c r="L365" s="49" t="n">
        <f aca="false">C365+F365+I365</f>
        <v>6437.28312401881</v>
      </c>
      <c r="M365" s="49" t="n">
        <f aca="false">D365+G365+J365</f>
        <v>11296.0739842414</v>
      </c>
      <c r="N365" s="49" t="n">
        <f aca="false">L365+M365</f>
        <v>17733.3571082602</v>
      </c>
      <c r="O365" s="49" t="n">
        <f aca="false">E365+H365+K365</f>
        <v>2319442.35306621</v>
      </c>
    </row>
    <row r="366" customFormat="false" ht="15" hidden="false" customHeight="false" outlineLevel="0" collapsed="false">
      <c r="A366" s="48" t="n">
        <v>360</v>
      </c>
      <c r="B366" s="48" t="n">
        <f aca="false">ROUNDUP(A366/12,0)</f>
        <v>30</v>
      </c>
      <c r="C366" s="49" t="n">
        <f aca="false">E365*Annahmen!$B$55/12</f>
        <v>1389.04876711097</v>
      </c>
      <c r="D366" s="49" t="n">
        <f aca="false">MIN($C$3-C366,E365)</f>
        <v>2110.95123288903</v>
      </c>
      <c r="E366" s="49" t="n">
        <f aca="false">E365-D366</f>
        <v>664632.456980377</v>
      </c>
      <c r="F366" s="49" t="n">
        <f aca="false">H365*Annahmen!$B$56/12</f>
        <v>1481.50337681518</v>
      </c>
      <c r="G366" s="49" t="n">
        <f aca="false">MIN($F$3-F366,H365)</f>
        <v>2343.49662318482</v>
      </c>
      <c r="H366" s="49" t="n">
        <f aca="false">H365-G366</f>
        <v>590257.854102888</v>
      </c>
      <c r="I366" s="49" t="n">
        <f aca="false">K365*Annahmen!$B$57/12</f>
        <v>3533.65864708959</v>
      </c>
      <c r="J366" s="49" t="n">
        <f aca="false">MIN($I$3-I366,K365)</f>
        <v>6874.69846117064</v>
      </c>
      <c r="K366" s="49" t="n">
        <f aca="false">K365-J366</f>
        <v>1053222.89566571</v>
      </c>
      <c r="L366" s="49" t="n">
        <f aca="false">C366+F366+I366</f>
        <v>6404.21079101574</v>
      </c>
      <c r="M366" s="49" t="n">
        <f aca="false">D366+G366+J366</f>
        <v>11329.1463172445</v>
      </c>
      <c r="N366" s="49" t="n">
        <f aca="false">L366+M366</f>
        <v>17733.3571082602</v>
      </c>
      <c r="O366" s="49" t="n">
        <f aca="false">E366+H366+K366</f>
        <v>2308113.20674897</v>
      </c>
    </row>
    <row r="367" customFormat="false" ht="15" hidden="false" customHeight="false" outlineLevel="0" collapsed="false">
      <c r="A367" s="48" t="n">
        <v>361</v>
      </c>
      <c r="B367" s="48" t="n">
        <f aca="false">ROUNDUP(A367/12,0)</f>
        <v>31</v>
      </c>
      <c r="C367" s="49" t="n">
        <f aca="false">E366*Annahmen!$B$55/12</f>
        <v>1384.65095204245</v>
      </c>
      <c r="D367" s="49" t="n">
        <f aca="false">MIN($C$3-C367,E366)</f>
        <v>2115.34904795755</v>
      </c>
      <c r="E367" s="49" t="n">
        <f aca="false">E366-D367</f>
        <v>662517.107932419</v>
      </c>
      <c r="F367" s="49" t="n">
        <f aca="false">H366*Annahmen!$B$56/12</f>
        <v>1475.64463525722</v>
      </c>
      <c r="G367" s="49" t="n">
        <f aca="false">MIN($F$3-F367,H366)</f>
        <v>2349.35536474278</v>
      </c>
      <c r="H367" s="49" t="n">
        <f aca="false">H366-G367</f>
        <v>587908.498738145</v>
      </c>
      <c r="I367" s="49" t="n">
        <f aca="false">K366*Annahmen!$B$57/12</f>
        <v>3510.74298555235</v>
      </c>
      <c r="J367" s="49" t="n">
        <f aca="false">MIN($I$3-I367,K366)</f>
        <v>6897.61412270787</v>
      </c>
      <c r="K367" s="49" t="n">
        <f aca="false">K366-J367</f>
        <v>1046325.281543</v>
      </c>
      <c r="L367" s="49" t="n">
        <f aca="false">C367+F367+I367</f>
        <v>6371.03857285202</v>
      </c>
      <c r="M367" s="49" t="n">
        <f aca="false">D367+G367+J367</f>
        <v>11362.3185354082</v>
      </c>
      <c r="N367" s="49" t="n">
        <f aca="false">L367+M367</f>
        <v>17733.3571082602</v>
      </c>
      <c r="O367" s="49" t="n">
        <f aca="false">E367+H367+K367</f>
        <v>2296750.88821356</v>
      </c>
    </row>
    <row r="368" customFormat="false" ht="15" hidden="false" customHeight="false" outlineLevel="0" collapsed="false">
      <c r="A368" s="48" t="n">
        <v>362</v>
      </c>
      <c r="B368" s="48" t="n">
        <f aca="false">ROUNDUP(A368/12,0)</f>
        <v>31</v>
      </c>
      <c r="C368" s="49" t="n">
        <f aca="false">E367*Annahmen!$B$55/12</f>
        <v>1380.24397485921</v>
      </c>
      <c r="D368" s="49" t="n">
        <f aca="false">MIN($C$3-C368,E367)</f>
        <v>2119.7560251408</v>
      </c>
      <c r="E368" s="49" t="n">
        <f aca="false">E367-D368</f>
        <v>660397.351907278</v>
      </c>
      <c r="F368" s="49" t="n">
        <f aca="false">H367*Annahmen!$B$56/12</f>
        <v>1469.77124684536</v>
      </c>
      <c r="G368" s="49" t="n">
        <f aca="false">MIN($F$3-F368,H367)</f>
        <v>2355.22875315464</v>
      </c>
      <c r="H368" s="49" t="n">
        <f aca="false">H367-G368</f>
        <v>585553.269984991</v>
      </c>
      <c r="I368" s="49" t="n">
        <f aca="false">K367*Annahmen!$B$57/12</f>
        <v>3487.75093847666</v>
      </c>
      <c r="J368" s="49" t="n">
        <f aca="false">MIN($I$3-I368,K367)</f>
        <v>6920.60616978356</v>
      </c>
      <c r="K368" s="49" t="n">
        <f aca="false">K367-J368</f>
        <v>1039404.67537321</v>
      </c>
      <c r="L368" s="49" t="n">
        <f aca="false">C368+F368+I368</f>
        <v>6337.76616018123</v>
      </c>
      <c r="M368" s="49" t="n">
        <f aca="false">D368+G368+J368</f>
        <v>11395.590948079</v>
      </c>
      <c r="N368" s="49" t="n">
        <f aca="false">L368+M368</f>
        <v>17733.3571082602</v>
      </c>
      <c r="O368" s="49" t="n">
        <f aca="false">E368+H368+K368</f>
        <v>2285355.29726548</v>
      </c>
    </row>
    <row r="369" customFormat="false" ht="15" hidden="false" customHeight="false" outlineLevel="0" collapsed="false">
      <c r="A369" s="48" t="n">
        <v>363</v>
      </c>
      <c r="B369" s="48" t="n">
        <f aca="false">ROUNDUP(A369/12,0)</f>
        <v>31</v>
      </c>
      <c r="C369" s="49" t="n">
        <f aca="false">E368*Annahmen!$B$55/12</f>
        <v>1375.8278164735</v>
      </c>
      <c r="D369" s="49" t="n">
        <f aca="false">MIN($C$3-C369,E368)</f>
        <v>2124.17218352651</v>
      </c>
      <c r="E369" s="49" t="n">
        <f aca="false">E368-D369</f>
        <v>658273.179723752</v>
      </c>
      <c r="F369" s="49" t="n">
        <f aca="false">H368*Annahmen!$B$56/12</f>
        <v>1463.88317496248</v>
      </c>
      <c r="G369" s="49" t="n">
        <f aca="false">MIN($F$3-F369,H368)</f>
        <v>2361.11682503752</v>
      </c>
      <c r="H369" s="49" t="n">
        <f aca="false">H368-G369</f>
        <v>583192.153159953</v>
      </c>
      <c r="I369" s="49" t="n">
        <f aca="false">K368*Annahmen!$B$57/12</f>
        <v>3464.68225124405</v>
      </c>
      <c r="J369" s="49" t="n">
        <f aca="false">MIN($I$3-I369,K368)</f>
        <v>6943.67485701617</v>
      </c>
      <c r="K369" s="49" t="n">
        <f aca="false">K368-J369</f>
        <v>1032461.0005162</v>
      </c>
      <c r="L369" s="49" t="n">
        <f aca="false">C369+F369+I369</f>
        <v>6304.39324268002</v>
      </c>
      <c r="M369" s="49" t="n">
        <f aca="false">D369+G369+J369</f>
        <v>11428.9638655802</v>
      </c>
      <c r="N369" s="49" t="n">
        <f aca="false">L369+M369</f>
        <v>17733.3571082602</v>
      </c>
      <c r="O369" s="49" t="n">
        <f aca="false">E369+H369+K369</f>
        <v>2273926.3333999</v>
      </c>
    </row>
    <row r="370" customFormat="false" ht="15" hidden="false" customHeight="false" outlineLevel="0" collapsed="false">
      <c r="A370" s="48" t="n">
        <v>364</v>
      </c>
      <c r="B370" s="48" t="n">
        <f aca="false">ROUNDUP(A370/12,0)</f>
        <v>31</v>
      </c>
      <c r="C370" s="49" t="n">
        <f aca="false">E369*Annahmen!$B$55/12</f>
        <v>1371.40245775782</v>
      </c>
      <c r="D370" s="49" t="n">
        <f aca="false">MIN($C$3-C370,E369)</f>
        <v>2128.59754224219</v>
      </c>
      <c r="E370" s="49" t="n">
        <f aca="false">E369-D370</f>
        <v>656144.58218151</v>
      </c>
      <c r="F370" s="49" t="n">
        <f aca="false">H369*Annahmen!$B$56/12</f>
        <v>1457.98038289988</v>
      </c>
      <c r="G370" s="49" t="n">
        <f aca="false">MIN($F$3-F370,H369)</f>
        <v>2367.01961710012</v>
      </c>
      <c r="H370" s="49" t="n">
        <f aca="false">H369-G370</f>
        <v>580825.133542853</v>
      </c>
      <c r="I370" s="49" t="n">
        <f aca="false">K369*Annahmen!$B$57/12</f>
        <v>3441.53666838733</v>
      </c>
      <c r="J370" s="49" t="n">
        <f aca="false">MIN($I$3-I370,K369)</f>
        <v>6966.8204398729</v>
      </c>
      <c r="K370" s="49" t="n">
        <f aca="false">K369-J370</f>
        <v>1025494.18007633</v>
      </c>
      <c r="L370" s="49" t="n">
        <f aca="false">C370+F370+I370</f>
        <v>6270.91950904503</v>
      </c>
      <c r="M370" s="49" t="n">
        <f aca="false">D370+G370+J370</f>
        <v>11462.4375992152</v>
      </c>
      <c r="N370" s="49" t="n">
        <f aca="false">L370+M370</f>
        <v>17733.3571082602</v>
      </c>
      <c r="O370" s="49" t="n">
        <f aca="false">E370+H370+K370</f>
        <v>2262463.89580069</v>
      </c>
    </row>
    <row r="371" customFormat="false" ht="15" hidden="false" customHeight="false" outlineLevel="0" collapsed="false">
      <c r="A371" s="48" t="n">
        <v>365</v>
      </c>
      <c r="B371" s="48" t="n">
        <f aca="false">ROUNDUP(A371/12,0)</f>
        <v>31</v>
      </c>
      <c r="C371" s="49" t="n">
        <f aca="false">E370*Annahmen!$B$55/12</f>
        <v>1366.96787954481</v>
      </c>
      <c r="D371" s="49" t="n">
        <f aca="false">MIN($C$3-C371,E370)</f>
        <v>2133.03212045519</v>
      </c>
      <c r="E371" s="49" t="n">
        <f aca="false">E370-D371</f>
        <v>654011.550061054</v>
      </c>
      <c r="F371" s="49" t="n">
        <f aca="false">H370*Annahmen!$B$56/12</f>
        <v>1452.06283385713</v>
      </c>
      <c r="G371" s="49" t="n">
        <f aca="false">MIN($F$3-F371,H370)</f>
        <v>2372.93716614287</v>
      </c>
      <c r="H371" s="49" t="n">
        <f aca="false">H370-G371</f>
        <v>578452.19637671</v>
      </c>
      <c r="I371" s="49" t="n">
        <f aca="false">K370*Annahmen!$B$57/12</f>
        <v>3418.31393358775</v>
      </c>
      <c r="J371" s="49" t="n">
        <f aca="false">MIN($I$3-I371,K370)</f>
        <v>6990.04317467247</v>
      </c>
      <c r="K371" s="49" t="n">
        <f aca="false">K370-J371</f>
        <v>1018504.13690165</v>
      </c>
      <c r="L371" s="49" t="n">
        <f aca="false">C371+F371+I371</f>
        <v>6237.3446469897</v>
      </c>
      <c r="M371" s="49" t="n">
        <f aca="false">D371+G371+J371</f>
        <v>11496.0124612705</v>
      </c>
      <c r="N371" s="49" t="n">
        <f aca="false">L371+M371</f>
        <v>17733.3571082602</v>
      </c>
      <c r="O371" s="49" t="n">
        <f aca="false">E371+H371+K371</f>
        <v>2250967.88333942</v>
      </c>
    </row>
    <row r="372" customFormat="false" ht="15" hidden="false" customHeight="false" outlineLevel="0" collapsed="false">
      <c r="A372" s="48" t="n">
        <v>366</v>
      </c>
      <c r="B372" s="48" t="n">
        <f aca="false">ROUNDUP(A372/12,0)</f>
        <v>31</v>
      </c>
      <c r="C372" s="49" t="n">
        <f aca="false">E371*Annahmen!$B$55/12</f>
        <v>1362.5240626272</v>
      </c>
      <c r="D372" s="49" t="n">
        <f aca="false">MIN($C$3-C372,E371)</f>
        <v>2137.4759373728</v>
      </c>
      <c r="E372" s="49" t="n">
        <f aca="false">E371-D372</f>
        <v>651874.074123682</v>
      </c>
      <c r="F372" s="49" t="n">
        <f aca="false">H371*Annahmen!$B$56/12</f>
        <v>1446.13049094178</v>
      </c>
      <c r="G372" s="49" t="n">
        <f aca="false">MIN($F$3-F372,H371)</f>
        <v>2378.86950905823</v>
      </c>
      <c r="H372" s="49" t="n">
        <f aca="false">H371-G372</f>
        <v>576073.326867652</v>
      </c>
      <c r="I372" s="49" t="n">
        <f aca="false">K371*Annahmen!$B$57/12</f>
        <v>3395.01378967218</v>
      </c>
      <c r="J372" s="49" t="n">
        <f aca="false">MIN($I$3-I372,K371)</f>
        <v>7013.34331858805</v>
      </c>
      <c r="K372" s="49" t="n">
        <f aca="false">K371-J372</f>
        <v>1011490.79358306</v>
      </c>
      <c r="L372" s="49" t="n">
        <f aca="false">C372+F372+I372</f>
        <v>6203.66834324115</v>
      </c>
      <c r="M372" s="49" t="n">
        <f aca="false">D372+G372+J372</f>
        <v>11529.6887650191</v>
      </c>
      <c r="N372" s="49" t="n">
        <f aca="false">L372+M372</f>
        <v>17733.3571082602</v>
      </c>
      <c r="O372" s="49" t="n">
        <f aca="false">E372+H372+K372</f>
        <v>2239438.1945744</v>
      </c>
    </row>
    <row r="373" customFormat="false" ht="15" hidden="false" customHeight="false" outlineLevel="0" collapsed="false">
      <c r="A373" s="48" t="n">
        <v>367</v>
      </c>
      <c r="B373" s="48" t="n">
        <f aca="false">ROUNDUP(A373/12,0)</f>
        <v>31</v>
      </c>
      <c r="C373" s="49" t="n">
        <f aca="false">E372*Annahmen!$B$55/12</f>
        <v>1358.07098775767</v>
      </c>
      <c r="D373" s="49" t="n">
        <f aca="false">MIN($C$3-C373,E372)</f>
        <v>2141.92901224233</v>
      </c>
      <c r="E373" s="49" t="n">
        <f aca="false">E372-D373</f>
        <v>649732.145111439</v>
      </c>
      <c r="F373" s="49" t="n">
        <f aca="false">H372*Annahmen!$B$56/12</f>
        <v>1440.18331716913</v>
      </c>
      <c r="G373" s="49" t="n">
        <f aca="false">MIN($F$3-F373,H372)</f>
        <v>2384.81668283087</v>
      </c>
      <c r="H373" s="49" t="n">
        <f aca="false">H372-G373</f>
        <v>573688.510184821</v>
      </c>
      <c r="I373" s="49" t="n">
        <f aca="false">K372*Annahmen!$B$57/12</f>
        <v>3371.63597861022</v>
      </c>
      <c r="J373" s="49" t="n">
        <f aca="false">MIN($I$3-I373,K372)</f>
        <v>7036.72112965001</v>
      </c>
      <c r="K373" s="49" t="n">
        <f aca="false">K372-J373</f>
        <v>1004454.07245341</v>
      </c>
      <c r="L373" s="49" t="n">
        <f aca="false">C373+F373+I373</f>
        <v>6169.89028353702</v>
      </c>
      <c r="M373" s="49" t="n">
        <f aca="false">D373+G373+J373</f>
        <v>11563.4668247232</v>
      </c>
      <c r="N373" s="49" t="n">
        <f aca="false">L373+M373</f>
        <v>17733.3571082602</v>
      </c>
      <c r="O373" s="49" t="n">
        <f aca="false">E373+H373+K373</f>
        <v>2227874.72774967</v>
      </c>
    </row>
    <row r="374" customFormat="false" ht="15" hidden="false" customHeight="false" outlineLevel="0" collapsed="false">
      <c r="A374" s="48" t="n">
        <v>368</v>
      </c>
      <c r="B374" s="48" t="n">
        <f aca="false">ROUNDUP(A374/12,0)</f>
        <v>31</v>
      </c>
      <c r="C374" s="49" t="n">
        <f aca="false">E373*Annahmen!$B$55/12</f>
        <v>1353.60863564883</v>
      </c>
      <c r="D374" s="49" t="n">
        <f aca="false">MIN($C$3-C374,E373)</f>
        <v>2146.39136435117</v>
      </c>
      <c r="E374" s="49" t="n">
        <f aca="false">E373-D374</f>
        <v>647585.753747088</v>
      </c>
      <c r="F374" s="49" t="n">
        <f aca="false">H373*Annahmen!$B$56/12</f>
        <v>1434.22127546205</v>
      </c>
      <c r="G374" s="49" t="n">
        <f aca="false">MIN($F$3-F374,H373)</f>
        <v>2390.77872453795</v>
      </c>
      <c r="H374" s="49" t="n">
        <f aca="false">H373-G374</f>
        <v>571297.731460283</v>
      </c>
      <c r="I374" s="49" t="n">
        <f aca="false">K373*Annahmen!$B$57/12</f>
        <v>3348.18024151138</v>
      </c>
      <c r="J374" s="49" t="n">
        <f aca="false">MIN($I$3-I374,K373)</f>
        <v>7060.17686674884</v>
      </c>
      <c r="K374" s="49" t="n">
        <f aca="false">K373-J374</f>
        <v>997393.895586666</v>
      </c>
      <c r="L374" s="49" t="n">
        <f aca="false">C374+F374+I374</f>
        <v>6136.01015262227</v>
      </c>
      <c r="M374" s="49" t="n">
        <f aca="false">D374+G374+J374</f>
        <v>11597.346955638</v>
      </c>
      <c r="N374" s="49" t="n">
        <f aca="false">L374+M374</f>
        <v>17733.3571082602</v>
      </c>
      <c r="O374" s="49" t="n">
        <f aca="false">E374+H374+K374</f>
        <v>2216277.38079404</v>
      </c>
    </row>
    <row r="375" customFormat="false" ht="15" hidden="false" customHeight="false" outlineLevel="0" collapsed="false">
      <c r="A375" s="48" t="n">
        <v>369</v>
      </c>
      <c r="B375" s="48" t="n">
        <f aca="false">ROUNDUP(A375/12,0)</f>
        <v>31</v>
      </c>
      <c r="C375" s="49" t="n">
        <f aca="false">E374*Annahmen!$B$55/12</f>
        <v>1349.1369869731</v>
      </c>
      <c r="D375" s="49" t="n">
        <f aca="false">MIN($C$3-C375,E374)</f>
        <v>2150.8630130269</v>
      </c>
      <c r="E375" s="49" t="n">
        <f aca="false">E374-D375</f>
        <v>645434.890734061</v>
      </c>
      <c r="F375" s="49" t="n">
        <f aca="false">H374*Annahmen!$B$56/12</f>
        <v>1428.24432865071</v>
      </c>
      <c r="G375" s="49" t="n">
        <f aca="false">MIN($F$3-F375,H374)</f>
        <v>2396.75567134929</v>
      </c>
      <c r="H375" s="49" t="n">
        <f aca="false">H374-G375</f>
        <v>568900.975788934</v>
      </c>
      <c r="I375" s="49" t="n">
        <f aca="false">K374*Annahmen!$B$57/12</f>
        <v>3324.64631862222</v>
      </c>
      <c r="J375" s="49" t="n">
        <f aca="false">MIN($I$3-I375,K374)</f>
        <v>7083.710789638</v>
      </c>
      <c r="K375" s="49" t="n">
        <f aca="false">K374-J375</f>
        <v>990310.184797028</v>
      </c>
      <c r="L375" s="49" t="n">
        <f aca="false">C375+F375+I375</f>
        <v>6102.02763424603</v>
      </c>
      <c r="M375" s="49" t="n">
        <f aca="false">D375+G375+J375</f>
        <v>11631.3294740142</v>
      </c>
      <c r="N375" s="49" t="n">
        <f aca="false">L375+M375</f>
        <v>17733.3571082602</v>
      </c>
      <c r="O375" s="49" t="n">
        <f aca="false">E375+H375+K375</f>
        <v>2204646.05132002</v>
      </c>
    </row>
    <row r="376" customFormat="false" ht="15" hidden="false" customHeight="false" outlineLevel="0" collapsed="false">
      <c r="A376" s="48" t="n">
        <v>370</v>
      </c>
      <c r="B376" s="48" t="n">
        <f aca="false">ROUNDUP(A376/12,0)</f>
        <v>31</v>
      </c>
      <c r="C376" s="49" t="n">
        <f aca="false">E375*Annahmen!$B$55/12</f>
        <v>1344.65602236263</v>
      </c>
      <c r="D376" s="49" t="n">
        <f aca="false">MIN($C$3-C376,E375)</f>
        <v>2155.34397763737</v>
      </c>
      <c r="E376" s="49" t="n">
        <f aca="false">E375-D376</f>
        <v>643279.546756424</v>
      </c>
      <c r="F376" s="49" t="n">
        <f aca="false">H375*Annahmen!$B$56/12</f>
        <v>1422.25243947233</v>
      </c>
      <c r="G376" s="49" t="n">
        <f aca="false">MIN($F$3-F376,H375)</f>
        <v>2402.74756052767</v>
      </c>
      <c r="H376" s="49" t="n">
        <f aca="false">H375-G376</f>
        <v>566498.228228406</v>
      </c>
      <c r="I376" s="49" t="n">
        <f aca="false">K375*Annahmen!$B$57/12</f>
        <v>3301.03394932343</v>
      </c>
      <c r="J376" s="49" t="n">
        <f aca="false">MIN($I$3-I376,K375)</f>
        <v>7107.3231589368</v>
      </c>
      <c r="K376" s="49" t="n">
        <f aca="false">K375-J376</f>
        <v>983202.861638091</v>
      </c>
      <c r="L376" s="49" t="n">
        <f aca="false">C376+F376+I376</f>
        <v>6067.94241115839</v>
      </c>
      <c r="M376" s="49" t="n">
        <f aca="false">D376+G376+J376</f>
        <v>11665.4146971018</v>
      </c>
      <c r="N376" s="49" t="n">
        <f aca="false">L376+M376</f>
        <v>17733.3571082602</v>
      </c>
      <c r="O376" s="49" t="n">
        <f aca="false">E376+H376+K376</f>
        <v>2192980.63662292</v>
      </c>
    </row>
    <row r="377" customFormat="false" ht="15" hidden="false" customHeight="false" outlineLevel="0" collapsed="false">
      <c r="A377" s="48" t="n">
        <v>371</v>
      </c>
      <c r="B377" s="48" t="n">
        <f aca="false">ROUNDUP(A377/12,0)</f>
        <v>31</v>
      </c>
      <c r="C377" s="49" t="n">
        <f aca="false">E376*Annahmen!$B$55/12</f>
        <v>1340.16572240922</v>
      </c>
      <c r="D377" s="49" t="n">
        <f aca="false">MIN($C$3-C377,E376)</f>
        <v>2159.83427759079</v>
      </c>
      <c r="E377" s="49" t="n">
        <f aca="false">E376-D377</f>
        <v>641119.712478833</v>
      </c>
      <c r="F377" s="49" t="n">
        <f aca="false">H376*Annahmen!$B$56/12</f>
        <v>1416.24557057102</v>
      </c>
      <c r="G377" s="49" t="n">
        <f aca="false">MIN($F$3-F377,H376)</f>
        <v>2408.75442942899</v>
      </c>
      <c r="H377" s="49" t="n">
        <f aca="false">H376-G377</f>
        <v>564089.473798977</v>
      </c>
      <c r="I377" s="49" t="n">
        <f aca="false">K376*Annahmen!$B$57/12</f>
        <v>3277.34287212697</v>
      </c>
      <c r="J377" s="49" t="n">
        <f aca="false">MIN($I$3-I377,K376)</f>
        <v>7131.01423613325</v>
      </c>
      <c r="K377" s="49" t="n">
        <f aca="false">K376-J377</f>
        <v>976071.847401958</v>
      </c>
      <c r="L377" s="49" t="n">
        <f aca="false">C377+F377+I377</f>
        <v>6033.7541651072</v>
      </c>
      <c r="M377" s="49" t="n">
        <f aca="false">D377+G377+J377</f>
        <v>11699.602943153</v>
      </c>
      <c r="N377" s="49" t="n">
        <f aca="false">L377+M377</f>
        <v>17733.3571082602</v>
      </c>
      <c r="O377" s="49" t="n">
        <f aca="false">E377+H377+K377</f>
        <v>2181281.03367977</v>
      </c>
    </row>
    <row r="378" customFormat="false" ht="15" hidden="false" customHeight="false" outlineLevel="0" collapsed="false">
      <c r="A378" s="48" t="n">
        <v>372</v>
      </c>
      <c r="B378" s="48" t="n">
        <f aca="false">ROUNDUP(A378/12,0)</f>
        <v>31</v>
      </c>
      <c r="C378" s="49" t="n">
        <f aca="false">E377*Annahmen!$B$55/12</f>
        <v>1335.66606766424</v>
      </c>
      <c r="D378" s="49" t="n">
        <f aca="false">MIN($C$3-C378,E377)</f>
        <v>2164.33393233577</v>
      </c>
      <c r="E378" s="49" t="n">
        <f aca="false">E377-D378</f>
        <v>638955.378546497</v>
      </c>
      <c r="F378" s="49" t="n">
        <f aca="false">H377*Annahmen!$B$56/12</f>
        <v>1410.22368449744</v>
      </c>
      <c r="G378" s="49" t="n">
        <f aca="false">MIN($F$3-F378,H377)</f>
        <v>2414.77631550256</v>
      </c>
      <c r="H378" s="49" t="n">
        <f aca="false">H377-G378</f>
        <v>561674.697483475</v>
      </c>
      <c r="I378" s="49" t="n">
        <f aca="false">K377*Annahmen!$B$57/12</f>
        <v>3253.57282467319</v>
      </c>
      <c r="J378" s="49" t="n">
        <f aca="false">MIN($I$3-I378,K377)</f>
        <v>7154.78428358703</v>
      </c>
      <c r="K378" s="49" t="n">
        <f aca="false">K377-J378</f>
        <v>968917.063118371</v>
      </c>
      <c r="L378" s="49" t="n">
        <f aca="false">C378+F378+I378</f>
        <v>5999.46257683487</v>
      </c>
      <c r="M378" s="49" t="n">
        <f aca="false">D378+G378+J378</f>
        <v>11733.8945314254</v>
      </c>
      <c r="N378" s="49" t="n">
        <f aca="false">L378+M378</f>
        <v>17733.3571082602</v>
      </c>
      <c r="O378" s="49" t="n">
        <f aca="false">E378+H378+K378</f>
        <v>2169547.13914834</v>
      </c>
    </row>
    <row r="379" customFormat="false" ht="15" hidden="false" customHeight="false" outlineLevel="0" collapsed="false">
      <c r="A379" s="48" t="n">
        <v>373</v>
      </c>
      <c r="B379" s="48" t="n">
        <f aca="false">ROUNDUP(A379/12,0)</f>
        <v>32</v>
      </c>
      <c r="C379" s="49" t="n">
        <f aca="false">E378*Annahmen!$B$55/12</f>
        <v>1331.15703863854</v>
      </c>
      <c r="D379" s="49" t="n">
        <f aca="false">MIN($C$3-C379,E378)</f>
        <v>2168.84296136147</v>
      </c>
      <c r="E379" s="49" t="n">
        <f aca="false">E378-D379</f>
        <v>636786.535585136</v>
      </c>
      <c r="F379" s="49" t="n">
        <f aca="false">H378*Annahmen!$B$56/12</f>
        <v>1404.18674370869</v>
      </c>
      <c r="G379" s="49" t="n">
        <f aca="false">MIN($F$3-F379,H378)</f>
        <v>2420.81325629131</v>
      </c>
      <c r="H379" s="49" t="n">
        <f aca="false">H378-G379</f>
        <v>559253.884227183</v>
      </c>
      <c r="I379" s="49" t="n">
        <f aca="false">K378*Annahmen!$B$57/12</f>
        <v>3229.7235437279</v>
      </c>
      <c r="J379" s="49" t="n">
        <f aca="false">MIN($I$3-I379,K378)</f>
        <v>7178.63356453232</v>
      </c>
      <c r="K379" s="49" t="n">
        <f aca="false">K378-J379</f>
        <v>961738.429553838</v>
      </c>
      <c r="L379" s="49" t="n">
        <f aca="false">C379+F379+I379</f>
        <v>5965.06732607513</v>
      </c>
      <c r="M379" s="49" t="n">
        <f aca="false">D379+G379+J379</f>
        <v>11768.2897821851</v>
      </c>
      <c r="N379" s="49" t="n">
        <f aca="false">L379+M379</f>
        <v>17733.3571082602</v>
      </c>
      <c r="O379" s="49" t="n">
        <f aca="false">E379+H379+K379</f>
        <v>2157778.84936616</v>
      </c>
    </row>
    <row r="380" customFormat="false" ht="15" hidden="false" customHeight="false" outlineLevel="0" collapsed="false">
      <c r="A380" s="48" t="n">
        <v>374</v>
      </c>
      <c r="B380" s="48" t="n">
        <f aca="false">ROUNDUP(A380/12,0)</f>
        <v>32</v>
      </c>
      <c r="C380" s="49" t="n">
        <f aca="false">E379*Annahmen!$B$55/12</f>
        <v>1326.63861580237</v>
      </c>
      <c r="D380" s="49" t="n">
        <f aca="false">MIN($C$3-C380,E379)</f>
        <v>2173.36138419764</v>
      </c>
      <c r="E380" s="49" t="n">
        <f aca="false">E379-D380</f>
        <v>634613.174200938</v>
      </c>
      <c r="F380" s="49" t="n">
        <f aca="false">H379*Annahmen!$B$56/12</f>
        <v>1398.13471056796</v>
      </c>
      <c r="G380" s="49" t="n">
        <f aca="false">MIN($F$3-F380,H379)</f>
        <v>2426.86528943204</v>
      </c>
      <c r="H380" s="49" t="n">
        <f aca="false">H379-G380</f>
        <v>556827.018937751</v>
      </c>
      <c r="I380" s="49" t="n">
        <f aca="false">K379*Annahmen!$B$57/12</f>
        <v>3205.79476517946</v>
      </c>
      <c r="J380" s="49" t="n">
        <f aca="false">MIN($I$3-I380,K379)</f>
        <v>7202.56234308076</v>
      </c>
      <c r="K380" s="49" t="n">
        <f aca="false">K379-J380</f>
        <v>954535.867210758</v>
      </c>
      <c r="L380" s="49" t="n">
        <f aca="false">C380+F380+I380</f>
        <v>5930.56809154979</v>
      </c>
      <c r="M380" s="49" t="n">
        <f aca="false">D380+G380+J380</f>
        <v>11802.7890167104</v>
      </c>
      <c r="N380" s="49" t="n">
        <f aca="false">L380+M380</f>
        <v>17733.3571082602</v>
      </c>
      <c r="O380" s="49" t="n">
        <f aca="false">E380+H380+K380</f>
        <v>2145976.06034945</v>
      </c>
    </row>
    <row r="381" customFormat="false" ht="15" hidden="false" customHeight="false" outlineLevel="0" collapsed="false">
      <c r="A381" s="48" t="n">
        <v>375</v>
      </c>
      <c r="B381" s="48" t="n">
        <f aca="false">ROUNDUP(A381/12,0)</f>
        <v>32</v>
      </c>
      <c r="C381" s="49" t="n">
        <f aca="false">E380*Annahmen!$B$55/12</f>
        <v>1322.11077958529</v>
      </c>
      <c r="D381" s="49" t="n">
        <f aca="false">MIN($C$3-C381,E380)</f>
        <v>2177.88922041471</v>
      </c>
      <c r="E381" s="49" t="n">
        <f aca="false">E380-D381</f>
        <v>632435.284980524</v>
      </c>
      <c r="F381" s="49" t="n">
        <f aca="false">H380*Annahmen!$B$56/12</f>
        <v>1392.06754734438</v>
      </c>
      <c r="G381" s="49" t="n">
        <f aca="false">MIN($F$3-F381,H380)</f>
        <v>2432.93245265562</v>
      </c>
      <c r="H381" s="49" t="n">
        <f aca="false">H380-G381</f>
        <v>554394.086485096</v>
      </c>
      <c r="I381" s="49" t="n">
        <f aca="false">K380*Annahmen!$B$57/12</f>
        <v>3181.78622403586</v>
      </c>
      <c r="J381" s="49" t="n">
        <f aca="false">MIN($I$3-I381,K380)</f>
        <v>7226.57088422436</v>
      </c>
      <c r="K381" s="49" t="n">
        <f aca="false">K380-J381</f>
        <v>947309.296326533</v>
      </c>
      <c r="L381" s="49" t="n">
        <f aca="false">C381+F381+I381</f>
        <v>5895.96455096553</v>
      </c>
      <c r="M381" s="49" t="n">
        <f aca="false">D381+G381+J381</f>
        <v>11837.3925572947</v>
      </c>
      <c r="N381" s="49" t="n">
        <f aca="false">L381+M381</f>
        <v>17733.3571082602</v>
      </c>
      <c r="O381" s="49" t="n">
        <f aca="false">E381+H381+K381</f>
        <v>2134138.66779215</v>
      </c>
    </row>
    <row r="382" customFormat="false" ht="15" hidden="false" customHeight="false" outlineLevel="0" collapsed="false">
      <c r="A382" s="48" t="n">
        <v>376</v>
      </c>
      <c r="B382" s="48" t="n">
        <f aca="false">ROUNDUP(A382/12,0)</f>
        <v>32</v>
      </c>
      <c r="C382" s="49" t="n">
        <f aca="false">E381*Annahmen!$B$55/12</f>
        <v>1317.57351037609</v>
      </c>
      <c r="D382" s="49" t="n">
        <f aca="false">MIN($C$3-C382,E381)</f>
        <v>2182.42648962391</v>
      </c>
      <c r="E382" s="49" t="n">
        <f aca="false">E381-D382</f>
        <v>630252.8584909</v>
      </c>
      <c r="F382" s="49" t="n">
        <f aca="false">H381*Annahmen!$B$56/12</f>
        <v>1385.98521621274</v>
      </c>
      <c r="G382" s="49" t="n">
        <f aca="false">MIN($F$3-F382,H381)</f>
        <v>2439.01478378726</v>
      </c>
      <c r="H382" s="49" t="n">
        <f aca="false">H381-G382</f>
        <v>551955.071701308</v>
      </c>
      <c r="I382" s="49" t="n">
        <f aca="false">K381*Annahmen!$B$57/12</f>
        <v>3157.69765442178</v>
      </c>
      <c r="J382" s="49" t="n">
        <f aca="false">MIN($I$3-I382,K381)</f>
        <v>7250.65945383845</v>
      </c>
      <c r="K382" s="49" t="n">
        <f aca="false">K381-J382</f>
        <v>940058.636872695</v>
      </c>
      <c r="L382" s="49" t="n">
        <f aca="false">C382+F382+I382</f>
        <v>5861.25638101061</v>
      </c>
      <c r="M382" s="49" t="n">
        <f aca="false">D382+G382+J382</f>
        <v>11872.1007272496</v>
      </c>
      <c r="N382" s="49" t="n">
        <f aca="false">L382+M382</f>
        <v>17733.3571082602</v>
      </c>
      <c r="O382" s="49" t="n">
        <f aca="false">E382+H382+K382</f>
        <v>2122266.5670649</v>
      </c>
    </row>
    <row r="383" customFormat="false" ht="15" hidden="false" customHeight="false" outlineLevel="0" collapsed="false">
      <c r="A383" s="48" t="n">
        <v>377</v>
      </c>
      <c r="B383" s="48" t="n">
        <f aca="false">ROUNDUP(A383/12,0)</f>
        <v>32</v>
      </c>
      <c r="C383" s="49" t="n">
        <f aca="false">E382*Annahmen!$B$55/12</f>
        <v>1313.02678852271</v>
      </c>
      <c r="D383" s="49" t="n">
        <f aca="false">MIN($C$3-C383,E382)</f>
        <v>2186.97321147729</v>
      </c>
      <c r="E383" s="49" t="n">
        <f aca="false">E382-D383</f>
        <v>628065.885279422</v>
      </c>
      <c r="F383" s="49" t="n">
        <f aca="false">H382*Annahmen!$B$56/12</f>
        <v>1379.88767925327</v>
      </c>
      <c r="G383" s="49" t="n">
        <f aca="false">MIN($F$3-F383,H382)</f>
        <v>2445.11232074673</v>
      </c>
      <c r="H383" s="49" t="n">
        <f aca="false">H382-G383</f>
        <v>549509.959380562</v>
      </c>
      <c r="I383" s="49" t="n">
        <f aca="false">K382*Annahmen!$B$57/12</f>
        <v>3133.52878957565</v>
      </c>
      <c r="J383" s="49" t="n">
        <f aca="false">MIN($I$3-I383,K382)</f>
        <v>7274.82831868457</v>
      </c>
      <c r="K383" s="49" t="n">
        <f aca="false">K382-J383</f>
        <v>932783.80855401</v>
      </c>
      <c r="L383" s="49" t="n">
        <f aca="false">C383+F383+I383</f>
        <v>5826.44325735163</v>
      </c>
      <c r="M383" s="49" t="n">
        <f aca="false">D383+G383+J383</f>
        <v>11906.9138509086</v>
      </c>
      <c r="N383" s="49" t="n">
        <f aca="false">L383+M383</f>
        <v>17733.3571082602</v>
      </c>
      <c r="O383" s="49" t="n">
        <f aca="false">E383+H383+K383</f>
        <v>2110359.65321399</v>
      </c>
    </row>
    <row r="384" customFormat="false" ht="15" hidden="false" customHeight="false" outlineLevel="0" collapsed="false">
      <c r="A384" s="48" t="n">
        <v>378</v>
      </c>
      <c r="B384" s="48" t="n">
        <f aca="false">ROUNDUP(A384/12,0)</f>
        <v>32</v>
      </c>
      <c r="C384" s="49" t="n">
        <f aca="false">E383*Annahmen!$B$55/12</f>
        <v>1308.47059433213</v>
      </c>
      <c r="D384" s="49" t="n">
        <f aca="false">MIN($C$3-C384,E383)</f>
        <v>2191.52940566787</v>
      </c>
      <c r="E384" s="49" t="n">
        <f aca="false">E383-D384</f>
        <v>625874.355873755</v>
      </c>
      <c r="F384" s="49" t="n">
        <f aca="false">H383*Annahmen!$B$56/12</f>
        <v>1373.7748984514</v>
      </c>
      <c r="G384" s="49" t="n">
        <f aca="false">MIN($F$3-F384,H383)</f>
        <v>2451.2251015486</v>
      </c>
      <c r="H384" s="49" t="n">
        <f aca="false">H383-G384</f>
        <v>547058.734279013</v>
      </c>
      <c r="I384" s="49" t="n">
        <f aca="false">K383*Annahmen!$B$57/12</f>
        <v>3109.2793618467</v>
      </c>
      <c r="J384" s="49" t="n">
        <f aca="false">MIN($I$3-I384,K383)</f>
        <v>7299.07774641352</v>
      </c>
      <c r="K384" s="49" t="n">
        <f aca="false">K383-J384</f>
        <v>925484.730807597</v>
      </c>
      <c r="L384" s="49" t="n">
        <f aca="false">C384+F384+I384</f>
        <v>5791.52485463024</v>
      </c>
      <c r="M384" s="49" t="n">
        <f aca="false">D384+G384+J384</f>
        <v>11941.83225363</v>
      </c>
      <c r="N384" s="49" t="n">
        <f aca="false">L384+M384</f>
        <v>17733.3571082602</v>
      </c>
      <c r="O384" s="49" t="n">
        <f aca="false">E384+H384+K384</f>
        <v>2098417.82096036</v>
      </c>
    </row>
    <row r="385" customFormat="false" ht="15" hidden="false" customHeight="false" outlineLevel="0" collapsed="false">
      <c r="A385" s="48" t="n">
        <v>379</v>
      </c>
      <c r="B385" s="48" t="n">
        <f aca="false">ROUNDUP(A385/12,0)</f>
        <v>32</v>
      </c>
      <c r="C385" s="49" t="n">
        <f aca="false">E384*Annahmen!$B$55/12</f>
        <v>1303.90490807032</v>
      </c>
      <c r="D385" s="49" t="n">
        <f aca="false">MIN($C$3-C385,E384)</f>
        <v>2196.09509192968</v>
      </c>
      <c r="E385" s="49" t="n">
        <f aca="false">E384-D385</f>
        <v>623678.260781825</v>
      </c>
      <c r="F385" s="49" t="n">
        <f aca="false">H384*Annahmen!$B$56/12</f>
        <v>1367.64683569753</v>
      </c>
      <c r="G385" s="49" t="n">
        <f aca="false">MIN($F$3-F385,H384)</f>
        <v>2457.35316430247</v>
      </c>
      <c r="H385" s="49" t="n">
        <f aca="false">H384-G385</f>
        <v>544601.381114711</v>
      </c>
      <c r="I385" s="49" t="n">
        <f aca="false">K384*Annahmen!$B$57/12</f>
        <v>3084.94910269199</v>
      </c>
      <c r="J385" s="49" t="n">
        <f aca="false">MIN($I$3-I385,K384)</f>
        <v>7323.40800556823</v>
      </c>
      <c r="K385" s="49" t="n">
        <f aca="false">K384-J385</f>
        <v>918161.322802029</v>
      </c>
      <c r="L385" s="49" t="n">
        <f aca="false">C385+F385+I385</f>
        <v>5756.50084645984</v>
      </c>
      <c r="M385" s="49" t="n">
        <f aca="false">D385+G385+J385</f>
        <v>11976.8562618004</v>
      </c>
      <c r="N385" s="49" t="n">
        <f aca="false">L385+M385</f>
        <v>17733.3571082602</v>
      </c>
      <c r="O385" s="49" t="n">
        <f aca="false">E385+H385+K385</f>
        <v>2086440.96469856</v>
      </c>
    </row>
    <row r="386" customFormat="false" ht="15" hidden="false" customHeight="false" outlineLevel="0" collapsed="false">
      <c r="A386" s="48" t="n">
        <v>380</v>
      </c>
      <c r="B386" s="48" t="n">
        <f aca="false">ROUNDUP(A386/12,0)</f>
        <v>32</v>
      </c>
      <c r="C386" s="49" t="n">
        <f aca="false">E385*Annahmen!$B$55/12</f>
        <v>1299.32970996214</v>
      </c>
      <c r="D386" s="49" t="n">
        <f aca="false">MIN($C$3-C386,E385)</f>
        <v>2200.67029003787</v>
      </c>
      <c r="E386" s="49" t="n">
        <f aca="false">E385-D386</f>
        <v>621477.590491787</v>
      </c>
      <c r="F386" s="49" t="n">
        <f aca="false">H385*Annahmen!$B$56/12</f>
        <v>1361.50345278678</v>
      </c>
      <c r="G386" s="49" t="n">
        <f aca="false">MIN($F$3-F386,H385)</f>
        <v>2463.49654721322</v>
      </c>
      <c r="H386" s="49" t="n">
        <f aca="false">H385-G386</f>
        <v>542137.884567497</v>
      </c>
      <c r="I386" s="49" t="n">
        <f aca="false">K385*Annahmen!$B$57/12</f>
        <v>3060.53774267343</v>
      </c>
      <c r="J386" s="49" t="n">
        <f aca="false">MIN($I$3-I386,K385)</f>
        <v>7347.81936558679</v>
      </c>
      <c r="K386" s="49" t="n">
        <f aca="false">K385-J386</f>
        <v>910813.503436442</v>
      </c>
      <c r="L386" s="49" t="n">
        <f aca="false">C386+F386+I386</f>
        <v>5721.37090542234</v>
      </c>
      <c r="M386" s="49" t="n">
        <f aca="false">D386+G386+J386</f>
        <v>12011.9862028379</v>
      </c>
      <c r="N386" s="49" t="n">
        <f aca="false">L386+M386</f>
        <v>17733.3571082602</v>
      </c>
      <c r="O386" s="49" t="n">
        <f aca="false">E386+H386+K386</f>
        <v>2074428.97849573</v>
      </c>
    </row>
    <row r="387" customFormat="false" ht="15" hidden="false" customHeight="false" outlineLevel="0" collapsed="false">
      <c r="A387" s="48" t="n">
        <v>381</v>
      </c>
      <c r="B387" s="48" t="n">
        <f aca="false">ROUNDUP(A387/12,0)</f>
        <v>32</v>
      </c>
      <c r="C387" s="49" t="n">
        <f aca="false">E386*Annahmen!$B$55/12</f>
        <v>1294.74498019122</v>
      </c>
      <c r="D387" s="49" t="n">
        <f aca="false">MIN($C$3-C387,E386)</f>
        <v>2205.25501980878</v>
      </c>
      <c r="E387" s="49" t="n">
        <f aca="false">E386-D387</f>
        <v>619272.335471978</v>
      </c>
      <c r="F387" s="49" t="n">
        <f aca="false">H386*Annahmen!$B$56/12</f>
        <v>1355.34471141874</v>
      </c>
      <c r="G387" s="49" t="n">
        <f aca="false">MIN($F$3-F387,H386)</f>
        <v>2469.65528858126</v>
      </c>
      <c r="H387" s="49" t="n">
        <f aca="false">H386-G387</f>
        <v>539668.229278916</v>
      </c>
      <c r="I387" s="49" t="n">
        <f aca="false">K386*Annahmen!$B$57/12</f>
        <v>3036.04501145481</v>
      </c>
      <c r="J387" s="49" t="n">
        <f aca="false">MIN($I$3-I387,K386)</f>
        <v>7372.31209680542</v>
      </c>
      <c r="K387" s="49" t="n">
        <f aca="false">K386-J387</f>
        <v>903441.191339636</v>
      </c>
      <c r="L387" s="49" t="n">
        <f aca="false">C387+F387+I387</f>
        <v>5686.13470306477</v>
      </c>
      <c r="M387" s="49" t="n">
        <f aca="false">D387+G387+J387</f>
        <v>12047.2224051955</v>
      </c>
      <c r="N387" s="49" t="n">
        <f aca="false">L387+M387</f>
        <v>17733.3571082602</v>
      </c>
      <c r="O387" s="49" t="n">
        <f aca="false">E387+H387+K387</f>
        <v>2062381.75609053</v>
      </c>
    </row>
    <row r="388" customFormat="false" ht="15" hidden="false" customHeight="false" outlineLevel="0" collapsed="false">
      <c r="A388" s="48" t="n">
        <v>382</v>
      </c>
      <c r="B388" s="48" t="n">
        <f aca="false">ROUNDUP(A388/12,0)</f>
        <v>32</v>
      </c>
      <c r="C388" s="49" t="n">
        <f aca="false">E387*Annahmen!$B$55/12</f>
        <v>1290.15069889995</v>
      </c>
      <c r="D388" s="49" t="n">
        <f aca="false">MIN($C$3-C388,E387)</f>
        <v>2209.84930110005</v>
      </c>
      <c r="E388" s="49" t="n">
        <f aca="false">E387-D388</f>
        <v>617062.486170878</v>
      </c>
      <c r="F388" s="49" t="n">
        <f aca="false">H387*Annahmen!$B$56/12</f>
        <v>1349.17057319729</v>
      </c>
      <c r="G388" s="49" t="n">
        <f aca="false">MIN($F$3-F388,H387)</f>
        <v>2475.82942680271</v>
      </c>
      <c r="H388" s="49" t="n">
        <f aca="false">H387-G388</f>
        <v>537192.399852113</v>
      </c>
      <c r="I388" s="49" t="n">
        <f aca="false">K387*Annahmen!$B$57/12</f>
        <v>3011.47063779879</v>
      </c>
      <c r="J388" s="49" t="n">
        <f aca="false">MIN($I$3-I388,K387)</f>
        <v>7396.88647046144</v>
      </c>
      <c r="K388" s="49" t="n">
        <f aca="false">K387-J388</f>
        <v>896044.304869175</v>
      </c>
      <c r="L388" s="49" t="n">
        <f aca="false">C388+F388+I388</f>
        <v>5650.79190989603</v>
      </c>
      <c r="M388" s="49" t="n">
        <f aca="false">D388+G388+J388</f>
        <v>12082.5651983642</v>
      </c>
      <c r="N388" s="49" t="n">
        <f aca="false">L388+M388</f>
        <v>17733.3571082602</v>
      </c>
      <c r="O388" s="49" t="n">
        <f aca="false">E388+H388+K388</f>
        <v>2050299.19089217</v>
      </c>
    </row>
    <row r="389" customFormat="false" ht="15" hidden="false" customHeight="false" outlineLevel="0" collapsed="false">
      <c r="A389" s="48" t="n">
        <v>383</v>
      </c>
      <c r="B389" s="48" t="n">
        <f aca="false">ROUNDUP(A389/12,0)</f>
        <v>32</v>
      </c>
      <c r="C389" s="49" t="n">
        <f aca="false">E388*Annahmen!$B$55/12</f>
        <v>1285.54684618933</v>
      </c>
      <c r="D389" s="49" t="n">
        <f aca="false">MIN($C$3-C389,E388)</f>
        <v>2214.45315381067</v>
      </c>
      <c r="E389" s="49" t="n">
        <f aca="false">E388-D389</f>
        <v>614848.033017068</v>
      </c>
      <c r="F389" s="49" t="n">
        <f aca="false">H388*Annahmen!$B$56/12</f>
        <v>1342.98099963028</v>
      </c>
      <c r="G389" s="49" t="n">
        <f aca="false">MIN($F$3-F389,H388)</f>
        <v>2482.01900036972</v>
      </c>
      <c r="H389" s="49" t="n">
        <f aca="false">H388-G389</f>
        <v>534710.380851744</v>
      </c>
      <c r="I389" s="49" t="n">
        <f aca="false">K388*Annahmen!$B$57/12</f>
        <v>2986.81434956392</v>
      </c>
      <c r="J389" s="49" t="n">
        <f aca="false">MIN($I$3-I389,K388)</f>
        <v>7421.54275869631</v>
      </c>
      <c r="K389" s="49" t="n">
        <f aca="false">K388-J389</f>
        <v>888622.762110479</v>
      </c>
      <c r="L389" s="49" t="n">
        <f aca="false">C389+F389+I389</f>
        <v>5615.34219538353</v>
      </c>
      <c r="M389" s="49" t="n">
        <f aca="false">D389+G389+J389</f>
        <v>12118.0149128767</v>
      </c>
      <c r="N389" s="49" t="n">
        <f aca="false">L389+M389</f>
        <v>17733.3571082602</v>
      </c>
      <c r="O389" s="49" t="n">
        <f aca="false">E389+H389+K389</f>
        <v>2038181.17597929</v>
      </c>
    </row>
    <row r="390" customFormat="false" ht="15" hidden="false" customHeight="false" outlineLevel="0" collapsed="false">
      <c r="A390" s="48" t="n">
        <v>384</v>
      </c>
      <c r="B390" s="48" t="n">
        <f aca="false">ROUNDUP(A390/12,0)</f>
        <v>32</v>
      </c>
      <c r="C390" s="49" t="n">
        <f aca="false">E389*Annahmen!$B$55/12</f>
        <v>1280.93340211889</v>
      </c>
      <c r="D390" s="49" t="n">
        <f aca="false">MIN($C$3-C390,E389)</f>
        <v>2219.06659788111</v>
      </c>
      <c r="E390" s="49" t="n">
        <f aca="false">E389-D390</f>
        <v>612628.966419186</v>
      </c>
      <c r="F390" s="49" t="n">
        <f aca="false">H389*Annahmen!$B$56/12</f>
        <v>1336.77595212936</v>
      </c>
      <c r="G390" s="49" t="n">
        <f aca="false">MIN($F$3-F390,H389)</f>
        <v>2488.22404787064</v>
      </c>
      <c r="H390" s="49" t="n">
        <f aca="false">H389-G390</f>
        <v>532222.156803873</v>
      </c>
      <c r="I390" s="49" t="n">
        <f aca="false">K389*Annahmen!$B$57/12</f>
        <v>2962.0758737016</v>
      </c>
      <c r="J390" s="49" t="n">
        <f aca="false">MIN($I$3-I390,K389)</f>
        <v>7446.28123455863</v>
      </c>
      <c r="K390" s="49" t="n">
        <f aca="false">K389-J390</f>
        <v>881176.48087592</v>
      </c>
      <c r="L390" s="49" t="n">
        <f aca="false">C390+F390+I390</f>
        <v>5579.78522794985</v>
      </c>
      <c r="M390" s="49" t="n">
        <f aca="false">D390+G390+J390</f>
        <v>12153.5718803104</v>
      </c>
      <c r="N390" s="49" t="n">
        <f aca="false">L390+M390</f>
        <v>17733.3571082602</v>
      </c>
      <c r="O390" s="49" t="n">
        <f aca="false">E390+H390+K390</f>
        <v>2026027.60409898</v>
      </c>
    </row>
    <row r="391" customFormat="false" ht="15" hidden="false" customHeight="false" outlineLevel="0" collapsed="false">
      <c r="A391" s="48" t="n">
        <v>385</v>
      </c>
      <c r="B391" s="48" t="n">
        <f aca="false">ROUNDUP(A391/12,0)</f>
        <v>33</v>
      </c>
      <c r="C391" s="49" t="n">
        <f aca="false">E390*Annahmen!$B$55/12</f>
        <v>1276.31034670664</v>
      </c>
      <c r="D391" s="49" t="n">
        <f aca="false">MIN($C$3-C391,E390)</f>
        <v>2223.68965329336</v>
      </c>
      <c r="E391" s="49" t="n">
        <f aca="false">E390-D391</f>
        <v>610405.276765893</v>
      </c>
      <c r="F391" s="49" t="n">
        <f aca="false">H390*Annahmen!$B$56/12</f>
        <v>1330.55539200968</v>
      </c>
      <c r="G391" s="49" t="n">
        <f aca="false">MIN($F$3-F391,H390)</f>
        <v>2494.44460799032</v>
      </c>
      <c r="H391" s="49" t="n">
        <f aca="false">H390-G391</f>
        <v>529727.712195883</v>
      </c>
      <c r="I391" s="49" t="n">
        <f aca="false">K390*Annahmen!$B$57/12</f>
        <v>2937.25493625307</v>
      </c>
      <c r="J391" s="49" t="n">
        <f aca="false">MIN($I$3-I391,K390)</f>
        <v>7471.10217200716</v>
      </c>
      <c r="K391" s="49" t="n">
        <f aca="false">K390-J391</f>
        <v>873705.378703913</v>
      </c>
      <c r="L391" s="49" t="n">
        <f aca="false">C391+F391+I391</f>
        <v>5544.12067496939</v>
      </c>
      <c r="M391" s="49" t="n">
        <f aca="false">D391+G391+J391</f>
        <v>12189.2364332908</v>
      </c>
      <c r="N391" s="49" t="n">
        <f aca="false">L391+M391</f>
        <v>17733.3571082602</v>
      </c>
      <c r="O391" s="49" t="n">
        <f aca="false">E391+H391+K391</f>
        <v>2013838.36766569</v>
      </c>
    </row>
    <row r="392" customFormat="false" ht="15" hidden="false" customHeight="false" outlineLevel="0" collapsed="false">
      <c r="A392" s="48" t="n">
        <v>386</v>
      </c>
      <c r="B392" s="48" t="n">
        <f aca="false">ROUNDUP(A392/12,0)</f>
        <v>33</v>
      </c>
      <c r="C392" s="49" t="n">
        <f aca="false">E391*Annahmen!$B$55/12</f>
        <v>1271.67765992894</v>
      </c>
      <c r="D392" s="49" t="n">
        <f aca="false">MIN($C$3-C392,E391)</f>
        <v>2228.32234007106</v>
      </c>
      <c r="E392" s="49" t="n">
        <f aca="false">E391-D392</f>
        <v>608176.954425822</v>
      </c>
      <c r="F392" s="49" t="n">
        <f aca="false">H391*Annahmen!$B$56/12</f>
        <v>1324.31928048971</v>
      </c>
      <c r="G392" s="49" t="n">
        <f aca="false">MIN($F$3-F392,H391)</f>
        <v>2500.68071951029</v>
      </c>
      <c r="H392" s="49" t="n">
        <f aca="false">H391-G392</f>
        <v>527227.031476373</v>
      </c>
      <c r="I392" s="49" t="n">
        <f aca="false">K391*Annahmen!$B$57/12</f>
        <v>2912.35126234638</v>
      </c>
      <c r="J392" s="49" t="n">
        <f aca="false">MIN($I$3-I392,K391)</f>
        <v>7496.00584591385</v>
      </c>
      <c r="K392" s="49" t="n">
        <f aca="false">K391-J392</f>
        <v>866209.372857999</v>
      </c>
      <c r="L392" s="49" t="n">
        <f aca="false">C392+F392+I392</f>
        <v>5508.34820276503</v>
      </c>
      <c r="M392" s="49" t="n">
        <f aca="false">D392+G392+J392</f>
        <v>12225.0089054952</v>
      </c>
      <c r="N392" s="49" t="n">
        <f aca="false">L392+M392</f>
        <v>17733.3571082602</v>
      </c>
      <c r="O392" s="49" t="n">
        <f aca="false">E392+H392+K392</f>
        <v>2001613.35876019</v>
      </c>
    </row>
    <row r="393" customFormat="false" ht="15" hidden="false" customHeight="false" outlineLevel="0" collapsed="false">
      <c r="A393" s="48" t="n">
        <v>387</v>
      </c>
      <c r="B393" s="48" t="n">
        <f aca="false">ROUNDUP(A393/12,0)</f>
        <v>33</v>
      </c>
      <c r="C393" s="49" t="n">
        <f aca="false">E392*Annahmen!$B$55/12</f>
        <v>1267.03532172046</v>
      </c>
      <c r="D393" s="49" t="n">
        <f aca="false">MIN($C$3-C393,E392)</f>
        <v>2232.96467827954</v>
      </c>
      <c r="E393" s="49" t="n">
        <f aca="false">E392-D393</f>
        <v>605943.989747542</v>
      </c>
      <c r="F393" s="49" t="n">
        <f aca="false">H392*Annahmen!$B$56/12</f>
        <v>1318.06757869093</v>
      </c>
      <c r="G393" s="49" t="n">
        <f aca="false">MIN($F$3-F393,H392)</f>
        <v>2506.93242130907</v>
      </c>
      <c r="H393" s="49" t="n">
        <f aca="false">H392-G393</f>
        <v>524720.099055063</v>
      </c>
      <c r="I393" s="49" t="n">
        <f aca="false">K392*Annahmen!$B$57/12</f>
        <v>2887.36457619333</v>
      </c>
      <c r="J393" s="49" t="n">
        <f aca="false">MIN($I$3-I393,K392)</f>
        <v>7520.99253206689</v>
      </c>
      <c r="K393" s="49" t="n">
        <f aca="false">K392-J393</f>
        <v>858688.380325932</v>
      </c>
      <c r="L393" s="49" t="n">
        <f aca="false">C393+F393+I393</f>
        <v>5472.46747660472</v>
      </c>
      <c r="M393" s="49" t="n">
        <f aca="false">D393+G393+J393</f>
        <v>12260.8896316555</v>
      </c>
      <c r="N393" s="49" t="n">
        <f aca="false">L393+M393</f>
        <v>17733.3571082602</v>
      </c>
      <c r="O393" s="49" t="n">
        <f aca="false">E393+H393+K393</f>
        <v>1989352.46912854</v>
      </c>
    </row>
    <row r="394" customFormat="false" ht="15" hidden="false" customHeight="false" outlineLevel="0" collapsed="false">
      <c r="A394" s="48" t="n">
        <v>388</v>
      </c>
      <c r="B394" s="48" t="n">
        <f aca="false">ROUNDUP(A394/12,0)</f>
        <v>33</v>
      </c>
      <c r="C394" s="49" t="n">
        <f aca="false">E393*Annahmen!$B$55/12</f>
        <v>1262.38331197405</v>
      </c>
      <c r="D394" s="49" t="n">
        <f aca="false">MIN($C$3-C394,E393)</f>
        <v>2237.61668802596</v>
      </c>
      <c r="E394" s="49" t="n">
        <f aca="false">E393-D394</f>
        <v>603706.373059516</v>
      </c>
      <c r="F394" s="49" t="n">
        <f aca="false">H393*Annahmen!$B$56/12</f>
        <v>1311.80024763766</v>
      </c>
      <c r="G394" s="49" t="n">
        <f aca="false">MIN($F$3-F394,H393)</f>
        <v>2513.19975236234</v>
      </c>
      <c r="H394" s="49" t="n">
        <f aca="false">H393-G394</f>
        <v>522206.899302701</v>
      </c>
      <c r="I394" s="49" t="n">
        <f aca="false">K393*Annahmen!$B$57/12</f>
        <v>2862.29460108644</v>
      </c>
      <c r="J394" s="49" t="n">
        <f aca="false">MIN($I$3-I394,K393)</f>
        <v>7546.06250717378</v>
      </c>
      <c r="K394" s="49" t="n">
        <f aca="false">K393-J394</f>
        <v>851142.317818758</v>
      </c>
      <c r="L394" s="49" t="n">
        <f aca="false">C394+F394+I394</f>
        <v>5436.47816069815</v>
      </c>
      <c r="M394" s="49" t="n">
        <f aca="false">D394+G394+J394</f>
        <v>12296.8789475621</v>
      </c>
      <c r="N394" s="49" t="n">
        <f aca="false">L394+M394</f>
        <v>17733.3571082602</v>
      </c>
      <c r="O394" s="49" t="n">
        <f aca="false">E394+H394+K394</f>
        <v>1977055.59018098</v>
      </c>
    </row>
    <row r="395" customFormat="false" ht="15" hidden="false" customHeight="false" outlineLevel="0" collapsed="false">
      <c r="A395" s="48" t="n">
        <v>389</v>
      </c>
      <c r="B395" s="48" t="n">
        <f aca="false">ROUNDUP(A395/12,0)</f>
        <v>33</v>
      </c>
      <c r="C395" s="49" t="n">
        <f aca="false">E394*Annahmen!$B$55/12</f>
        <v>1257.72161054066</v>
      </c>
      <c r="D395" s="49" t="n">
        <f aca="false">MIN($C$3-C395,E394)</f>
        <v>2242.27838945934</v>
      </c>
      <c r="E395" s="49" t="n">
        <f aca="false">E394-D395</f>
        <v>601464.094670057</v>
      </c>
      <c r="F395" s="49" t="n">
        <f aca="false">H394*Annahmen!$B$56/12</f>
        <v>1305.51724825675</v>
      </c>
      <c r="G395" s="49" t="n">
        <f aca="false">MIN($F$3-F395,H394)</f>
        <v>2519.48275174325</v>
      </c>
      <c r="H395" s="49" t="n">
        <f aca="false">H394-G395</f>
        <v>519687.416550958</v>
      </c>
      <c r="I395" s="49" t="n">
        <f aca="false">K394*Annahmen!$B$57/12</f>
        <v>2837.14105939586</v>
      </c>
      <c r="J395" s="49" t="n">
        <f aca="false">MIN($I$3-I395,K394)</f>
        <v>7571.21604886436</v>
      </c>
      <c r="K395" s="49" t="n">
        <f aca="false">K394-J395</f>
        <v>843571.101769894</v>
      </c>
      <c r="L395" s="49" t="n">
        <f aca="false">C395+F395+I395</f>
        <v>5400.37991819327</v>
      </c>
      <c r="M395" s="49" t="n">
        <f aca="false">D395+G395+J395</f>
        <v>12332.977190067</v>
      </c>
      <c r="N395" s="49" t="n">
        <f aca="false">L395+M395</f>
        <v>17733.3571082602</v>
      </c>
      <c r="O395" s="49" t="n">
        <f aca="false">E395+H395+K395</f>
        <v>1964722.61299091</v>
      </c>
    </row>
    <row r="396" customFormat="false" ht="15" hidden="false" customHeight="false" outlineLevel="0" collapsed="false">
      <c r="A396" s="48" t="n">
        <v>390</v>
      </c>
      <c r="B396" s="48" t="n">
        <f aca="false">ROUNDUP(A396/12,0)</f>
        <v>33</v>
      </c>
      <c r="C396" s="49" t="n">
        <f aca="false">E395*Annahmen!$B$55/12</f>
        <v>1253.05019722929</v>
      </c>
      <c r="D396" s="49" t="n">
        <f aca="false">MIN($C$3-C396,E395)</f>
        <v>2246.94980277072</v>
      </c>
      <c r="E396" s="49" t="n">
        <f aca="false">E395-D396</f>
        <v>599217.144867286</v>
      </c>
      <c r="F396" s="49" t="n">
        <f aca="false">H395*Annahmen!$B$56/12</f>
        <v>1299.21854137739</v>
      </c>
      <c r="G396" s="49" t="n">
        <f aca="false">MIN($F$3-F396,H395)</f>
        <v>2525.78145862261</v>
      </c>
      <c r="H396" s="49" t="n">
        <f aca="false">H395-G396</f>
        <v>517161.635092335</v>
      </c>
      <c r="I396" s="49" t="n">
        <f aca="false">K395*Annahmen!$B$57/12</f>
        <v>2811.90367256631</v>
      </c>
      <c r="J396" s="49" t="n">
        <f aca="false">MIN($I$3-I396,K395)</f>
        <v>7596.45343569391</v>
      </c>
      <c r="K396" s="49" t="n">
        <f aca="false">K395-J396</f>
        <v>835974.6483342</v>
      </c>
      <c r="L396" s="49" t="n">
        <f aca="false">C396+F396+I396</f>
        <v>5364.17241117299</v>
      </c>
      <c r="M396" s="49" t="n">
        <f aca="false">D396+G396+J396</f>
        <v>12369.1846970872</v>
      </c>
      <c r="N396" s="49" t="n">
        <f aca="false">L396+M396</f>
        <v>17733.3571082602</v>
      </c>
      <c r="O396" s="49" t="n">
        <f aca="false">E396+H396+K396</f>
        <v>1952353.42829382</v>
      </c>
    </row>
    <row r="397" customFormat="false" ht="15" hidden="false" customHeight="false" outlineLevel="0" collapsed="false">
      <c r="A397" s="48" t="n">
        <v>391</v>
      </c>
      <c r="B397" s="48" t="n">
        <f aca="false">ROUNDUP(A397/12,0)</f>
        <v>33</v>
      </c>
      <c r="C397" s="49" t="n">
        <f aca="false">E396*Annahmen!$B$55/12</f>
        <v>1248.36905180685</v>
      </c>
      <c r="D397" s="49" t="n">
        <f aca="false">MIN($C$3-C397,E396)</f>
        <v>2251.63094819316</v>
      </c>
      <c r="E397" s="49" t="n">
        <f aca="false">E396-D397</f>
        <v>596965.513919093</v>
      </c>
      <c r="F397" s="49" t="n">
        <f aca="false">H396*Annahmen!$B$56/12</f>
        <v>1292.90408773084</v>
      </c>
      <c r="G397" s="49" t="n">
        <f aca="false">MIN($F$3-F397,H396)</f>
        <v>2532.09591226916</v>
      </c>
      <c r="H397" s="49" t="n">
        <f aca="false">H396-G397</f>
        <v>514629.539180066</v>
      </c>
      <c r="I397" s="49" t="n">
        <f aca="false">K396*Annahmen!$B$57/12</f>
        <v>2786.582161114</v>
      </c>
      <c r="J397" s="49" t="n">
        <f aca="false">MIN($I$3-I397,K396)</f>
        <v>7621.77494714622</v>
      </c>
      <c r="K397" s="49" t="n">
        <f aca="false">K396-J397</f>
        <v>828352.873387054</v>
      </c>
      <c r="L397" s="49" t="n">
        <f aca="false">C397+F397+I397</f>
        <v>5327.85530065169</v>
      </c>
      <c r="M397" s="49" t="n">
        <f aca="false">D397+G397+J397</f>
        <v>12405.5018076085</v>
      </c>
      <c r="N397" s="49" t="n">
        <f aca="false">L397+M397</f>
        <v>17733.3571082602</v>
      </c>
      <c r="O397" s="49" t="n">
        <f aca="false">E397+H397+K397</f>
        <v>1939947.92648621</v>
      </c>
    </row>
    <row r="398" customFormat="false" ht="15" hidden="false" customHeight="false" outlineLevel="0" collapsed="false">
      <c r="A398" s="48" t="n">
        <v>392</v>
      </c>
      <c r="B398" s="48" t="n">
        <f aca="false">ROUNDUP(A398/12,0)</f>
        <v>33</v>
      </c>
      <c r="C398" s="49" t="n">
        <f aca="false">E397*Annahmen!$B$55/12</f>
        <v>1243.67815399811</v>
      </c>
      <c r="D398" s="49" t="n">
        <f aca="false">MIN($C$3-C398,E397)</f>
        <v>2256.32184600189</v>
      </c>
      <c r="E398" s="49" t="n">
        <f aca="false">E397-D398</f>
        <v>594709.192073091</v>
      </c>
      <c r="F398" s="49" t="n">
        <f aca="false">H397*Annahmen!$B$56/12</f>
        <v>1286.57384795017</v>
      </c>
      <c r="G398" s="49" t="n">
        <f aca="false">MIN($F$3-F398,H397)</f>
        <v>2538.42615204984</v>
      </c>
      <c r="H398" s="49" t="n">
        <f aca="false">H397-G398</f>
        <v>512091.113028016</v>
      </c>
      <c r="I398" s="49" t="n">
        <f aca="false">K397*Annahmen!$B$57/12</f>
        <v>2761.17624462351</v>
      </c>
      <c r="J398" s="49" t="n">
        <f aca="false">MIN($I$3-I398,K397)</f>
        <v>7647.18086363671</v>
      </c>
      <c r="K398" s="49" t="n">
        <f aca="false">K397-J398</f>
        <v>820705.692523417</v>
      </c>
      <c r="L398" s="49" t="n">
        <f aca="false">C398+F398+I398</f>
        <v>5291.42824657179</v>
      </c>
      <c r="M398" s="49" t="n">
        <f aca="false">D398+G398+J398</f>
        <v>12441.9288616884</v>
      </c>
      <c r="N398" s="49" t="n">
        <f aca="false">L398+M398</f>
        <v>17733.3571082602</v>
      </c>
      <c r="O398" s="49" t="n">
        <f aca="false">E398+H398+K398</f>
        <v>1927505.99762452</v>
      </c>
    </row>
    <row r="399" customFormat="false" ht="15" hidden="false" customHeight="false" outlineLevel="0" collapsed="false">
      <c r="A399" s="48" t="n">
        <v>393</v>
      </c>
      <c r="B399" s="48" t="n">
        <f aca="false">ROUNDUP(A399/12,0)</f>
        <v>33</v>
      </c>
      <c r="C399" s="49" t="n">
        <f aca="false">E398*Annahmen!$B$55/12</f>
        <v>1238.97748348561</v>
      </c>
      <c r="D399" s="49" t="n">
        <f aca="false">MIN($C$3-C399,E398)</f>
        <v>2261.0225165144</v>
      </c>
      <c r="E399" s="49" t="n">
        <f aca="false">E398-D399</f>
        <v>592448.169556577</v>
      </c>
      <c r="F399" s="49" t="n">
        <f aca="false">H398*Annahmen!$B$56/12</f>
        <v>1280.22778257004</v>
      </c>
      <c r="G399" s="49" t="n">
        <f aca="false">MIN($F$3-F399,H398)</f>
        <v>2544.77221742996</v>
      </c>
      <c r="H399" s="49" t="n">
        <f aca="false">H398-G399</f>
        <v>509546.340810586</v>
      </c>
      <c r="I399" s="49" t="n">
        <f aca="false">K398*Annahmen!$B$57/12</f>
        <v>2735.68564174472</v>
      </c>
      <c r="J399" s="49" t="n">
        <f aca="false">MIN($I$3-I399,K398)</f>
        <v>7672.6714665155</v>
      </c>
      <c r="K399" s="49" t="n">
        <f aca="false">K398-J399</f>
        <v>813033.021056902</v>
      </c>
      <c r="L399" s="49" t="n">
        <f aca="false">C399+F399+I399</f>
        <v>5254.89090780037</v>
      </c>
      <c r="M399" s="49" t="n">
        <f aca="false">D399+G399+J399</f>
        <v>12478.4662004599</v>
      </c>
      <c r="N399" s="49" t="n">
        <f aca="false">L399+M399</f>
        <v>17733.3571082602</v>
      </c>
      <c r="O399" s="49" t="n">
        <f aca="false">E399+H399+K399</f>
        <v>1915027.53142406</v>
      </c>
    </row>
    <row r="400" customFormat="false" ht="15" hidden="false" customHeight="false" outlineLevel="0" collapsed="false">
      <c r="A400" s="48" t="n">
        <v>394</v>
      </c>
      <c r="B400" s="48" t="n">
        <f aca="false">ROUNDUP(A400/12,0)</f>
        <v>33</v>
      </c>
      <c r="C400" s="49" t="n">
        <f aca="false">E399*Annahmen!$B$55/12</f>
        <v>1234.26701990953</v>
      </c>
      <c r="D400" s="49" t="n">
        <f aca="false">MIN($C$3-C400,E399)</f>
        <v>2265.73298009047</v>
      </c>
      <c r="E400" s="49" t="n">
        <f aca="false">E399-D400</f>
        <v>590182.436576486</v>
      </c>
      <c r="F400" s="49" t="n">
        <f aca="false">H399*Annahmen!$B$56/12</f>
        <v>1273.86585202647</v>
      </c>
      <c r="G400" s="49" t="n">
        <f aca="false">MIN($F$3-F400,H399)</f>
        <v>2551.13414797353</v>
      </c>
      <c r="H400" s="49" t="n">
        <f aca="false">H399-G400</f>
        <v>506995.206662613</v>
      </c>
      <c r="I400" s="49" t="n">
        <f aca="false">K399*Annahmen!$B$57/12</f>
        <v>2710.11007018967</v>
      </c>
      <c r="J400" s="49" t="n">
        <f aca="false">MIN($I$3-I400,K399)</f>
        <v>7698.24703807055</v>
      </c>
      <c r="K400" s="49" t="n">
        <f aca="false">K399-J400</f>
        <v>805334.774018831</v>
      </c>
      <c r="L400" s="49" t="n">
        <f aca="false">C400+F400+I400</f>
        <v>5218.24294212567</v>
      </c>
      <c r="M400" s="49" t="n">
        <f aca="false">D400+G400+J400</f>
        <v>12515.1141661346</v>
      </c>
      <c r="N400" s="49" t="n">
        <f aca="false">L400+M400</f>
        <v>17733.3571082602</v>
      </c>
      <c r="O400" s="49" t="n">
        <f aca="false">E400+H400+K400</f>
        <v>1902512.41725793</v>
      </c>
    </row>
    <row r="401" customFormat="false" ht="15" hidden="false" customHeight="false" outlineLevel="0" collapsed="false">
      <c r="A401" s="48" t="n">
        <v>395</v>
      </c>
      <c r="B401" s="48" t="n">
        <f aca="false">ROUNDUP(A401/12,0)</f>
        <v>33</v>
      </c>
      <c r="C401" s="49" t="n">
        <f aca="false">E400*Annahmen!$B$55/12</f>
        <v>1229.54674286768</v>
      </c>
      <c r="D401" s="49" t="n">
        <f aca="false">MIN($C$3-C401,E400)</f>
        <v>2270.45325713232</v>
      </c>
      <c r="E401" s="49" t="n">
        <f aca="false">E400-D401</f>
        <v>587911.983319354</v>
      </c>
      <c r="F401" s="49" t="n">
        <f aca="false">H400*Annahmen!$B$56/12</f>
        <v>1267.48801665653</v>
      </c>
      <c r="G401" s="49" t="n">
        <f aca="false">MIN($F$3-F401,H400)</f>
        <v>2557.51198334347</v>
      </c>
      <c r="H401" s="49" t="n">
        <f aca="false">H400-G401</f>
        <v>504437.694679269</v>
      </c>
      <c r="I401" s="49" t="n">
        <f aca="false">K400*Annahmen!$B$57/12</f>
        <v>2684.44924672944</v>
      </c>
      <c r="J401" s="49" t="n">
        <f aca="false">MIN($I$3-I401,K400)</f>
        <v>7723.90786153079</v>
      </c>
      <c r="K401" s="49" t="n">
        <f aca="false">K400-J401</f>
        <v>797610.8661573</v>
      </c>
      <c r="L401" s="49" t="n">
        <f aca="false">C401+F401+I401</f>
        <v>5181.48400625365</v>
      </c>
      <c r="M401" s="49" t="n">
        <f aca="false">D401+G401+J401</f>
        <v>12551.8731020066</v>
      </c>
      <c r="N401" s="49" t="n">
        <f aca="false">L401+M401</f>
        <v>17733.3571082602</v>
      </c>
      <c r="O401" s="49" t="n">
        <f aca="false">E401+H401+K401</f>
        <v>1889960.54415592</v>
      </c>
    </row>
    <row r="402" customFormat="false" ht="15" hidden="false" customHeight="false" outlineLevel="0" collapsed="false">
      <c r="A402" s="48" t="n">
        <v>396</v>
      </c>
      <c r="B402" s="48" t="n">
        <f aca="false">ROUNDUP(A402/12,0)</f>
        <v>33</v>
      </c>
      <c r="C402" s="49" t="n">
        <f aca="false">E401*Annahmen!$B$55/12</f>
        <v>1224.81663191532</v>
      </c>
      <c r="D402" s="49" t="n">
        <f aca="false">MIN($C$3-C402,E401)</f>
        <v>2275.18336808468</v>
      </c>
      <c r="E402" s="49" t="n">
        <f aca="false">E401-D402</f>
        <v>585636.799951269</v>
      </c>
      <c r="F402" s="49" t="n">
        <f aca="false">H401*Annahmen!$B$56/12</f>
        <v>1261.09423669817</v>
      </c>
      <c r="G402" s="49" t="n">
        <f aca="false">MIN($F$3-F402,H401)</f>
        <v>2563.90576330183</v>
      </c>
      <c r="H402" s="49" t="n">
        <f aca="false">H401-G402</f>
        <v>501873.788915968</v>
      </c>
      <c r="I402" s="49" t="n">
        <f aca="false">K401*Annahmen!$B$57/12</f>
        <v>2658.702887191</v>
      </c>
      <c r="J402" s="49" t="n">
        <f aca="false">MIN($I$3-I402,K401)</f>
        <v>7749.65422106922</v>
      </c>
      <c r="K402" s="49" t="n">
        <f aca="false">K401-J402</f>
        <v>789861.211936231</v>
      </c>
      <c r="L402" s="49" t="n">
        <f aca="false">C402+F402+I402</f>
        <v>5144.6137558045</v>
      </c>
      <c r="M402" s="49" t="n">
        <f aca="false">D402+G402+J402</f>
        <v>12588.7433524557</v>
      </c>
      <c r="N402" s="49" t="n">
        <f aca="false">L402+M402</f>
        <v>17733.3571082602</v>
      </c>
      <c r="O402" s="49" t="n">
        <f aca="false">E402+H402+K402</f>
        <v>1877371.80080347</v>
      </c>
    </row>
    <row r="403" customFormat="false" ht="15" hidden="false" customHeight="false" outlineLevel="0" collapsed="false">
      <c r="A403" s="48" t="n">
        <v>397</v>
      </c>
      <c r="B403" s="48" t="n">
        <f aca="false">ROUNDUP(A403/12,0)</f>
        <v>34</v>
      </c>
      <c r="C403" s="49" t="n">
        <f aca="false">E402*Annahmen!$B$55/12</f>
        <v>1220.07666656514</v>
      </c>
      <c r="D403" s="49" t="n">
        <f aca="false">MIN($C$3-C403,E402)</f>
        <v>2279.92333343486</v>
      </c>
      <c r="E403" s="49" t="n">
        <f aca="false">E402-D403</f>
        <v>583356.876617834</v>
      </c>
      <c r="F403" s="49" t="n">
        <f aca="false">H402*Annahmen!$B$56/12</f>
        <v>1254.68447228992</v>
      </c>
      <c r="G403" s="49" t="n">
        <f aca="false">MIN($F$3-F403,H402)</f>
        <v>2570.31552771008</v>
      </c>
      <c r="H403" s="49" t="n">
        <f aca="false">H402-G403</f>
        <v>499303.473388257</v>
      </c>
      <c r="I403" s="49" t="n">
        <f aca="false">K402*Annahmen!$B$57/12</f>
        <v>2632.8707064541</v>
      </c>
      <c r="J403" s="49" t="n">
        <f aca="false">MIN($I$3-I403,K402)</f>
        <v>7775.48640180612</v>
      </c>
      <c r="K403" s="49" t="n">
        <f aca="false">K402-J403</f>
        <v>782085.725534425</v>
      </c>
      <c r="L403" s="49" t="n">
        <f aca="false">C403+F403+I403</f>
        <v>5107.63184530917</v>
      </c>
      <c r="M403" s="49" t="n">
        <f aca="false">D403+G403+J403</f>
        <v>12625.7252629511</v>
      </c>
      <c r="N403" s="49" t="n">
        <f aca="false">L403+M403</f>
        <v>17733.3571082602</v>
      </c>
      <c r="O403" s="49" t="n">
        <f aca="false">E403+H403+K403</f>
        <v>1864746.07554052</v>
      </c>
    </row>
    <row r="404" customFormat="false" ht="15" hidden="false" customHeight="false" outlineLevel="0" collapsed="false">
      <c r="A404" s="48" t="n">
        <v>398</v>
      </c>
      <c r="B404" s="48" t="n">
        <f aca="false">ROUNDUP(A404/12,0)</f>
        <v>34</v>
      </c>
      <c r="C404" s="49" t="n">
        <f aca="false">E403*Annahmen!$B$55/12</f>
        <v>1215.32682628716</v>
      </c>
      <c r="D404" s="49" t="n">
        <f aca="false">MIN($C$3-C404,E403)</f>
        <v>2284.67317371285</v>
      </c>
      <c r="E404" s="49" t="n">
        <f aca="false">E403-D404</f>
        <v>581072.203444122</v>
      </c>
      <c r="F404" s="49" t="n">
        <f aca="false">H403*Annahmen!$B$56/12</f>
        <v>1248.25868347064</v>
      </c>
      <c r="G404" s="49" t="n">
        <f aca="false">MIN($F$3-F404,H403)</f>
        <v>2576.74131652936</v>
      </c>
      <c r="H404" s="49" t="n">
        <f aca="false">H403-G404</f>
        <v>496726.732071728</v>
      </c>
      <c r="I404" s="49" t="n">
        <f aca="false">K403*Annahmen!$B$57/12</f>
        <v>2606.95241844808</v>
      </c>
      <c r="J404" s="49" t="n">
        <f aca="false">MIN($I$3-I404,K403)</f>
        <v>7801.40468981214</v>
      </c>
      <c r="K404" s="49" t="n">
        <f aca="false">K403-J404</f>
        <v>774284.320844613</v>
      </c>
      <c r="L404" s="49" t="n">
        <f aca="false">C404+F404+I404</f>
        <v>5070.53792820588</v>
      </c>
      <c r="M404" s="49" t="n">
        <f aca="false">D404+G404+J404</f>
        <v>12662.8191800543</v>
      </c>
      <c r="N404" s="49" t="n">
        <f aca="false">L404+M404</f>
        <v>17733.3571082602</v>
      </c>
      <c r="O404" s="49" t="n">
        <f aca="false">E404+H404+K404</f>
        <v>1852083.25636046</v>
      </c>
    </row>
    <row r="405" customFormat="false" ht="15" hidden="false" customHeight="false" outlineLevel="0" collapsed="false">
      <c r="A405" s="48" t="n">
        <v>399</v>
      </c>
      <c r="B405" s="48" t="n">
        <f aca="false">ROUNDUP(A405/12,0)</f>
        <v>34</v>
      </c>
      <c r="C405" s="49" t="n">
        <f aca="false">E404*Annahmen!$B$55/12</f>
        <v>1210.56709050859</v>
      </c>
      <c r="D405" s="49" t="n">
        <f aca="false">MIN($C$3-C405,E404)</f>
        <v>2289.43290949141</v>
      </c>
      <c r="E405" s="49" t="n">
        <f aca="false">E404-D405</f>
        <v>578782.77053463</v>
      </c>
      <c r="F405" s="49" t="n">
        <f aca="false">H404*Annahmen!$B$56/12</f>
        <v>1241.81683017932</v>
      </c>
      <c r="G405" s="49" t="n">
        <f aca="false">MIN($F$3-F405,H404)</f>
        <v>2583.18316982068</v>
      </c>
      <c r="H405" s="49" t="n">
        <f aca="false">H404-G405</f>
        <v>494143.548901907</v>
      </c>
      <c r="I405" s="49" t="n">
        <f aca="false">K404*Annahmen!$B$57/12</f>
        <v>2580.94773614871</v>
      </c>
      <c r="J405" s="49" t="n">
        <f aca="false">MIN($I$3-I405,K404)</f>
        <v>7827.40937211151</v>
      </c>
      <c r="K405" s="49" t="n">
        <f aca="false">K404-J405</f>
        <v>766456.911472501</v>
      </c>
      <c r="L405" s="49" t="n">
        <f aca="false">C405+F405+I405</f>
        <v>5033.33165683662</v>
      </c>
      <c r="M405" s="49" t="n">
        <f aca="false">D405+G405+J405</f>
        <v>12700.0254514236</v>
      </c>
      <c r="N405" s="49" t="n">
        <f aca="false">L405+M405</f>
        <v>17733.3571082602</v>
      </c>
      <c r="O405" s="49" t="n">
        <f aca="false">E405+H405+K405</f>
        <v>1839383.23090904</v>
      </c>
    </row>
    <row r="406" customFormat="false" ht="15" hidden="false" customHeight="false" outlineLevel="0" collapsed="false">
      <c r="A406" s="48" t="n">
        <v>400</v>
      </c>
      <c r="B406" s="48" t="n">
        <f aca="false">ROUNDUP(A406/12,0)</f>
        <v>34</v>
      </c>
      <c r="C406" s="49" t="n">
        <f aca="false">E405*Annahmen!$B$55/12</f>
        <v>1205.79743861381</v>
      </c>
      <c r="D406" s="49" t="n">
        <f aca="false">MIN($C$3-C406,E405)</f>
        <v>2294.20256138619</v>
      </c>
      <c r="E406" s="49" t="n">
        <f aca="false">E405-D406</f>
        <v>576488.567973244</v>
      </c>
      <c r="F406" s="49" t="n">
        <f aca="false">H405*Annahmen!$B$56/12</f>
        <v>1235.35887225477</v>
      </c>
      <c r="G406" s="49" t="n">
        <f aca="false">MIN($F$3-F406,H405)</f>
        <v>2589.64112774523</v>
      </c>
      <c r="H406" s="49" t="n">
        <f aca="false">H405-G406</f>
        <v>491553.907774162</v>
      </c>
      <c r="I406" s="49" t="n">
        <f aca="false">K405*Annahmen!$B$57/12</f>
        <v>2554.856371575</v>
      </c>
      <c r="J406" s="49" t="n">
        <f aca="false">MIN($I$3-I406,K405)</f>
        <v>7853.50073668522</v>
      </c>
      <c r="K406" s="49" t="n">
        <f aca="false">K405-J406</f>
        <v>758603.410735816</v>
      </c>
      <c r="L406" s="49" t="n">
        <f aca="false">C406+F406+I406</f>
        <v>4996.01268244359</v>
      </c>
      <c r="M406" s="49" t="n">
        <f aca="false">D406+G406+J406</f>
        <v>12737.3444258166</v>
      </c>
      <c r="N406" s="49" t="n">
        <f aca="false">L406+M406</f>
        <v>17733.3571082602</v>
      </c>
      <c r="O406" s="49" t="n">
        <f aca="false">E406+H406+K406</f>
        <v>1826645.88648322</v>
      </c>
    </row>
    <row r="407" customFormat="false" ht="15" hidden="false" customHeight="false" outlineLevel="0" collapsed="false">
      <c r="A407" s="48" t="n">
        <v>401</v>
      </c>
      <c r="B407" s="48" t="n">
        <f aca="false">ROUNDUP(A407/12,0)</f>
        <v>34</v>
      </c>
      <c r="C407" s="49" t="n">
        <f aca="false">E406*Annahmen!$B$55/12</f>
        <v>1201.01784994426</v>
      </c>
      <c r="D407" s="49" t="n">
        <f aca="false">MIN($C$3-C407,E406)</f>
        <v>2298.98215005574</v>
      </c>
      <c r="E407" s="49" t="n">
        <f aca="false">E406-D407</f>
        <v>574189.585823188</v>
      </c>
      <c r="F407" s="49" t="n">
        <f aca="false">H406*Annahmen!$B$56/12</f>
        <v>1228.88476943541</v>
      </c>
      <c r="G407" s="49" t="n">
        <f aca="false">MIN($F$3-F407,H406)</f>
        <v>2596.1152305646</v>
      </c>
      <c r="H407" s="49" t="n">
        <f aca="false">H406-G407</f>
        <v>488957.792543598</v>
      </c>
      <c r="I407" s="49" t="n">
        <f aca="false">K406*Annahmen!$B$57/12</f>
        <v>2528.67803578605</v>
      </c>
      <c r="J407" s="49" t="n">
        <f aca="false">MIN($I$3-I407,K406)</f>
        <v>7879.67907247417</v>
      </c>
      <c r="K407" s="49" t="n">
        <f aca="false">K406-J407</f>
        <v>750723.731663342</v>
      </c>
      <c r="L407" s="49" t="n">
        <f aca="false">C407+F407+I407</f>
        <v>4958.58065516572</v>
      </c>
      <c r="M407" s="49" t="n">
        <f aca="false">D407+G407+J407</f>
        <v>12774.7764530945</v>
      </c>
      <c r="N407" s="49" t="n">
        <f aca="false">L407+M407</f>
        <v>17733.3571082602</v>
      </c>
      <c r="O407" s="49" t="n">
        <f aca="false">E407+H407+K407</f>
        <v>1813871.11003013</v>
      </c>
    </row>
    <row r="408" customFormat="false" ht="15" hidden="false" customHeight="false" outlineLevel="0" collapsed="false">
      <c r="A408" s="48" t="n">
        <v>402</v>
      </c>
      <c r="B408" s="48" t="n">
        <f aca="false">ROUNDUP(A408/12,0)</f>
        <v>34</v>
      </c>
      <c r="C408" s="49" t="n">
        <f aca="false">E407*Annahmen!$B$55/12</f>
        <v>1196.22830379831</v>
      </c>
      <c r="D408" s="49" t="n">
        <f aca="false">MIN($C$3-C408,E407)</f>
        <v>2303.77169620169</v>
      </c>
      <c r="E408" s="49" t="n">
        <f aca="false">E407-D408</f>
        <v>571885.814126987</v>
      </c>
      <c r="F408" s="49" t="n">
        <f aca="false">H407*Annahmen!$B$56/12</f>
        <v>1222.39448135899</v>
      </c>
      <c r="G408" s="49" t="n">
        <f aca="false">MIN($F$3-F408,H407)</f>
        <v>2602.60551864101</v>
      </c>
      <c r="H408" s="49" t="n">
        <f aca="false">H407-G408</f>
        <v>486355.187024957</v>
      </c>
      <c r="I408" s="49" t="n">
        <f aca="false">K407*Annahmen!$B$57/12</f>
        <v>2502.41243887781</v>
      </c>
      <c r="J408" s="49" t="n">
        <f aca="false">MIN($I$3-I408,K407)</f>
        <v>7905.94466938242</v>
      </c>
      <c r="K408" s="49" t="n">
        <f aca="false">K407-J408</f>
        <v>742817.78699396</v>
      </c>
      <c r="L408" s="49" t="n">
        <f aca="false">C408+F408+I408</f>
        <v>4921.03522403511</v>
      </c>
      <c r="M408" s="49" t="n">
        <f aca="false">D408+G408+J408</f>
        <v>12812.3218842251</v>
      </c>
      <c r="N408" s="49" t="n">
        <f aca="false">L408+M408</f>
        <v>17733.3571082602</v>
      </c>
      <c r="O408" s="49" t="n">
        <f aca="false">E408+H408+K408</f>
        <v>1801058.7881459</v>
      </c>
    </row>
    <row r="409" customFormat="false" ht="15" hidden="false" customHeight="false" outlineLevel="0" collapsed="false">
      <c r="A409" s="48" t="n">
        <v>403</v>
      </c>
      <c r="B409" s="48" t="n">
        <f aca="false">ROUNDUP(A409/12,0)</f>
        <v>34</v>
      </c>
      <c r="C409" s="49" t="n">
        <f aca="false">E408*Annahmen!$B$55/12</f>
        <v>1191.42877943122</v>
      </c>
      <c r="D409" s="49" t="n">
        <f aca="false">MIN($C$3-C409,E408)</f>
        <v>2308.57122056878</v>
      </c>
      <c r="E409" s="49" t="n">
        <f aca="false">E408-D409</f>
        <v>569577.242906418</v>
      </c>
      <c r="F409" s="49" t="n">
        <f aca="false">H408*Annahmen!$B$56/12</f>
        <v>1215.88796756239</v>
      </c>
      <c r="G409" s="49" t="n">
        <f aca="false">MIN($F$3-F409,H408)</f>
        <v>2609.11203243761</v>
      </c>
      <c r="H409" s="49" t="n">
        <f aca="false">H408-G409</f>
        <v>483746.074992519</v>
      </c>
      <c r="I409" s="49" t="n">
        <f aca="false">K408*Annahmen!$B$57/12</f>
        <v>2476.05928997987</v>
      </c>
      <c r="J409" s="49" t="n">
        <f aca="false">MIN($I$3-I409,K408)</f>
        <v>7932.29781828036</v>
      </c>
      <c r="K409" s="49" t="n">
        <f aca="false">K408-J409</f>
        <v>734885.489175679</v>
      </c>
      <c r="L409" s="49" t="n">
        <f aca="false">C409+F409+I409</f>
        <v>4883.37603697348</v>
      </c>
      <c r="M409" s="49" t="n">
        <f aca="false">D409+G409+J409</f>
        <v>12849.9810712867</v>
      </c>
      <c r="N409" s="49" t="n">
        <f aca="false">L409+M409</f>
        <v>17733.3571082602</v>
      </c>
      <c r="O409" s="49" t="n">
        <f aca="false">E409+H409+K409</f>
        <v>1788208.80707462</v>
      </c>
    </row>
    <row r="410" customFormat="false" ht="15" hidden="false" customHeight="false" outlineLevel="0" collapsed="false">
      <c r="A410" s="48" t="n">
        <v>404</v>
      </c>
      <c r="B410" s="48" t="n">
        <f aca="false">ROUNDUP(A410/12,0)</f>
        <v>34</v>
      </c>
      <c r="C410" s="49" t="n">
        <f aca="false">E409*Annahmen!$B$55/12</f>
        <v>1186.61925605504</v>
      </c>
      <c r="D410" s="49" t="n">
        <f aca="false">MIN($C$3-C410,E409)</f>
        <v>2313.38074394496</v>
      </c>
      <c r="E410" s="49" t="n">
        <f aca="false">E409-D410</f>
        <v>567263.862162473</v>
      </c>
      <c r="F410" s="49" t="n">
        <f aca="false">H409*Annahmen!$B$56/12</f>
        <v>1209.3651874813</v>
      </c>
      <c r="G410" s="49" t="n">
        <f aca="false">MIN($F$3-F410,H409)</f>
        <v>2615.6348125187</v>
      </c>
      <c r="H410" s="49" t="n">
        <f aca="false">H409-G410</f>
        <v>481130.44018</v>
      </c>
      <c r="I410" s="49" t="n">
        <f aca="false">K409*Annahmen!$B$57/12</f>
        <v>2449.61829725226</v>
      </c>
      <c r="J410" s="49" t="n">
        <f aca="false">MIN($I$3-I410,K409)</f>
        <v>7958.73881100796</v>
      </c>
      <c r="K410" s="49" t="n">
        <f aca="false">K409-J410</f>
        <v>726926.750364671</v>
      </c>
      <c r="L410" s="49" t="n">
        <f aca="false">C410+F410+I410</f>
        <v>4845.6027407886</v>
      </c>
      <c r="M410" s="49" t="n">
        <f aca="false">D410+G410+J410</f>
        <v>12887.7543674716</v>
      </c>
      <c r="N410" s="49" t="n">
        <f aca="false">L410+M410</f>
        <v>17733.3571082602</v>
      </c>
      <c r="O410" s="49" t="n">
        <f aca="false">E410+H410+K410</f>
        <v>1775321.05270714</v>
      </c>
    </row>
    <row r="411" customFormat="false" ht="15" hidden="false" customHeight="false" outlineLevel="0" collapsed="false">
      <c r="A411" s="48" t="n">
        <v>405</v>
      </c>
      <c r="B411" s="48" t="n">
        <f aca="false">ROUNDUP(A411/12,0)</f>
        <v>34</v>
      </c>
      <c r="C411" s="49" t="n">
        <f aca="false">E410*Annahmen!$B$55/12</f>
        <v>1181.79971283849</v>
      </c>
      <c r="D411" s="49" t="n">
        <f aca="false">MIN($C$3-C411,E410)</f>
        <v>2318.20028716152</v>
      </c>
      <c r="E411" s="49" t="n">
        <f aca="false">E410-D411</f>
        <v>564945.661875311</v>
      </c>
      <c r="F411" s="49" t="n">
        <f aca="false">H410*Annahmen!$B$56/12</f>
        <v>1202.82610045</v>
      </c>
      <c r="G411" s="49" t="n">
        <f aca="false">MIN($F$3-F411,H410)</f>
        <v>2622.17389955</v>
      </c>
      <c r="H411" s="49" t="n">
        <f aca="false">H410-G411</f>
        <v>478508.26628045</v>
      </c>
      <c r="I411" s="49" t="n">
        <f aca="false">K410*Annahmen!$B$57/12</f>
        <v>2423.08916788224</v>
      </c>
      <c r="J411" s="49" t="n">
        <f aca="false">MIN($I$3-I411,K410)</f>
        <v>7985.26794037799</v>
      </c>
      <c r="K411" s="49" t="n">
        <f aca="false">K410-J411</f>
        <v>718941.482424293</v>
      </c>
      <c r="L411" s="49" t="n">
        <f aca="false">C411+F411+I411</f>
        <v>4807.71498117072</v>
      </c>
      <c r="M411" s="49" t="n">
        <f aca="false">D411+G411+J411</f>
        <v>12925.6421270895</v>
      </c>
      <c r="N411" s="49" t="n">
        <f aca="false">L411+M411</f>
        <v>17733.3571082602</v>
      </c>
      <c r="O411" s="49" t="n">
        <f aca="false">E411+H411+K411</f>
        <v>1762395.41058005</v>
      </c>
    </row>
    <row r="412" customFormat="false" ht="15" hidden="false" customHeight="false" outlineLevel="0" collapsed="false">
      <c r="A412" s="48" t="n">
        <v>406</v>
      </c>
      <c r="B412" s="48" t="n">
        <f aca="false">ROUNDUP(A412/12,0)</f>
        <v>34</v>
      </c>
      <c r="C412" s="49" t="n">
        <f aca="false">E411*Annahmen!$B$55/12</f>
        <v>1176.9701289069</v>
      </c>
      <c r="D412" s="49" t="n">
        <f aca="false">MIN($C$3-C412,E411)</f>
        <v>2323.0298710931</v>
      </c>
      <c r="E412" s="49" t="n">
        <f aca="false">E411-D412</f>
        <v>562622.632004218</v>
      </c>
      <c r="F412" s="49" t="n">
        <f aca="false">H411*Annahmen!$B$56/12</f>
        <v>1196.27066570113</v>
      </c>
      <c r="G412" s="49" t="n">
        <f aca="false">MIN($F$3-F412,H411)</f>
        <v>2628.72933429888</v>
      </c>
      <c r="H412" s="49" t="n">
        <f aca="false">H411-G412</f>
        <v>475879.536946151</v>
      </c>
      <c r="I412" s="49" t="n">
        <f aca="false">K411*Annahmen!$B$57/12</f>
        <v>2396.47160808098</v>
      </c>
      <c r="J412" s="49" t="n">
        <f aca="false">MIN($I$3-I412,K411)</f>
        <v>8011.88550017925</v>
      </c>
      <c r="K412" s="49" t="n">
        <f aca="false">K411-J412</f>
        <v>710929.596924114</v>
      </c>
      <c r="L412" s="49" t="n">
        <f aca="false">C412+F412+I412</f>
        <v>4769.712402689</v>
      </c>
      <c r="M412" s="49" t="n">
        <f aca="false">D412+G412+J412</f>
        <v>12963.6447055712</v>
      </c>
      <c r="N412" s="49" t="n">
        <f aca="false">L412+M412</f>
        <v>17733.3571082602</v>
      </c>
      <c r="O412" s="49" t="n">
        <f aca="false">E412+H412+K412</f>
        <v>1749431.76587448</v>
      </c>
    </row>
    <row r="413" customFormat="false" ht="15" hidden="false" customHeight="false" outlineLevel="0" collapsed="false">
      <c r="A413" s="48" t="n">
        <v>407</v>
      </c>
      <c r="B413" s="48" t="n">
        <f aca="false">ROUNDUP(A413/12,0)</f>
        <v>34</v>
      </c>
      <c r="C413" s="49" t="n">
        <f aca="false">E412*Annahmen!$B$55/12</f>
        <v>1172.13048334212</v>
      </c>
      <c r="D413" s="49" t="n">
        <f aca="false">MIN($C$3-C413,E412)</f>
        <v>2327.86951665788</v>
      </c>
      <c r="E413" s="49" t="n">
        <f aca="false">E412-D413</f>
        <v>560294.76248756</v>
      </c>
      <c r="F413" s="49" t="n">
        <f aca="false">H412*Annahmen!$B$56/12</f>
        <v>1189.69884236538</v>
      </c>
      <c r="G413" s="49" t="n">
        <f aca="false">MIN($F$3-F413,H412)</f>
        <v>2635.30115763462</v>
      </c>
      <c r="H413" s="49" t="n">
        <f aca="false">H412-G413</f>
        <v>473244.235788517</v>
      </c>
      <c r="I413" s="49" t="n">
        <f aca="false">K412*Annahmen!$B$57/12</f>
        <v>2369.76532308038</v>
      </c>
      <c r="J413" s="49" t="n">
        <f aca="false">MIN($I$3-I413,K412)</f>
        <v>8038.59178517984</v>
      </c>
      <c r="K413" s="49" t="n">
        <f aca="false">K412-J413</f>
        <v>702891.005138934</v>
      </c>
      <c r="L413" s="49" t="n">
        <f aca="false">C413+F413+I413</f>
        <v>4731.59464878788</v>
      </c>
      <c r="M413" s="49" t="n">
        <f aca="false">D413+G413+J413</f>
        <v>13001.7624594723</v>
      </c>
      <c r="N413" s="49" t="n">
        <f aca="false">L413+M413</f>
        <v>17733.3571082602</v>
      </c>
      <c r="O413" s="49" t="n">
        <f aca="false">E413+H413+K413</f>
        <v>1736430.00341501</v>
      </c>
    </row>
    <row r="414" customFormat="false" ht="15" hidden="false" customHeight="false" outlineLevel="0" collapsed="false">
      <c r="A414" s="48" t="n">
        <v>408</v>
      </c>
      <c r="B414" s="48" t="n">
        <f aca="false">ROUNDUP(A414/12,0)</f>
        <v>34</v>
      </c>
      <c r="C414" s="49" t="n">
        <f aca="false">E413*Annahmen!$B$55/12</f>
        <v>1167.28075518242</v>
      </c>
      <c r="D414" s="49" t="n">
        <f aca="false">MIN($C$3-C414,E413)</f>
        <v>2332.71924481758</v>
      </c>
      <c r="E414" s="49" t="n">
        <f aca="false">E413-D414</f>
        <v>557962.043242743</v>
      </c>
      <c r="F414" s="49" t="n">
        <f aca="false">H413*Annahmen!$B$56/12</f>
        <v>1183.11058947129</v>
      </c>
      <c r="G414" s="49" t="n">
        <f aca="false">MIN($F$3-F414,H413)</f>
        <v>2641.88941052871</v>
      </c>
      <c r="H414" s="49" t="n">
        <f aca="false">H413-G414</f>
        <v>470602.346377988</v>
      </c>
      <c r="I414" s="49" t="n">
        <f aca="false">K413*Annahmen!$B$57/12</f>
        <v>2342.97001712978</v>
      </c>
      <c r="J414" s="49" t="n">
        <f aca="false">MIN($I$3-I414,K413)</f>
        <v>8065.38709113044</v>
      </c>
      <c r="K414" s="49" t="n">
        <f aca="false">K413-J414</f>
        <v>694825.618047804</v>
      </c>
      <c r="L414" s="49" t="n">
        <f aca="false">C414+F414+I414</f>
        <v>4693.36136178349</v>
      </c>
      <c r="M414" s="49" t="n">
        <f aca="false">D414+G414+J414</f>
        <v>13039.9957464767</v>
      </c>
      <c r="N414" s="49" t="n">
        <f aca="false">L414+M414</f>
        <v>17733.3571082602</v>
      </c>
      <c r="O414" s="49" t="n">
        <f aca="false">E414+H414+K414</f>
        <v>1723390.00766853</v>
      </c>
    </row>
    <row r="415" customFormat="false" ht="15" hidden="false" customHeight="false" outlineLevel="0" collapsed="false">
      <c r="A415" s="48" t="n">
        <v>409</v>
      </c>
      <c r="B415" s="48" t="n">
        <f aca="false">ROUNDUP(A415/12,0)</f>
        <v>35</v>
      </c>
      <c r="C415" s="49" t="n">
        <f aca="false">E414*Annahmen!$B$55/12</f>
        <v>1162.42092342238</v>
      </c>
      <c r="D415" s="49" t="n">
        <f aca="false">MIN($C$3-C415,E414)</f>
        <v>2337.57907657762</v>
      </c>
      <c r="E415" s="49" t="n">
        <f aca="false">E414-D415</f>
        <v>555624.464166165</v>
      </c>
      <c r="F415" s="49" t="n">
        <f aca="false">H414*Annahmen!$B$56/12</f>
        <v>1176.50586594497</v>
      </c>
      <c r="G415" s="49" t="n">
        <f aca="false">MIN($F$3-F415,H414)</f>
        <v>2648.49413405503</v>
      </c>
      <c r="H415" s="49" t="n">
        <f aca="false">H414-G415</f>
        <v>467953.852243933</v>
      </c>
      <c r="I415" s="49" t="n">
        <f aca="false">K414*Annahmen!$B$57/12</f>
        <v>2316.08539349268</v>
      </c>
      <c r="J415" s="49" t="n">
        <f aca="false">MIN($I$3-I415,K414)</f>
        <v>8092.27171476755</v>
      </c>
      <c r="K415" s="49" t="n">
        <f aca="false">K414-J415</f>
        <v>686733.346333036</v>
      </c>
      <c r="L415" s="49" t="n">
        <f aca="false">C415+F415+I415</f>
        <v>4655.01218286003</v>
      </c>
      <c r="M415" s="49" t="n">
        <f aca="false">D415+G415+J415</f>
        <v>13078.3449254002</v>
      </c>
      <c r="N415" s="49" t="n">
        <f aca="false">L415+M415</f>
        <v>17733.3571082602</v>
      </c>
      <c r="O415" s="49" t="n">
        <f aca="false">E415+H415+K415</f>
        <v>1710311.66274313</v>
      </c>
    </row>
    <row r="416" customFormat="false" ht="15" hidden="false" customHeight="false" outlineLevel="0" collapsed="false">
      <c r="A416" s="48" t="n">
        <v>410</v>
      </c>
      <c r="B416" s="48" t="n">
        <f aca="false">ROUNDUP(A416/12,0)</f>
        <v>35</v>
      </c>
      <c r="C416" s="49" t="n">
        <f aca="false">E415*Annahmen!$B$55/12</f>
        <v>1157.55096701284</v>
      </c>
      <c r="D416" s="49" t="n">
        <f aca="false">MIN($C$3-C416,E415)</f>
        <v>2342.44903298716</v>
      </c>
      <c r="E416" s="49" t="n">
        <f aca="false">E415-D416</f>
        <v>553282.015133178</v>
      </c>
      <c r="F416" s="49" t="n">
        <f aca="false">H415*Annahmen!$B$56/12</f>
        <v>1169.88463060983</v>
      </c>
      <c r="G416" s="49" t="n">
        <f aca="false">MIN($F$3-F416,H415)</f>
        <v>2655.11536939017</v>
      </c>
      <c r="H416" s="49" t="n">
        <f aca="false">H415-G416</f>
        <v>465298.736874543</v>
      </c>
      <c r="I416" s="49" t="n">
        <f aca="false">K415*Annahmen!$B$57/12</f>
        <v>2289.11115444345</v>
      </c>
      <c r="J416" s="49" t="n">
        <f aca="false">MIN($I$3-I416,K415)</f>
        <v>8119.24595381677</v>
      </c>
      <c r="K416" s="49" t="n">
        <f aca="false">K415-J416</f>
        <v>678614.100379219</v>
      </c>
      <c r="L416" s="49" t="n">
        <f aca="false">C416+F416+I416</f>
        <v>4616.54675206613</v>
      </c>
      <c r="M416" s="49" t="n">
        <f aca="false">D416+G416+J416</f>
        <v>13116.8103561941</v>
      </c>
      <c r="N416" s="49" t="n">
        <f aca="false">L416+M416</f>
        <v>17733.3571082602</v>
      </c>
      <c r="O416" s="49" t="n">
        <f aca="false">E416+H416+K416</f>
        <v>1697194.85238694</v>
      </c>
    </row>
    <row r="417" customFormat="false" ht="15" hidden="false" customHeight="false" outlineLevel="0" collapsed="false">
      <c r="A417" s="48" t="n">
        <v>411</v>
      </c>
      <c r="B417" s="48" t="n">
        <f aca="false">ROUNDUP(A417/12,0)</f>
        <v>35</v>
      </c>
      <c r="C417" s="49" t="n">
        <f aca="false">E416*Annahmen!$B$55/12</f>
        <v>1152.67086486079</v>
      </c>
      <c r="D417" s="49" t="n">
        <f aca="false">MIN($C$3-C417,E416)</f>
        <v>2347.32913513921</v>
      </c>
      <c r="E417" s="49" t="n">
        <f aca="false">E416-D417</f>
        <v>550934.685998039</v>
      </c>
      <c r="F417" s="49" t="n">
        <f aca="false">H416*Annahmen!$B$56/12</f>
        <v>1163.24684218636</v>
      </c>
      <c r="G417" s="49" t="n">
        <f aca="false">MIN($F$3-F417,H416)</f>
        <v>2661.75315781364</v>
      </c>
      <c r="H417" s="49" t="n">
        <f aca="false">H416-G417</f>
        <v>462636.983716729</v>
      </c>
      <c r="I417" s="49" t="n">
        <f aca="false">K416*Annahmen!$B$57/12</f>
        <v>2262.04700126406</v>
      </c>
      <c r="J417" s="49" t="n">
        <f aca="false">MIN($I$3-I417,K416)</f>
        <v>8146.31010699616</v>
      </c>
      <c r="K417" s="49" t="n">
        <f aca="false">K416-J417</f>
        <v>670467.790272223</v>
      </c>
      <c r="L417" s="49" t="n">
        <f aca="false">C417+F417+I417</f>
        <v>4577.96470831121</v>
      </c>
      <c r="M417" s="49" t="n">
        <f aca="false">D417+G417+J417</f>
        <v>13155.392399949</v>
      </c>
      <c r="N417" s="49" t="n">
        <f aca="false">L417+M417</f>
        <v>17733.3571082602</v>
      </c>
      <c r="O417" s="49" t="n">
        <f aca="false">E417+H417+K417</f>
        <v>1684039.45998699</v>
      </c>
    </row>
    <row r="418" customFormat="false" ht="15" hidden="false" customHeight="false" outlineLevel="0" collapsed="false">
      <c r="A418" s="48" t="n">
        <v>412</v>
      </c>
      <c r="B418" s="48" t="n">
        <f aca="false">ROUNDUP(A418/12,0)</f>
        <v>35</v>
      </c>
      <c r="C418" s="49" t="n">
        <f aca="false">E417*Annahmen!$B$55/12</f>
        <v>1147.78059582925</v>
      </c>
      <c r="D418" s="49" t="n">
        <f aca="false">MIN($C$3-C418,E417)</f>
        <v>2352.21940417075</v>
      </c>
      <c r="E418" s="49" t="n">
        <f aca="false">E417-D418</f>
        <v>548582.466593868</v>
      </c>
      <c r="F418" s="49" t="n">
        <f aca="false">H417*Annahmen!$B$56/12</f>
        <v>1156.59245929182</v>
      </c>
      <c r="G418" s="49" t="n">
        <f aca="false">MIN($F$3-F418,H417)</f>
        <v>2668.40754070818</v>
      </c>
      <c r="H418" s="49" t="n">
        <f aca="false">H417-G418</f>
        <v>459968.576176021</v>
      </c>
      <c r="I418" s="49" t="n">
        <f aca="false">K417*Annahmen!$B$57/12</f>
        <v>2234.89263424074</v>
      </c>
      <c r="J418" s="49" t="n">
        <f aca="false">MIN($I$3-I418,K417)</f>
        <v>8173.46447401948</v>
      </c>
      <c r="K418" s="49" t="n">
        <f aca="false">K417-J418</f>
        <v>662294.325798204</v>
      </c>
      <c r="L418" s="49" t="n">
        <f aca="false">C418+F418+I418</f>
        <v>4539.26568936181</v>
      </c>
      <c r="M418" s="49" t="n">
        <f aca="false">D418+G418+J418</f>
        <v>13194.0914188984</v>
      </c>
      <c r="N418" s="49" t="n">
        <f aca="false">L418+M418</f>
        <v>17733.3571082602</v>
      </c>
      <c r="O418" s="49" t="n">
        <f aca="false">E418+H418+K418</f>
        <v>1670845.36856809</v>
      </c>
    </row>
    <row r="419" customFormat="false" ht="15" hidden="false" customHeight="false" outlineLevel="0" collapsed="false">
      <c r="A419" s="48" t="n">
        <v>413</v>
      </c>
      <c r="B419" s="48" t="n">
        <f aca="false">ROUNDUP(A419/12,0)</f>
        <v>35</v>
      </c>
      <c r="C419" s="49" t="n">
        <f aca="false">E418*Annahmen!$B$55/12</f>
        <v>1142.88013873723</v>
      </c>
      <c r="D419" s="49" t="n">
        <f aca="false">MIN($C$3-C419,E418)</f>
        <v>2357.11986126278</v>
      </c>
      <c r="E419" s="49" t="n">
        <f aca="false">E418-D419</f>
        <v>546225.346732605</v>
      </c>
      <c r="F419" s="49" t="n">
        <f aca="false">H418*Annahmen!$B$56/12</f>
        <v>1149.92144044005</v>
      </c>
      <c r="G419" s="49" t="n">
        <f aca="false">MIN($F$3-F419,H418)</f>
        <v>2675.07855955995</v>
      </c>
      <c r="H419" s="49" t="n">
        <f aca="false">H418-G419</f>
        <v>457293.497616461</v>
      </c>
      <c r="I419" s="49" t="n">
        <f aca="false">K418*Annahmen!$B$57/12</f>
        <v>2207.64775266068</v>
      </c>
      <c r="J419" s="49" t="n">
        <f aca="false">MIN($I$3-I419,K418)</f>
        <v>8200.70935559955</v>
      </c>
      <c r="K419" s="49" t="n">
        <f aca="false">K418-J419</f>
        <v>654093.616442604</v>
      </c>
      <c r="L419" s="49" t="n">
        <f aca="false">C419+F419+I419</f>
        <v>4500.44933183796</v>
      </c>
      <c r="M419" s="49" t="n">
        <f aca="false">D419+G419+J419</f>
        <v>13232.9077764223</v>
      </c>
      <c r="N419" s="49" t="n">
        <f aca="false">L419+M419</f>
        <v>17733.3571082602</v>
      </c>
      <c r="O419" s="49" t="n">
        <f aca="false">E419+H419+K419</f>
        <v>1657612.46079167</v>
      </c>
    </row>
    <row r="420" customFormat="false" ht="15" hidden="false" customHeight="false" outlineLevel="0" collapsed="false">
      <c r="A420" s="48" t="n">
        <v>414</v>
      </c>
      <c r="B420" s="48" t="n">
        <f aca="false">ROUNDUP(A420/12,0)</f>
        <v>35</v>
      </c>
      <c r="C420" s="49" t="n">
        <f aca="false">E419*Annahmen!$B$55/12</f>
        <v>1137.96947235959</v>
      </c>
      <c r="D420" s="49" t="n">
        <f aca="false">MIN($C$3-C420,E419)</f>
        <v>2362.03052764041</v>
      </c>
      <c r="E420" s="49" t="n">
        <f aca="false">E419-D420</f>
        <v>543863.316204965</v>
      </c>
      <c r="F420" s="49" t="n">
        <f aca="false">H419*Annahmen!$B$56/12</f>
        <v>1143.23374404115</v>
      </c>
      <c r="G420" s="49" t="n">
        <f aca="false">MIN($F$3-F420,H419)</f>
        <v>2681.76625595885</v>
      </c>
      <c r="H420" s="49" t="n">
        <f aca="false">H419-G420</f>
        <v>454611.731360502</v>
      </c>
      <c r="I420" s="49" t="n">
        <f aca="false">K419*Annahmen!$B$57/12</f>
        <v>2180.31205480868</v>
      </c>
      <c r="J420" s="49" t="n">
        <f aca="false">MIN($I$3-I420,K419)</f>
        <v>8228.04505345154</v>
      </c>
      <c r="K420" s="49" t="n">
        <f aca="false">K419-J420</f>
        <v>645865.571389152</v>
      </c>
      <c r="L420" s="49" t="n">
        <f aca="false">C420+F420+I420</f>
        <v>4461.51527120943</v>
      </c>
      <c r="M420" s="49" t="n">
        <f aca="false">D420+G420+J420</f>
        <v>13271.8418370508</v>
      </c>
      <c r="N420" s="49" t="n">
        <f aca="false">L420+M420</f>
        <v>17733.3571082602</v>
      </c>
      <c r="O420" s="49" t="n">
        <f aca="false">E420+H420+K420</f>
        <v>1644340.61895462</v>
      </c>
    </row>
    <row r="421" customFormat="false" ht="15" hidden="false" customHeight="false" outlineLevel="0" collapsed="false">
      <c r="A421" s="48" t="n">
        <v>415</v>
      </c>
      <c r="B421" s="48" t="n">
        <f aca="false">ROUNDUP(A421/12,0)</f>
        <v>35</v>
      </c>
      <c r="C421" s="49" t="n">
        <f aca="false">E420*Annahmen!$B$55/12</f>
        <v>1133.04857542701</v>
      </c>
      <c r="D421" s="49" t="n">
        <f aca="false">MIN($C$3-C421,E420)</f>
        <v>2366.95142457299</v>
      </c>
      <c r="E421" s="49" t="n">
        <f aca="false">E420-D421</f>
        <v>541496.364780392</v>
      </c>
      <c r="F421" s="49" t="n">
        <f aca="false">H420*Annahmen!$B$56/12</f>
        <v>1136.52932840126</v>
      </c>
      <c r="G421" s="49" t="n">
        <f aca="false">MIN($F$3-F421,H420)</f>
        <v>2688.47067159875</v>
      </c>
      <c r="H421" s="49" t="n">
        <f aca="false">H420-G421</f>
        <v>451923.260688904</v>
      </c>
      <c r="I421" s="49" t="n">
        <f aca="false">K420*Annahmen!$B$57/12</f>
        <v>2152.88523796384</v>
      </c>
      <c r="J421" s="49" t="n">
        <f aca="false">MIN($I$3-I421,K420)</f>
        <v>8255.47187029638</v>
      </c>
      <c r="K421" s="49" t="n">
        <f aca="false">K420-J421</f>
        <v>637610.099518856</v>
      </c>
      <c r="L421" s="49" t="n">
        <f aca="false">C421+F421+I421</f>
        <v>4422.46314179211</v>
      </c>
      <c r="M421" s="49" t="n">
        <f aca="false">D421+G421+J421</f>
        <v>13310.8939664681</v>
      </c>
      <c r="N421" s="49" t="n">
        <f aca="false">L421+M421</f>
        <v>17733.3571082602</v>
      </c>
      <c r="O421" s="49" t="n">
        <f aca="false">E421+H421+K421</f>
        <v>1631029.72498815</v>
      </c>
    </row>
    <row r="422" customFormat="false" ht="15" hidden="false" customHeight="false" outlineLevel="0" collapsed="false">
      <c r="A422" s="48" t="n">
        <v>416</v>
      </c>
      <c r="B422" s="48" t="n">
        <f aca="false">ROUNDUP(A422/12,0)</f>
        <v>35</v>
      </c>
      <c r="C422" s="49" t="n">
        <f aca="false">E421*Annahmen!$B$55/12</f>
        <v>1128.11742662582</v>
      </c>
      <c r="D422" s="49" t="n">
        <f aca="false">MIN($C$3-C422,E421)</f>
        <v>2371.88257337419</v>
      </c>
      <c r="E422" s="49" t="n">
        <f aca="false">E421-D422</f>
        <v>539124.482207018</v>
      </c>
      <c r="F422" s="49" t="n">
        <f aca="false">H421*Annahmen!$B$56/12</f>
        <v>1129.80815172226</v>
      </c>
      <c r="G422" s="49" t="n">
        <f aca="false">MIN($F$3-F422,H421)</f>
        <v>2695.19184827774</v>
      </c>
      <c r="H422" s="49" t="n">
        <f aca="false">H421-G422</f>
        <v>449228.068840626</v>
      </c>
      <c r="I422" s="49" t="n">
        <f aca="false">K421*Annahmen!$B$57/12</f>
        <v>2125.36699839619</v>
      </c>
      <c r="J422" s="49" t="n">
        <f aca="false">MIN($I$3-I422,K421)</f>
        <v>8282.99010986404</v>
      </c>
      <c r="K422" s="49" t="n">
        <f aca="false">K421-J422</f>
        <v>629327.109408992</v>
      </c>
      <c r="L422" s="49" t="n">
        <f aca="false">C422+F422+I422</f>
        <v>4383.29257674426</v>
      </c>
      <c r="M422" s="49" t="n">
        <f aca="false">D422+G422+J422</f>
        <v>13350.064531516</v>
      </c>
      <c r="N422" s="49" t="n">
        <f aca="false">L422+M422</f>
        <v>17733.3571082602</v>
      </c>
      <c r="O422" s="49" t="n">
        <f aca="false">E422+H422+K422</f>
        <v>1617679.66045664</v>
      </c>
    </row>
    <row r="423" customFormat="false" ht="15" hidden="false" customHeight="false" outlineLevel="0" collapsed="false">
      <c r="A423" s="48" t="n">
        <v>417</v>
      </c>
      <c r="B423" s="48" t="n">
        <f aca="false">ROUNDUP(A423/12,0)</f>
        <v>35</v>
      </c>
      <c r="C423" s="49" t="n">
        <f aca="false">E422*Annahmen!$B$55/12</f>
        <v>1123.17600459795</v>
      </c>
      <c r="D423" s="49" t="n">
        <f aca="false">MIN($C$3-C423,E422)</f>
        <v>2376.82399540205</v>
      </c>
      <c r="E423" s="49" t="n">
        <f aca="false">E422-D423</f>
        <v>536747.658211616</v>
      </c>
      <c r="F423" s="49" t="n">
        <f aca="false">H422*Annahmen!$B$56/12</f>
        <v>1123.07017210156</v>
      </c>
      <c r="G423" s="49" t="n">
        <f aca="false">MIN($F$3-F423,H422)</f>
        <v>2701.92982789844</v>
      </c>
      <c r="H423" s="49" t="n">
        <f aca="false">H422-G423</f>
        <v>446526.139012727</v>
      </c>
      <c r="I423" s="49" t="n">
        <f aca="false">K422*Annahmen!$B$57/12</f>
        <v>2097.75703136331</v>
      </c>
      <c r="J423" s="49" t="n">
        <f aca="false">MIN($I$3-I423,K422)</f>
        <v>8310.60007689692</v>
      </c>
      <c r="K423" s="49" t="n">
        <f aca="false">K422-J423</f>
        <v>621016.509332095</v>
      </c>
      <c r="L423" s="49" t="n">
        <f aca="false">C423+F423+I423</f>
        <v>4344.00320806282</v>
      </c>
      <c r="M423" s="49" t="n">
        <f aca="false">D423+G423+J423</f>
        <v>13389.3539001974</v>
      </c>
      <c r="N423" s="49" t="n">
        <f aca="false">L423+M423</f>
        <v>17733.3571082602</v>
      </c>
      <c r="O423" s="49" t="n">
        <f aca="false">E423+H423+K423</f>
        <v>1604290.30655644</v>
      </c>
    </row>
    <row r="424" customFormat="false" ht="15" hidden="false" customHeight="false" outlineLevel="0" collapsed="false">
      <c r="A424" s="48" t="n">
        <v>418</v>
      </c>
      <c r="B424" s="48" t="n">
        <f aca="false">ROUNDUP(A424/12,0)</f>
        <v>35</v>
      </c>
      <c r="C424" s="49" t="n">
        <f aca="false">E423*Annahmen!$B$55/12</f>
        <v>1118.22428794087</v>
      </c>
      <c r="D424" s="49" t="n">
        <f aca="false">MIN($C$3-C424,E423)</f>
        <v>2381.77571205914</v>
      </c>
      <c r="E424" s="49" t="n">
        <f aca="false">E423-D424</f>
        <v>534365.882499557</v>
      </c>
      <c r="F424" s="49" t="n">
        <f aca="false">H423*Annahmen!$B$56/12</f>
        <v>1116.31534753182</v>
      </c>
      <c r="G424" s="49" t="n">
        <f aca="false">MIN($F$3-F424,H423)</f>
        <v>2708.68465246818</v>
      </c>
      <c r="H424" s="49" t="n">
        <f aca="false">H423-G424</f>
        <v>443817.454360259</v>
      </c>
      <c r="I424" s="49" t="n">
        <f aca="false">K423*Annahmen!$B$57/12</f>
        <v>2070.05503110698</v>
      </c>
      <c r="J424" s="49" t="n">
        <f aca="false">MIN($I$3-I424,K423)</f>
        <v>8338.30207715324</v>
      </c>
      <c r="K424" s="49" t="n">
        <f aca="false">K423-J424</f>
        <v>612678.207254942</v>
      </c>
      <c r="L424" s="49" t="n">
        <f aca="false">C424+F424+I424</f>
        <v>4304.59466657967</v>
      </c>
      <c r="M424" s="49" t="n">
        <f aca="false">D424+G424+J424</f>
        <v>13428.7624416806</v>
      </c>
      <c r="N424" s="49" t="n">
        <f aca="false">L424+M424</f>
        <v>17733.3571082602</v>
      </c>
      <c r="O424" s="49" t="n">
        <f aca="false">E424+H424+K424</f>
        <v>1590861.54411476</v>
      </c>
    </row>
    <row r="425" customFormat="false" ht="15" hidden="false" customHeight="false" outlineLevel="0" collapsed="false">
      <c r="A425" s="48" t="n">
        <v>419</v>
      </c>
      <c r="B425" s="48" t="n">
        <f aca="false">ROUNDUP(A425/12,0)</f>
        <v>35</v>
      </c>
      <c r="C425" s="49" t="n">
        <f aca="false">E424*Annahmen!$B$55/12</f>
        <v>1113.26225520741</v>
      </c>
      <c r="D425" s="49" t="n">
        <f aca="false">MIN($C$3-C425,E424)</f>
        <v>2386.73774479259</v>
      </c>
      <c r="E425" s="49" t="n">
        <f aca="false">E424-D425</f>
        <v>531979.144754764</v>
      </c>
      <c r="F425" s="49" t="n">
        <f aca="false">H424*Annahmen!$B$56/12</f>
        <v>1109.54363590065</v>
      </c>
      <c r="G425" s="49" t="n">
        <f aca="false">MIN($F$3-F425,H424)</f>
        <v>2715.45636409935</v>
      </c>
      <c r="H425" s="49" t="n">
        <f aca="false">H424-G425</f>
        <v>441101.99799616</v>
      </c>
      <c r="I425" s="49" t="n">
        <f aca="false">K424*Annahmen!$B$57/12</f>
        <v>2042.26069084981</v>
      </c>
      <c r="J425" s="49" t="n">
        <f aca="false">MIN($I$3-I425,K424)</f>
        <v>8366.09641741042</v>
      </c>
      <c r="K425" s="49" t="n">
        <f aca="false">K424-J425</f>
        <v>604312.110837531</v>
      </c>
      <c r="L425" s="49" t="n">
        <f aca="false">C425+F425+I425</f>
        <v>4265.06658195786</v>
      </c>
      <c r="M425" s="49" t="n">
        <f aca="false">D425+G425+J425</f>
        <v>13468.2905263024</v>
      </c>
      <c r="N425" s="49" t="n">
        <f aca="false">L425+M425</f>
        <v>17733.3571082602</v>
      </c>
      <c r="O425" s="49" t="n">
        <f aca="false">E425+H425+K425</f>
        <v>1577393.25358846</v>
      </c>
    </row>
    <row r="426" customFormat="false" ht="15" hidden="false" customHeight="false" outlineLevel="0" collapsed="false">
      <c r="A426" s="48" t="n">
        <v>420</v>
      </c>
      <c r="B426" s="48" t="n">
        <f aca="false">ROUNDUP(A426/12,0)</f>
        <v>35</v>
      </c>
      <c r="C426" s="49" t="n">
        <f aca="false">E425*Annahmen!$B$55/12</f>
        <v>1108.28988490576</v>
      </c>
      <c r="D426" s="49" t="n">
        <f aca="false">MIN($C$3-C426,E425)</f>
        <v>2391.71011509424</v>
      </c>
      <c r="E426" s="49" t="n">
        <f aca="false">E425-D426</f>
        <v>529587.43463967</v>
      </c>
      <c r="F426" s="49" t="n">
        <f aca="false">H425*Annahmen!$B$56/12</f>
        <v>1102.7549949904</v>
      </c>
      <c r="G426" s="49" t="n">
        <f aca="false">MIN($F$3-F426,H425)</f>
        <v>2722.2450050096</v>
      </c>
      <c r="H426" s="49" t="n">
        <f aca="false">H425-G426</f>
        <v>438379.75299115</v>
      </c>
      <c r="I426" s="49" t="n">
        <f aca="false">K425*Annahmen!$B$57/12</f>
        <v>2014.37370279177</v>
      </c>
      <c r="J426" s="49" t="n">
        <f aca="false">MIN($I$3-I426,K425)</f>
        <v>8393.98340546845</v>
      </c>
      <c r="K426" s="49" t="n">
        <f aca="false">K425-J426</f>
        <v>595918.127432063</v>
      </c>
      <c r="L426" s="49" t="n">
        <f aca="false">C426+F426+I426</f>
        <v>4225.41858268793</v>
      </c>
      <c r="M426" s="49" t="n">
        <f aca="false">D426+G426+J426</f>
        <v>13507.9385255723</v>
      </c>
      <c r="N426" s="49" t="n">
        <f aca="false">L426+M426</f>
        <v>17733.3571082602</v>
      </c>
      <c r="O426" s="49" t="n">
        <f aca="false">E426+H426+K426</f>
        <v>1563885.31506288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A45"/>
    <pageSetUpPr fitToPage="tru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3" min="2" style="0" width="18"/>
    <col collapsed="false" customWidth="true" hidden="false" outlineLevel="0" max="4" min="4" style="0" width="46"/>
  </cols>
  <sheetData>
    <row r="1" customFormat="false" ht="19.7" hidden="false" customHeight="false" outlineLevel="0" collapsed="false">
      <c r="A1" s="1" t="s">
        <v>372</v>
      </c>
    </row>
    <row r="2" customFormat="false" ht="15" hidden="false" customHeight="false" outlineLevel="0" collapsed="false">
      <c r="A2" s="2" t="s">
        <v>373</v>
      </c>
    </row>
    <row r="4" customFormat="false" ht="15" hidden="false" customHeight="false" outlineLevel="0" collapsed="false">
      <c r="A4" s="3" t="s">
        <v>374</v>
      </c>
      <c r="B4" s="4" t="s">
        <v>375</v>
      </c>
      <c r="C4" s="4" t="s">
        <v>376</v>
      </c>
      <c r="D4" s="4" t="s">
        <v>233</v>
      </c>
    </row>
    <row r="5" customFormat="false" ht="15" hidden="false" customHeight="false" outlineLevel="0" collapsed="false">
      <c r="A5" s="7" t="s">
        <v>377</v>
      </c>
      <c r="B5" s="33" t="n">
        <f aca="false">'Flächen und Mieten'!F21</f>
        <v>7320.58823529412</v>
      </c>
      <c r="C5" s="33" t="n">
        <f aca="false">B5*12</f>
        <v>87847.0588235294</v>
      </c>
      <c r="D5" s="9"/>
    </row>
    <row r="6" customFormat="false" ht="15" hidden="false" customHeight="false" outlineLevel="0" collapsed="false">
      <c r="A6" s="7" t="s">
        <v>378</v>
      </c>
      <c r="B6" s="33" t="n">
        <f aca="false">'Flächen und Mieten'!F25</f>
        <v>1600</v>
      </c>
      <c r="C6" s="33" t="n">
        <f aca="false">B6*12</f>
        <v>19200</v>
      </c>
      <c r="D6" s="9" t="s">
        <v>379</v>
      </c>
    </row>
    <row r="7" customFormat="false" ht="15" hidden="false" customHeight="false" outlineLevel="0" collapsed="false">
      <c r="A7" s="7" t="s">
        <v>380</v>
      </c>
      <c r="B7" s="33" t="n">
        <f aca="false">'Flächen und Mieten'!F22</f>
        <v>5100</v>
      </c>
      <c r="C7" s="33" t="n">
        <f aca="false">B7*12</f>
        <v>61200</v>
      </c>
      <c r="D7" s="9" t="s">
        <v>381</v>
      </c>
    </row>
    <row r="8" customFormat="false" ht="15" hidden="false" customHeight="false" outlineLevel="0" collapsed="false">
      <c r="A8" s="7" t="s">
        <v>382</v>
      </c>
      <c r="B8" s="50" t="n">
        <f aca="false">-Annahmen!$B$48*(B5+B6+B7)</f>
        <v>-1402.05882352941</v>
      </c>
      <c r="C8" s="50" t="n">
        <f aca="false">B8*12</f>
        <v>-16824.7058823529</v>
      </c>
      <c r="D8" s="9" t="s">
        <v>383</v>
      </c>
    </row>
    <row r="9" customFormat="false" ht="15" hidden="false" customHeight="false" outlineLevel="0" collapsed="false">
      <c r="A9" s="29" t="s">
        <v>384</v>
      </c>
      <c r="B9" s="35" t="n">
        <f aca="false">SUM(B5:B8)</f>
        <v>12618.5294117647</v>
      </c>
      <c r="C9" s="35" t="n">
        <f aca="false">B9*12</f>
        <v>151422.352941176</v>
      </c>
      <c r="D9" s="9"/>
    </row>
    <row r="10" customFormat="false" ht="15" hidden="false" customHeight="false" outlineLevel="0" collapsed="false">
      <c r="A10" s="7" t="s">
        <v>385</v>
      </c>
      <c r="B10" s="33" t="n">
        <f aca="false">'Gastro Betrieb'!C19</f>
        <v>14728.05</v>
      </c>
      <c r="C10" s="33" t="n">
        <f aca="false">B10*12</f>
        <v>176736.6</v>
      </c>
      <c r="D10" s="9" t="s">
        <v>386</v>
      </c>
    </row>
    <row r="11" customFormat="false" ht="15" hidden="false" customHeight="false" outlineLevel="0" collapsed="false">
      <c r="A11" s="29" t="s">
        <v>387</v>
      </c>
      <c r="B11" s="35" t="n">
        <f aca="false">B9+B10</f>
        <v>27346.5794117647</v>
      </c>
      <c r="C11" s="35" t="n">
        <f aca="false">B11*12</f>
        <v>328158.952941176</v>
      </c>
      <c r="D11" s="9"/>
    </row>
    <row r="12" customFormat="false" ht="15" hidden="false" customHeight="false" outlineLevel="0" collapsed="false">
      <c r="A12" s="7" t="s">
        <v>388</v>
      </c>
      <c r="B12" s="50" t="n">
        <f aca="false">-Tilgungsplan!N3</f>
        <v>-17733.3571082602</v>
      </c>
      <c r="C12" s="50" t="n">
        <f aca="false">B12*12</f>
        <v>-212800.285299123</v>
      </c>
      <c r="D12" s="9"/>
    </row>
    <row r="13" customFormat="false" ht="15" hidden="false" customHeight="false" outlineLevel="0" collapsed="false">
      <c r="A13" s="29" t="s">
        <v>38</v>
      </c>
      <c r="B13" s="51" t="n">
        <f aca="false">B11+B12</f>
        <v>9613.22230350448</v>
      </c>
      <c r="C13" s="52" t="n">
        <f aca="false">B13*12</f>
        <v>115358.667642054</v>
      </c>
      <c r="D13" s="9" t="s">
        <v>389</v>
      </c>
    </row>
    <row r="15" customFormat="false" ht="15" hidden="false" customHeight="false" outlineLevel="0" collapsed="false">
      <c r="A15" s="29" t="s">
        <v>39</v>
      </c>
      <c r="B15" s="53" t="n">
        <f aca="false">B11/-B12</f>
        <v>1.54209827529084</v>
      </c>
      <c r="D15" s="9" t="s">
        <v>40</v>
      </c>
    </row>
    <row r="16" customFormat="false" ht="15" hidden="false" customHeight="false" outlineLevel="0" collapsed="false">
      <c r="A16" s="29" t="s">
        <v>390</v>
      </c>
      <c r="B16" s="54" t="n">
        <f aca="false">B9/-B12</f>
        <v>0.711570253434245</v>
      </c>
      <c r="D16" s="9" t="s">
        <v>42</v>
      </c>
    </row>
    <row r="17" customFormat="false" ht="15" hidden="false" customHeight="false" outlineLevel="0" collapsed="false">
      <c r="A17" s="29" t="s">
        <v>391</v>
      </c>
      <c r="B17" s="54" t="n">
        <f aca="false">(B5+B6)*(1-Annahmen!$B$48)/-B12</f>
        <v>0.45273601398491</v>
      </c>
      <c r="D17" s="9" t="s">
        <v>392</v>
      </c>
    </row>
    <row r="18" customFormat="false" ht="15" hidden="false" customHeight="false" outlineLevel="0" collapsed="false">
      <c r="A18" s="7" t="s">
        <v>393</v>
      </c>
      <c r="B18" s="55" t="n">
        <f aca="false">B11/('Tilgung Jahre'!B5/12)</f>
        <v>2.00605076275363</v>
      </c>
    </row>
    <row r="19" customFormat="false" ht="15" hidden="false" customHeight="false" outlineLevel="0" collapsed="false">
      <c r="A19" s="7" t="s">
        <v>394</v>
      </c>
      <c r="B19" s="56" t="n">
        <f aca="false">C9/'Kosten und Finanzierung'!B18</f>
        <v>0.031250061836523</v>
      </c>
    </row>
    <row r="20" customFormat="false" ht="15" hidden="false" customHeight="false" outlineLevel="0" collapsed="false">
      <c r="A20" s="7" t="s">
        <v>395</v>
      </c>
      <c r="B20" s="33" t="n">
        <f aca="false">(-B9-B12+'Flächen und Mieten'!F22+Annahmen!$B$51)/Annahmen!$B$50</f>
        <v>33491.2383491656</v>
      </c>
      <c r="D20" s="9" t="s">
        <v>396</v>
      </c>
    </row>
    <row r="21" customFormat="false" ht="15" hidden="false" customHeight="false" outlineLevel="0" collapsed="false">
      <c r="A21" s="7" t="s">
        <v>397</v>
      </c>
      <c r="B21" s="40" t="n">
        <f aca="false">'Flächen und Mieten'!G25/'Flächen und Mieten'!G26</f>
        <v>0.114117893853577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A45"/>
    <pageSetUpPr fitToPage="tru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1" t="s">
        <v>398</v>
      </c>
    </row>
    <row r="2" customFormat="false" ht="15" hidden="false" customHeight="false" outlineLevel="0" collapsed="false">
      <c r="A2" s="2" t="s">
        <v>399</v>
      </c>
    </row>
    <row r="4" customFormat="false" ht="15" hidden="false" customHeight="false" outlineLevel="0" collapsed="false">
      <c r="A4" s="3" t="s">
        <v>400</v>
      </c>
      <c r="B4" s="4" t="s">
        <v>281</v>
      </c>
      <c r="C4" s="4" t="s">
        <v>401</v>
      </c>
      <c r="D4" s="4" t="s">
        <v>233</v>
      </c>
    </row>
    <row r="5" customFormat="false" ht="15" hidden="false" customHeight="false" outlineLevel="0" collapsed="false">
      <c r="A5" s="29" t="s">
        <v>402</v>
      </c>
      <c r="B5" s="7"/>
      <c r="C5" s="10" t="n">
        <f aca="false">Annahmen!$B$49</f>
        <v>65010</v>
      </c>
    </row>
    <row r="6" customFormat="false" ht="15" hidden="false" customHeight="false" outlineLevel="0" collapsed="false">
      <c r="A6" s="7" t="s">
        <v>403</v>
      </c>
      <c r="B6" s="20" t="n">
        <v>0.28</v>
      </c>
      <c r="C6" s="33" t="n">
        <f aca="false">-$C$5*B6</f>
        <v>-18202.8</v>
      </c>
    </row>
    <row r="7" customFormat="false" ht="15" hidden="false" customHeight="false" outlineLevel="0" collapsed="false">
      <c r="A7" s="7" t="s">
        <v>404</v>
      </c>
      <c r="B7" s="20" t="n">
        <v>0.3</v>
      </c>
      <c r="C7" s="33" t="n">
        <f aca="false">-$C$5*B7</f>
        <v>-19503</v>
      </c>
    </row>
    <row r="8" customFormat="false" ht="15" hidden="false" customHeight="false" outlineLevel="0" collapsed="false">
      <c r="A8" s="7" t="s">
        <v>405</v>
      </c>
      <c r="B8" s="20" t="n">
        <v>0.03</v>
      </c>
      <c r="C8" s="33" t="n">
        <f aca="false">-$C$5*B8</f>
        <v>-1950.3</v>
      </c>
    </row>
    <row r="9" customFormat="false" ht="15" hidden="false" customHeight="false" outlineLevel="0" collapsed="false">
      <c r="A9" s="7" t="s">
        <v>406</v>
      </c>
      <c r="B9" s="20" t="n">
        <v>0.02</v>
      </c>
      <c r="C9" s="33" t="n">
        <f aca="false">-$C$5*B9</f>
        <v>-1300.2</v>
      </c>
    </row>
    <row r="10" customFormat="false" ht="15" hidden="false" customHeight="false" outlineLevel="0" collapsed="false">
      <c r="A10" s="7" t="s">
        <v>407</v>
      </c>
      <c r="B10" s="20" t="n">
        <v>0.015</v>
      </c>
      <c r="C10" s="33" t="n">
        <f aca="false">-$C$5*B10</f>
        <v>-975.15</v>
      </c>
    </row>
    <row r="11" customFormat="false" ht="15" hidden="false" customHeight="false" outlineLevel="0" collapsed="false">
      <c r="A11" s="7" t="s">
        <v>408</v>
      </c>
      <c r="B11" s="20" t="n">
        <v>0.015</v>
      </c>
      <c r="C11" s="33" t="n">
        <f aca="false">-$C$5*B11</f>
        <v>-975.15</v>
      </c>
    </row>
    <row r="12" customFormat="false" ht="15" hidden="false" customHeight="false" outlineLevel="0" collapsed="false">
      <c r="A12" s="7" t="s">
        <v>409</v>
      </c>
      <c r="B12" s="20" t="n">
        <v>0.015</v>
      </c>
      <c r="C12" s="33" t="n">
        <f aca="false">-$C$5*B12</f>
        <v>-975.15</v>
      </c>
    </row>
    <row r="13" customFormat="false" ht="15" hidden="false" customHeight="false" outlineLevel="0" collapsed="false">
      <c r="A13" s="7" t="s">
        <v>410</v>
      </c>
      <c r="B13" s="20" t="n">
        <v>0.01</v>
      </c>
      <c r="C13" s="33" t="n">
        <f aca="false">-$C$5*B13</f>
        <v>-650.1</v>
      </c>
    </row>
    <row r="14" customFormat="false" ht="15" hidden="false" customHeight="false" outlineLevel="0" collapsed="false">
      <c r="A14" s="7" t="s">
        <v>411</v>
      </c>
      <c r="B14" s="20" t="n">
        <v>0.01</v>
      </c>
      <c r="C14" s="33" t="n">
        <f aca="false">-$C$5*B14</f>
        <v>-650.1</v>
      </c>
    </row>
    <row r="15" customFormat="false" ht="15" hidden="false" customHeight="false" outlineLevel="0" collapsed="false">
      <c r="A15" s="29" t="s">
        <v>412</v>
      </c>
      <c r="B15" s="42" t="n">
        <f aca="false">SUM(B6:B14)</f>
        <v>0.695</v>
      </c>
      <c r="C15" s="35" t="n">
        <f aca="false">SUM(C6:C14)</f>
        <v>-45181.95</v>
      </c>
    </row>
    <row r="16" customFormat="false" ht="15" hidden="false" customHeight="false" outlineLevel="0" collapsed="false">
      <c r="A16" s="29" t="s">
        <v>413</v>
      </c>
      <c r="B16" s="42" t="n">
        <f aca="false">1-B15</f>
        <v>0.305</v>
      </c>
      <c r="C16" s="35" t="n">
        <f aca="false">C5+C15</f>
        <v>19828.05</v>
      </c>
      <c r="D16" s="9" t="s">
        <v>414</v>
      </c>
    </row>
    <row r="17" customFormat="false" ht="15" hidden="false" customHeight="false" outlineLevel="0" collapsed="false">
      <c r="A17" s="7" t="s">
        <v>415</v>
      </c>
      <c r="C17" s="33" t="n">
        <f aca="false">-'Flächen und Mieten'!F22</f>
        <v>-5100</v>
      </c>
    </row>
    <row r="18" customFormat="false" ht="15" hidden="false" customHeight="false" outlineLevel="0" collapsed="false">
      <c r="A18" s="7" t="s">
        <v>416</v>
      </c>
      <c r="C18" s="10" t="n">
        <f aca="false">-Annahmen!$B$51</f>
        <v>-0</v>
      </c>
    </row>
    <row r="19" customFormat="false" ht="15" hidden="false" customHeight="false" outlineLevel="0" collapsed="false">
      <c r="A19" s="29" t="s">
        <v>417</v>
      </c>
      <c r="C19" s="46" t="n">
        <f aca="false">C16+C17+C18</f>
        <v>14728.05</v>
      </c>
    </row>
    <row r="20" customFormat="false" ht="15" hidden="false" customHeight="false" outlineLevel="0" collapsed="false">
      <c r="A20" s="7" t="s">
        <v>418</v>
      </c>
      <c r="C20" s="33" t="n">
        <f aca="false">('Flächen und Mieten'!F22+Annahmen!$B$51)/B16</f>
        <v>16721.3114754098</v>
      </c>
    </row>
    <row r="23" customFormat="false" ht="15" hidden="false" customHeight="false" outlineLevel="0" collapsed="false">
      <c r="A23" s="3" t="s">
        <v>419</v>
      </c>
      <c r="B23" s="4"/>
      <c r="C23" s="4" t="s">
        <v>413</v>
      </c>
      <c r="D23" s="4" t="s">
        <v>420</v>
      </c>
    </row>
    <row r="24" customFormat="false" ht="15" hidden="false" customHeight="false" outlineLevel="0" collapsed="false">
      <c r="A24" s="19" t="n">
        <v>40000</v>
      </c>
      <c r="C24" s="33" t="n">
        <f aca="false">A24*$B$16</f>
        <v>12200</v>
      </c>
      <c r="D24" s="50" t="n">
        <f aca="false">C24-'Flächen und Mieten'!$F$22-Annahmen!$B$51</f>
        <v>7100</v>
      </c>
    </row>
    <row r="25" customFormat="false" ht="15" hidden="false" customHeight="false" outlineLevel="0" collapsed="false">
      <c r="A25" s="19" t="n">
        <v>50000</v>
      </c>
      <c r="C25" s="33" t="n">
        <f aca="false">A25*$B$16</f>
        <v>15250</v>
      </c>
      <c r="D25" s="50" t="n">
        <f aca="false">C25-'Flächen und Mieten'!$F$22-Annahmen!$B$51</f>
        <v>10150</v>
      </c>
    </row>
    <row r="26" customFormat="false" ht="15" hidden="false" customHeight="false" outlineLevel="0" collapsed="false">
      <c r="A26" s="19" t="n">
        <f aca="false">Annahmen!$B$49</f>
        <v>65010</v>
      </c>
      <c r="C26" s="33" t="n">
        <f aca="false">A26*$B$16</f>
        <v>19828.05</v>
      </c>
      <c r="D26" s="50" t="n">
        <f aca="false">C26-'Flächen und Mieten'!$F$22-Annahmen!$B$51</f>
        <v>14728.05</v>
      </c>
    </row>
    <row r="27" customFormat="false" ht="15" hidden="false" customHeight="false" outlineLevel="0" collapsed="false">
      <c r="A27" s="19" t="n">
        <v>80000</v>
      </c>
      <c r="C27" s="33" t="n">
        <f aca="false">A27*$B$16</f>
        <v>24400</v>
      </c>
      <c r="D27" s="50" t="n">
        <f aca="false">C27-'Flächen und Mieten'!$F$22-Annahmen!$B$51</f>
        <v>19300</v>
      </c>
    </row>
    <row r="28" customFormat="false" ht="15" hidden="false" customHeight="false" outlineLevel="0" collapsed="false">
      <c r="A28" s="19" t="n">
        <v>95000</v>
      </c>
      <c r="C28" s="33" t="n">
        <f aca="false">A28*$B$16</f>
        <v>28975</v>
      </c>
      <c r="D28" s="50" t="n">
        <f aca="false">C28-'Flächen und Mieten'!$F$22-Annahmen!$B$51</f>
        <v>23875</v>
      </c>
    </row>
    <row r="30" customFormat="false" ht="15" hidden="false" customHeight="false" outlineLevel="0" collapsed="false">
      <c r="A30" s="16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A45"/>
    <pageSetUpPr fitToPage="tru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422</v>
      </c>
    </row>
    <row r="2" customFormat="false" ht="15" hidden="false" customHeight="false" outlineLevel="0" collapsed="false">
      <c r="A2" s="2" t="s">
        <v>423</v>
      </c>
    </row>
    <row r="4" customFormat="false" ht="15" hidden="false" customHeight="false" outlineLevel="0" collapsed="false">
      <c r="A4" s="3" t="s">
        <v>424</v>
      </c>
      <c r="B4" s="4" t="s">
        <v>425</v>
      </c>
      <c r="C4" s="4" t="s">
        <v>426</v>
      </c>
      <c r="D4" s="4" t="s">
        <v>427</v>
      </c>
      <c r="E4" s="4" t="s">
        <v>428</v>
      </c>
      <c r="F4" s="4" t="s">
        <v>429</v>
      </c>
      <c r="G4" s="4" t="s">
        <v>281</v>
      </c>
    </row>
    <row r="5" customFormat="false" ht="15" hidden="false" customHeight="false" outlineLevel="0" collapsed="false">
      <c r="A5" s="7" t="s">
        <v>430</v>
      </c>
      <c r="B5" s="9" t="s">
        <v>431</v>
      </c>
      <c r="C5" s="57" t="n">
        <v>17</v>
      </c>
      <c r="D5" s="57" t="n">
        <v>30</v>
      </c>
      <c r="E5" s="19" t="n">
        <v>11</v>
      </c>
      <c r="F5" s="33" t="n">
        <f aca="false">C5*D5*E5</f>
        <v>5610</v>
      </c>
      <c r="G5" s="40" t="n">
        <f aca="false">F5/$F$14</f>
        <v>0.0862944162436548</v>
      </c>
    </row>
    <row r="6" customFormat="false" ht="15" hidden="false" customHeight="false" outlineLevel="0" collapsed="false">
      <c r="A6" s="7" t="s">
        <v>432</v>
      </c>
      <c r="B6" s="9" t="s">
        <v>433</v>
      </c>
      <c r="C6" s="57" t="n">
        <v>9</v>
      </c>
      <c r="D6" s="57" t="n">
        <v>60</v>
      </c>
      <c r="E6" s="19" t="n">
        <v>14</v>
      </c>
      <c r="F6" s="33" t="n">
        <f aca="false">C6*D6*E6</f>
        <v>7560</v>
      </c>
      <c r="G6" s="40" t="n">
        <f aca="false">F6/$F$14</f>
        <v>0.116289801568989</v>
      </c>
    </row>
    <row r="7" customFormat="false" ht="15" hidden="false" customHeight="false" outlineLevel="0" collapsed="false">
      <c r="A7" s="7" t="s">
        <v>434</v>
      </c>
      <c r="B7" s="9" t="s">
        <v>435</v>
      </c>
      <c r="C7" s="57" t="n">
        <v>17</v>
      </c>
      <c r="D7" s="57" t="n">
        <v>40</v>
      </c>
      <c r="E7" s="19" t="n">
        <v>13</v>
      </c>
      <c r="F7" s="33" t="n">
        <f aca="false">C7*D7*E7</f>
        <v>8840</v>
      </c>
      <c r="G7" s="40" t="n">
        <f aca="false">F7/$F$14</f>
        <v>0.135979080141517</v>
      </c>
    </row>
    <row r="8" customFormat="false" ht="15" hidden="false" customHeight="false" outlineLevel="0" collapsed="false">
      <c r="A8" s="7" t="s">
        <v>436</v>
      </c>
      <c r="B8" s="9" t="s">
        <v>437</v>
      </c>
      <c r="C8" s="57" t="n">
        <v>26</v>
      </c>
      <c r="D8" s="57" t="n">
        <v>20</v>
      </c>
      <c r="E8" s="19" t="n">
        <v>7</v>
      </c>
      <c r="F8" s="33" t="n">
        <f aca="false">C8*D8*E8</f>
        <v>3640</v>
      </c>
      <c r="G8" s="40" t="n">
        <f aca="false">F8/$F$14</f>
        <v>0.0559913859406245</v>
      </c>
    </row>
    <row r="9" customFormat="false" ht="15" hidden="false" customHeight="false" outlineLevel="0" collapsed="false">
      <c r="A9" s="7" t="s">
        <v>438</v>
      </c>
      <c r="B9" s="9" t="s">
        <v>439</v>
      </c>
      <c r="C9" s="57" t="n">
        <v>17</v>
      </c>
      <c r="D9" s="57" t="n">
        <v>35</v>
      </c>
      <c r="E9" s="19" t="n">
        <v>20</v>
      </c>
      <c r="F9" s="33" t="n">
        <f aca="false">C9*D9*E9</f>
        <v>11900</v>
      </c>
      <c r="G9" s="40" t="n">
        <f aca="false">F9/$F$14</f>
        <v>0.183048761728965</v>
      </c>
    </row>
    <row r="10" customFormat="false" ht="15" hidden="false" customHeight="false" outlineLevel="0" collapsed="false">
      <c r="A10" s="7" t="s">
        <v>440</v>
      </c>
      <c r="B10" s="9" t="s">
        <v>441</v>
      </c>
      <c r="C10" s="57" t="n">
        <v>9</v>
      </c>
      <c r="D10" s="57" t="n">
        <v>90</v>
      </c>
      <c r="E10" s="19" t="n">
        <v>26</v>
      </c>
      <c r="F10" s="33" t="n">
        <f aca="false">C10*D10*E10</f>
        <v>21060</v>
      </c>
      <c r="G10" s="40" t="n">
        <f aca="false">F10/$F$14</f>
        <v>0.323950161513613</v>
      </c>
    </row>
    <row r="11" customFormat="false" ht="15" hidden="false" customHeight="false" outlineLevel="0" collapsed="false">
      <c r="A11" s="7" t="s">
        <v>442</v>
      </c>
      <c r="B11" s="9" t="s">
        <v>443</v>
      </c>
      <c r="C11" s="57" t="n">
        <v>4</v>
      </c>
      <c r="D11" s="57" t="n">
        <v>40</v>
      </c>
      <c r="E11" s="19" t="n">
        <v>40</v>
      </c>
      <c r="F11" s="33" t="n">
        <f aca="false">C11*D11*E11</f>
        <v>6400</v>
      </c>
      <c r="G11" s="40" t="n">
        <f aca="false">F11/$F$14</f>
        <v>0.0984463928626365</v>
      </c>
    </row>
    <row r="14" customFormat="false" ht="15" hidden="false" customHeight="false" outlineLevel="0" collapsed="false">
      <c r="A14" s="29" t="s">
        <v>444</v>
      </c>
      <c r="F14" s="46" t="n">
        <f aca="false">SUM(F5:F11)</f>
        <v>65010</v>
      </c>
      <c r="G14" s="42" t="n">
        <f aca="false">SUM(G5:G11)</f>
        <v>1</v>
      </c>
    </row>
    <row r="15" customFormat="false" ht="15" hidden="false" customHeight="false" outlineLevel="0" collapsed="false">
      <c r="A15" s="7" t="s">
        <v>445</v>
      </c>
      <c r="F15" s="33" t="n">
        <f aca="false">SUM(F5:F8)</f>
        <v>25650</v>
      </c>
      <c r="G15" s="40" t="n">
        <f aca="false">F15/F14</f>
        <v>0.394554683894785</v>
      </c>
    </row>
    <row r="16" customFormat="false" ht="15" hidden="false" customHeight="false" outlineLevel="0" collapsed="false">
      <c r="A16" s="29" t="s">
        <v>446</v>
      </c>
      <c r="F16" s="35" t="n">
        <f aca="false">SUM(F9:F11)</f>
        <v>39360</v>
      </c>
      <c r="G16" s="42" t="n">
        <f aca="false">F16/F14</f>
        <v>0.605445316105215</v>
      </c>
    </row>
    <row r="17" customFormat="false" ht="15" hidden="false" customHeight="false" outlineLevel="0" collapsed="false">
      <c r="A17" s="7" t="s">
        <v>447</v>
      </c>
      <c r="F17" s="28" t="n">
        <f aca="false">SUMPRODUCT(C5:C11,D5:D11)</f>
        <v>3815</v>
      </c>
    </row>
    <row r="18" customFormat="false" ht="15" hidden="false" customHeight="false" outlineLevel="0" collapsed="false">
      <c r="A18" s="7" t="s">
        <v>448</v>
      </c>
      <c r="F18" s="33" t="n">
        <f aca="false">F14*12/(Annahmen!$B$36+Annahmen!$B$37)</f>
        <v>4105.89473684211</v>
      </c>
      <c r="G18" s="9"/>
    </row>
    <row r="19" customFormat="false" ht="15" hidden="false" customHeight="false" outlineLevel="0" collapsed="false">
      <c r="A19" s="7" t="s">
        <v>449</v>
      </c>
      <c r="F19" s="40" t="n">
        <f aca="false">D10/(Annahmen!$B$36+Annahmen!$B$37)</f>
        <v>0.473684210526316</v>
      </c>
    </row>
    <row r="21" customFormat="false" ht="15" hidden="false" customHeight="false" outlineLevel="0" collapsed="false">
      <c r="A21" s="16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A45"/>
    <pageSetUpPr fitToPage="tru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451</v>
      </c>
    </row>
    <row r="2" customFormat="false" ht="15" hidden="false" customHeight="false" outlineLevel="0" collapsed="false">
      <c r="A2" s="2" t="s">
        <v>452</v>
      </c>
    </row>
    <row r="4" customFormat="false" ht="15" hidden="false" customHeight="false" outlineLevel="0" collapsed="false">
      <c r="A4" s="3" t="s">
        <v>453</v>
      </c>
      <c r="B4" s="4" t="s">
        <v>203</v>
      </c>
      <c r="C4" s="4" t="s">
        <v>454</v>
      </c>
      <c r="D4" s="4" t="s">
        <v>199</v>
      </c>
      <c r="E4" s="4" t="s">
        <v>204</v>
      </c>
      <c r="F4" s="4" t="s">
        <v>233</v>
      </c>
    </row>
    <row r="5" customFormat="false" ht="15" hidden="false" customHeight="false" outlineLevel="0" collapsed="false">
      <c r="A5" s="29" t="s">
        <v>455</v>
      </c>
      <c r="B5" s="33" t="n">
        <f aca="false">'Flächen und Mieten'!G20</f>
        <v>87847.0588235294</v>
      </c>
      <c r="C5" s="33" t="n">
        <f aca="false">'Flächen und Mieten'!G25</f>
        <v>19200</v>
      </c>
      <c r="D5" s="33" t="n">
        <f aca="false">'Flächen und Mieten'!G22</f>
        <v>61200</v>
      </c>
      <c r="E5" s="35" t="n">
        <f aca="false">SUM(B5:D5)</f>
        <v>168247.058823529</v>
      </c>
    </row>
    <row r="6" customFormat="false" ht="15" hidden="false" customHeight="false" outlineLevel="0" collapsed="false">
      <c r="A6" s="7" t="s">
        <v>456</v>
      </c>
      <c r="B6" s="33" t="n">
        <f aca="false">-(Annahmen!$B$24+Annahmen!$B$26)*Annahmen!$B$69</f>
        <v>-2880</v>
      </c>
      <c r="C6" s="33" t="n">
        <f aca="false">-C5*Annahmen!$B$72</f>
        <v>-576</v>
      </c>
      <c r="D6" s="33" t="n">
        <f aca="false">-D5*Annahmen!$B$72</f>
        <v>-1836</v>
      </c>
    </row>
    <row r="7" customFormat="false" ht="15" hidden="false" customHeight="false" outlineLevel="0" collapsed="false">
      <c r="A7" s="7" t="s">
        <v>457</v>
      </c>
      <c r="B7" s="33" t="n">
        <f aca="false">-(Annahmen!$B$23+Annahmen!$B$25)*Annahmen!$B$70</f>
        <v>-7860</v>
      </c>
      <c r="C7" s="33" t="n">
        <f aca="false">-(Annahmen!$B$29+Annahmen!$B$31)*Annahmen!$B$73</f>
        <v>-1320</v>
      </c>
      <c r="D7" s="33" t="n">
        <f aca="false">-Annahmen!$B$21*Annahmen!$B$73</f>
        <v>-4080</v>
      </c>
    </row>
    <row r="8" customFormat="false" ht="15" hidden="false" customHeight="false" outlineLevel="0" collapsed="false">
      <c r="A8" s="7" t="s">
        <v>458</v>
      </c>
      <c r="B8" s="33" t="n">
        <f aca="false">-B5*Annahmen!$B$71</f>
        <v>-1756.94117647059</v>
      </c>
      <c r="C8" s="33" t="n">
        <f aca="false">-C5*Annahmen!$B$75</f>
        <v>-384</v>
      </c>
      <c r="D8" s="33" t="n">
        <f aca="false">-D5*Annahmen!$B$74</f>
        <v>-2448</v>
      </c>
    </row>
    <row r="9" customFormat="false" ht="15" hidden="false" customHeight="false" outlineLevel="0" collapsed="false">
      <c r="A9" s="29" t="s">
        <v>459</v>
      </c>
      <c r="B9" s="35" t="n">
        <f aca="false">SUM(B6:B8)</f>
        <v>-12496.9411764706</v>
      </c>
      <c r="C9" s="35" t="n">
        <f aca="false">SUM(C6:C8)</f>
        <v>-2280</v>
      </c>
      <c r="D9" s="35" t="n">
        <f aca="false">SUM(D6:D8)</f>
        <v>-8364</v>
      </c>
      <c r="E9" s="35" t="n">
        <f aca="false">SUM(B9:D9)</f>
        <v>-23140.9411764706</v>
      </c>
    </row>
    <row r="10" customFormat="false" ht="15" hidden="false" customHeight="false" outlineLevel="0" collapsed="false">
      <c r="A10" s="29" t="s">
        <v>460</v>
      </c>
      <c r="B10" s="35" t="n">
        <f aca="false">B5+B9</f>
        <v>75350.1176470588</v>
      </c>
      <c r="C10" s="35" t="n">
        <f aca="false">C5+C9</f>
        <v>16920</v>
      </c>
      <c r="D10" s="35" t="n">
        <f aca="false">D5+D9</f>
        <v>52836</v>
      </c>
      <c r="E10" s="35" t="n">
        <f aca="false">SUM(B10:D10)</f>
        <v>145106.117647059</v>
      </c>
    </row>
    <row r="11" customFormat="false" ht="15" hidden="false" customHeight="false" outlineLevel="0" collapsed="false">
      <c r="A11" s="7" t="s">
        <v>461</v>
      </c>
      <c r="B11" s="40" t="n">
        <f aca="false">(Annahmen!$B$23+Annahmen!$B$25)/((Annahmen!$B$23+Annahmen!$B$25)+Annahmen!$B$29+Annahmen!$B$31+Annahmen!$B$21)</f>
        <v>0.492481203007519</v>
      </c>
      <c r="C11" s="40" t="n">
        <f aca="false">(Annahmen!$B$29+Annahmen!$B$31)/((Annahmen!$B$23+Annahmen!$B$25)+Annahmen!$B$29+Annahmen!$B$31+Annahmen!$B$21)</f>
        <v>0.12406015037594</v>
      </c>
      <c r="D11" s="40" t="n">
        <f aca="false">1-B11-C11</f>
        <v>0.383458646616541</v>
      </c>
      <c r="E11" s="40" t="n">
        <f aca="false">SUM(B11:D11)</f>
        <v>1</v>
      </c>
    </row>
    <row r="12" customFormat="false" ht="15" hidden="false" customHeight="false" outlineLevel="0" collapsed="false">
      <c r="A12" s="7" t="s">
        <v>462</v>
      </c>
      <c r="B12" s="33" t="n">
        <f aca="false">$E$12*B11</f>
        <v>108739.84962406</v>
      </c>
      <c r="C12" s="33" t="n">
        <f aca="false">$E$12*C11</f>
        <v>27392.4812030075</v>
      </c>
      <c r="D12" s="33" t="n">
        <f aca="false">$E$12*D11</f>
        <v>84667.6691729323</v>
      </c>
      <c r="E12" s="35" t="n">
        <f aca="false">Annahmen!$B$5*Annahmen!$B$6</f>
        <v>220800</v>
      </c>
    </row>
    <row r="13" customFormat="false" ht="15" hidden="false" customHeight="false" outlineLevel="0" collapsed="false">
      <c r="A13" s="7" t="s">
        <v>463</v>
      </c>
      <c r="B13" s="12" t="n">
        <f aca="false">Annahmen!$B$64</f>
        <v>0.04</v>
      </c>
      <c r="C13" s="12" t="n">
        <f aca="false">Annahmen!$B$65</f>
        <v>0.06</v>
      </c>
      <c r="D13" s="12" t="n">
        <f aca="false">Annahmen!$B$66</f>
        <v>0.065</v>
      </c>
    </row>
    <row r="14" customFormat="false" ht="15" hidden="false" customHeight="false" outlineLevel="0" collapsed="false">
      <c r="A14" s="7" t="s">
        <v>464</v>
      </c>
      <c r="B14" s="33" t="n">
        <f aca="false">-B12*B13</f>
        <v>-4349.59398496241</v>
      </c>
      <c r="C14" s="33" t="n">
        <f aca="false">-C12*C13</f>
        <v>-1643.54887218045</v>
      </c>
      <c r="D14" s="33" t="n">
        <f aca="false">-D12*D13</f>
        <v>-5503.3984962406</v>
      </c>
    </row>
    <row r="15" customFormat="false" ht="15" hidden="false" customHeight="false" outlineLevel="0" collapsed="false">
      <c r="A15" s="7" t="s">
        <v>465</v>
      </c>
      <c r="B15" s="33" t="n">
        <f aca="false">B10+B14</f>
        <v>71000.5236620964</v>
      </c>
      <c r="C15" s="33" t="n">
        <f aca="false">C10+C14</f>
        <v>15276.4511278196</v>
      </c>
      <c r="D15" s="33" t="n">
        <f aca="false">D10+D14</f>
        <v>47332.6015037594</v>
      </c>
      <c r="E15" s="33" t="n">
        <f aca="false">SUM(B15:D15)</f>
        <v>133609.576293675</v>
      </c>
    </row>
    <row r="16" customFormat="false" ht="15" hidden="false" customHeight="false" outlineLevel="0" collapsed="false">
      <c r="A16" s="7" t="s">
        <v>466</v>
      </c>
      <c r="B16" s="8" t="n">
        <f aca="false">Annahmen!$B$67</f>
        <v>80</v>
      </c>
      <c r="C16" s="8" t="n">
        <f aca="false">Annahmen!$B$68</f>
        <v>60</v>
      </c>
      <c r="D16" s="8" t="n">
        <f aca="false">Annahmen!$B$68</f>
        <v>60</v>
      </c>
    </row>
    <row r="17" customFormat="false" ht="15" hidden="false" customHeight="false" outlineLevel="0" collapsed="false">
      <c r="A17" s="7" t="s">
        <v>467</v>
      </c>
      <c r="B17" s="39" t="n">
        <f aca="false">((1+B13)^B16-1)/(B13*(1+B13)^B16)</f>
        <v>23.915391846835</v>
      </c>
      <c r="C17" s="39" t="n">
        <f aca="false">((1+C13)^C16-1)/(C13*(1+C13)^C16)</f>
        <v>16.161427705238</v>
      </c>
      <c r="D17" s="39" t="n">
        <f aca="false">((1+D13)^D16-1)/(D13*(1+D13)^D16)</f>
        <v>15.0329657448345</v>
      </c>
      <c r="E17" s="39" t="n">
        <f aca="false">E18/E15</f>
        <v>19.882137612542</v>
      </c>
      <c r="F17" s="9" t="s">
        <v>468</v>
      </c>
    </row>
    <row r="18" customFormat="false" ht="15" hidden="false" customHeight="false" outlineLevel="0" collapsed="false">
      <c r="A18" s="29" t="s">
        <v>469</v>
      </c>
      <c r="B18" s="35" t="n">
        <f aca="false">B15*B17</f>
        <v>1698005.34470951</v>
      </c>
      <c r="C18" s="35" t="n">
        <f aca="false">C15*C17</f>
        <v>246889.260494858</v>
      </c>
      <c r="D18" s="35" t="n">
        <f aca="false">D15*D17</f>
        <v>711549.377019915</v>
      </c>
      <c r="E18" s="35" t="n">
        <f aca="false">SUM(B18:D18)</f>
        <v>2656443.98222429</v>
      </c>
    </row>
    <row r="19" customFormat="false" ht="15" hidden="false" customHeight="false" outlineLevel="0" collapsed="false">
      <c r="A19" s="29" t="s">
        <v>470</v>
      </c>
      <c r="B19" s="46" t="n">
        <f aca="false">B18+B12</f>
        <v>1806745.19433357</v>
      </c>
      <c r="C19" s="46" t="n">
        <f aca="false">C18+C12</f>
        <v>274281.741697865</v>
      </c>
      <c r="D19" s="46" t="n">
        <f aca="false">D18+D12</f>
        <v>796217.046192847</v>
      </c>
      <c r="E19" s="46" t="n">
        <f aca="false">SUM(B19:D19)</f>
        <v>2877243.98222429</v>
      </c>
    </row>
    <row r="22" customFormat="false" ht="15" hidden="false" customHeight="false" outlineLevel="0" collapsed="false">
      <c r="A22" s="3" t="s">
        <v>471</v>
      </c>
      <c r="B22" s="4" t="s">
        <v>280</v>
      </c>
      <c r="C22" s="4"/>
      <c r="D22" s="4"/>
      <c r="E22" s="4"/>
      <c r="F22" s="4" t="s">
        <v>282</v>
      </c>
    </row>
    <row r="23" customFormat="false" ht="15" hidden="false" customHeight="false" outlineLevel="0" collapsed="false">
      <c r="A23" s="7" t="s">
        <v>472</v>
      </c>
      <c r="B23" s="33" t="n">
        <f aca="false">E12+'Kosten und Finanzierung'!B12+'Kosten und Finanzierung'!B13+'Kosten und Finanzierung'!B14</f>
        <v>4325625.525</v>
      </c>
      <c r="F23" s="9" t="s">
        <v>473</v>
      </c>
    </row>
    <row r="24" customFormat="false" ht="15" hidden="false" customHeight="false" outlineLevel="0" collapsed="false">
      <c r="A24" s="7" t="s">
        <v>45</v>
      </c>
      <c r="B24" s="33" t="n">
        <f aca="false">E19</f>
        <v>2877243.98222429</v>
      </c>
      <c r="F24" s="9"/>
    </row>
    <row r="25" customFormat="false" ht="15" hidden="false" customHeight="false" outlineLevel="0" collapsed="false">
      <c r="A25" s="7" t="s">
        <v>474</v>
      </c>
      <c r="B25" s="33" t="n">
        <f aca="false">MIN(B23,B24)</f>
        <v>2877243.98222429</v>
      </c>
      <c r="F25" s="9" t="s">
        <v>475</v>
      </c>
    </row>
    <row r="26" customFormat="false" ht="15" hidden="false" customHeight="false" outlineLevel="0" collapsed="false">
      <c r="A26" s="29" t="s">
        <v>476</v>
      </c>
      <c r="B26" s="46" t="n">
        <f aca="false">B25*(1-Annahmen!$B$76)</f>
        <v>2589519.58400186</v>
      </c>
      <c r="F26" s="9" t="s">
        <v>477</v>
      </c>
    </row>
    <row r="27" customFormat="false" ht="15" hidden="false" customHeight="false" outlineLevel="0" collapsed="false">
      <c r="A27" s="7" t="s">
        <v>298</v>
      </c>
      <c r="B27" s="33" t="n">
        <f aca="false">'Kosten und Finanzierung'!B18</f>
        <v>4845505.70598245</v>
      </c>
      <c r="F27" s="9"/>
    </row>
    <row r="28" customFormat="false" ht="15" hidden="false" customHeight="false" outlineLevel="0" collapsed="false">
      <c r="A28" s="7" t="s">
        <v>478</v>
      </c>
      <c r="B28" s="33" t="n">
        <f aca="false">'Kosten und Finanzierung'!B29</f>
        <v>4845505.70598245</v>
      </c>
      <c r="F28" s="9"/>
    </row>
    <row r="29" customFormat="false" ht="15" hidden="false" customHeight="false" outlineLevel="0" collapsed="false">
      <c r="A29" s="29" t="s">
        <v>479</v>
      </c>
      <c r="B29" s="44" t="n">
        <f aca="false">B28/B26</f>
        <v>1.87119871033923</v>
      </c>
      <c r="F29" s="9" t="s">
        <v>480</v>
      </c>
    </row>
    <row r="30" customFormat="false" ht="15" hidden="false" customHeight="false" outlineLevel="0" collapsed="false">
      <c r="A30" s="7" t="s">
        <v>481</v>
      </c>
      <c r="B30" s="40" t="n">
        <f aca="false">('Kosten und Finanzierung'!B24+'Kosten und Finanzierung'!B25+'Kosten und Finanzierung'!B26)/B26</f>
        <v>0.906538809168673</v>
      </c>
      <c r="F30" s="9"/>
    </row>
    <row r="31" customFormat="false" ht="15" hidden="false" customHeight="false" outlineLevel="0" collapsed="false">
      <c r="A31" s="29" t="s">
        <v>482</v>
      </c>
      <c r="B31" s="52" t="n">
        <f aca="false">E19-B27</f>
        <v>-1968261.72375817</v>
      </c>
      <c r="F31" s="9" t="s">
        <v>483</v>
      </c>
    </row>
    <row r="32" customFormat="false" ht="15" hidden="false" customHeight="false" outlineLevel="0" collapsed="false">
      <c r="A32" s="7" t="s">
        <v>484</v>
      </c>
      <c r="B32" s="33" t="n">
        <f aca="false">MAX(0,B28-0.8*B26)</f>
        <v>2773890.03878097</v>
      </c>
      <c r="F32" s="9" t="s">
        <v>485</v>
      </c>
    </row>
    <row r="33" customFormat="false" ht="15" hidden="false" customHeight="false" outlineLevel="0" collapsed="false">
      <c r="A33" s="7" t="s">
        <v>486</v>
      </c>
      <c r="B33" s="31" t="n">
        <f aca="false">E19/E5</f>
        <v>17.1013032997038</v>
      </c>
      <c r="F33" s="9" t="s">
        <v>487</v>
      </c>
    </row>
    <row r="34" customFormat="false" ht="15" hidden="false" customHeight="false" outlineLevel="0" collapsed="false">
      <c r="A34" s="7" t="s">
        <v>488</v>
      </c>
      <c r="B34" s="31" t="n">
        <f aca="false">B27/E5</f>
        <v>28.7999430115732</v>
      </c>
      <c r="F34" s="9"/>
    </row>
    <row r="36" customFormat="false" ht="15" hidden="false" customHeight="false" outlineLevel="0" collapsed="false">
      <c r="A36" s="16" t="s">
        <v>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A45"/>
    <pageSetUpPr fitToPage="tru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3"/>
  </cols>
  <sheetData>
    <row r="1" customFormat="false" ht="19.7" hidden="false" customHeight="false" outlineLevel="0" collapsed="false">
      <c r="A1" s="1" t="s">
        <v>490</v>
      </c>
    </row>
    <row r="2" customFormat="false" ht="15" hidden="false" customHeight="false" outlineLevel="0" collapsed="false">
      <c r="A2" s="2" t="s">
        <v>491</v>
      </c>
    </row>
    <row r="4" customFormat="false" ht="15" hidden="false" customHeight="false" outlineLevel="0" collapsed="false">
      <c r="A4" s="3" t="s">
        <v>344</v>
      </c>
      <c r="B4" s="4" t="s">
        <v>492</v>
      </c>
      <c r="C4" s="4" t="s">
        <v>493</v>
      </c>
      <c r="D4" s="4" t="s">
        <v>494</v>
      </c>
      <c r="E4" s="4" t="s">
        <v>495</v>
      </c>
      <c r="F4" s="4" t="s">
        <v>496</v>
      </c>
      <c r="G4" s="4" t="s">
        <v>497</v>
      </c>
      <c r="H4" s="4" t="s">
        <v>498</v>
      </c>
      <c r="I4" s="4" t="s">
        <v>499</v>
      </c>
      <c r="J4" s="4" t="s">
        <v>500</v>
      </c>
      <c r="K4" s="4" t="s">
        <v>501</v>
      </c>
    </row>
    <row r="5" customFormat="false" ht="15" hidden="false" customHeight="false" outlineLevel="0" collapsed="false">
      <c r="A5" s="7" t="s">
        <v>502</v>
      </c>
      <c r="B5" s="33" t="n">
        <f aca="false">'Flächen und Mieten'!$G$21*(1+Annahmen!$B$78)^(1-1)</f>
        <v>87847.0588235294</v>
      </c>
      <c r="C5" s="33" t="n">
        <f aca="false">'Flächen und Mieten'!$G$21*(1+Annahmen!$B$78)^(2-1)</f>
        <v>89164.7647058823</v>
      </c>
      <c r="D5" s="33" t="n">
        <f aca="false">'Flächen und Mieten'!$G$21*(1+Annahmen!$B$78)^(3-1)</f>
        <v>90502.2361764706</v>
      </c>
      <c r="E5" s="33" t="n">
        <f aca="false">'Flächen und Mieten'!$G$21*(1+Annahmen!$B$78)^(4-1)</f>
        <v>91859.7697191176</v>
      </c>
      <c r="F5" s="33" t="n">
        <f aca="false">'Flächen und Mieten'!$G$21*(1+Annahmen!$B$78)^(5-1)</f>
        <v>93237.6662649044</v>
      </c>
      <c r="G5" s="33" t="n">
        <f aca="false">'Flächen und Mieten'!$G$21*(1+Annahmen!$B$78)^(6-1)</f>
        <v>94636.2312588779</v>
      </c>
      <c r="H5" s="33" t="n">
        <f aca="false">'Flächen und Mieten'!$G$21*(1+Annahmen!$B$78)^(7-1)</f>
        <v>96055.7747277611</v>
      </c>
      <c r="I5" s="33" t="n">
        <f aca="false">'Flächen und Mieten'!$G$21*(1+Annahmen!$B$78)^(8-1)</f>
        <v>97496.6113486775</v>
      </c>
      <c r="J5" s="33" t="n">
        <f aca="false">'Flächen und Mieten'!$G$21*(1+Annahmen!$B$78)^(9-1)</f>
        <v>98959.0605189077</v>
      </c>
      <c r="K5" s="33" t="n">
        <f aca="false">'Flächen und Mieten'!$G$21*(1+Annahmen!$B$78)^(10-1)</f>
        <v>100443.446426691</v>
      </c>
    </row>
    <row r="6" customFormat="false" ht="15" hidden="false" customHeight="false" outlineLevel="0" collapsed="false">
      <c r="A6" s="7" t="s">
        <v>503</v>
      </c>
      <c r="B6" s="33" t="n">
        <f aca="false">'Flächen und Mieten'!$G$25*(1+Annahmen!$B$80)^(1-1)</f>
        <v>19200</v>
      </c>
      <c r="C6" s="33" t="n">
        <f aca="false">'Flächen und Mieten'!$G$25*(1+Annahmen!$B$80)^(2-1)</f>
        <v>19584</v>
      </c>
      <c r="D6" s="33" t="n">
        <f aca="false">'Flächen und Mieten'!$G$25*(1+Annahmen!$B$80)^(3-1)</f>
        <v>19975.68</v>
      </c>
      <c r="E6" s="33" t="n">
        <f aca="false">'Flächen und Mieten'!$G$25*(1+Annahmen!$B$80)^(4-1)</f>
        <v>20375.1936</v>
      </c>
      <c r="F6" s="33" t="n">
        <f aca="false">'Flächen und Mieten'!$G$25*(1+Annahmen!$B$80)^(5-1)</f>
        <v>20782.697472</v>
      </c>
      <c r="G6" s="33" t="n">
        <f aca="false">'Flächen und Mieten'!$G$25*(1+Annahmen!$B$80)^(6-1)</f>
        <v>21198.35142144</v>
      </c>
      <c r="H6" s="33" t="n">
        <f aca="false">'Flächen und Mieten'!$G$25*(1+Annahmen!$B$80)^(7-1)</f>
        <v>21622.3184498688</v>
      </c>
      <c r="I6" s="33" t="n">
        <f aca="false">'Flächen und Mieten'!$G$25*(1+Annahmen!$B$80)^(8-1)</f>
        <v>22054.7648188662</v>
      </c>
      <c r="J6" s="33" t="n">
        <f aca="false">'Flächen und Mieten'!$G$25*(1+Annahmen!$B$80)^(9-1)</f>
        <v>22495.8601152435</v>
      </c>
      <c r="K6" s="33" t="n">
        <f aca="false">'Flächen und Mieten'!$G$25*(1+Annahmen!$B$80)^(10-1)</f>
        <v>22945.7773175484</v>
      </c>
    </row>
    <row r="7" customFormat="false" ht="15" hidden="false" customHeight="false" outlineLevel="0" collapsed="false">
      <c r="A7" s="7" t="s">
        <v>380</v>
      </c>
      <c r="B7" s="33" t="n">
        <f aca="false">'Flächen und Mieten'!$G$22*(1+Annahmen!$B$78)^(1-1)</f>
        <v>61200</v>
      </c>
      <c r="C7" s="33" t="n">
        <f aca="false">'Flächen und Mieten'!$G$22*(1+Annahmen!$B$78)^(2-1)</f>
        <v>62118</v>
      </c>
      <c r="D7" s="33" t="n">
        <f aca="false">'Flächen und Mieten'!$G$22*(1+Annahmen!$B$78)^(3-1)</f>
        <v>63049.77</v>
      </c>
      <c r="E7" s="33" t="n">
        <f aca="false">'Flächen und Mieten'!$G$22*(1+Annahmen!$B$78)^(4-1)</f>
        <v>63995.51655</v>
      </c>
      <c r="F7" s="33" t="n">
        <f aca="false">'Flächen und Mieten'!$G$22*(1+Annahmen!$B$78)^(5-1)</f>
        <v>64955.44929825</v>
      </c>
      <c r="G7" s="33" t="n">
        <f aca="false">'Flächen und Mieten'!$G$22*(1+Annahmen!$B$78)^(6-1)</f>
        <v>65929.7810377237</v>
      </c>
      <c r="H7" s="33" t="n">
        <f aca="false">'Flächen und Mieten'!$G$22*(1+Annahmen!$B$78)^(7-1)</f>
        <v>66918.7277532896</v>
      </c>
      <c r="I7" s="33" t="n">
        <f aca="false">'Flächen und Mieten'!$G$22*(1+Annahmen!$B$78)^(8-1)</f>
        <v>67922.5086695889</v>
      </c>
      <c r="J7" s="33" t="n">
        <f aca="false">'Flächen und Mieten'!$G$22*(1+Annahmen!$B$78)^(9-1)</f>
        <v>68941.3462996327</v>
      </c>
      <c r="K7" s="33" t="n">
        <f aca="false">'Flächen und Mieten'!$G$22*(1+Annahmen!$B$78)^(10-1)</f>
        <v>69975.4664941272</v>
      </c>
    </row>
    <row r="8" customFormat="false" ht="15" hidden="false" customHeight="false" outlineLevel="0" collapsed="false">
      <c r="A8" s="7" t="s">
        <v>504</v>
      </c>
      <c r="B8" s="50" t="n">
        <f aca="false">-Annahmen!$B$48*(B5+B6+B7)</f>
        <v>-16824.7058823529</v>
      </c>
      <c r="C8" s="50" t="n">
        <f aca="false">-Annahmen!$B$48*(C5+C6+C7)</f>
        <v>-17086.6764705882</v>
      </c>
      <c r="D8" s="50" t="n">
        <f aca="false">-Annahmen!$B$48*(D5+D6+D7)</f>
        <v>-17352.7686176471</v>
      </c>
      <c r="E8" s="50" t="n">
        <f aca="false">-Annahmen!$B$48*(E5+E6+E7)</f>
        <v>-17623.0479869118</v>
      </c>
      <c r="F8" s="50" t="n">
        <f aca="false">-Annahmen!$B$48*(F5+F6+F7)</f>
        <v>-17897.5813035154</v>
      </c>
      <c r="G8" s="50" t="n">
        <f aca="false">-Annahmen!$B$48*(G5+G6+G7)</f>
        <v>-18176.4363718042</v>
      </c>
      <c r="H8" s="50" t="n">
        <f aca="false">-Annahmen!$B$48*(H5+H6+H7)</f>
        <v>-18459.6820930919</v>
      </c>
      <c r="I8" s="50" t="n">
        <f aca="false">-Annahmen!$B$48*(I5+I6+I7)</f>
        <v>-18747.3884837133</v>
      </c>
      <c r="J8" s="50" t="n">
        <f aca="false">-Annahmen!$B$48*(J5+J6+J7)</f>
        <v>-19039.6266933784</v>
      </c>
      <c r="K8" s="50" t="n">
        <f aca="false">-Annahmen!$B$48*(K5+K6+K7)</f>
        <v>-19336.4690238367</v>
      </c>
    </row>
    <row r="9" customFormat="false" ht="15" hidden="false" customHeight="false" outlineLevel="0" collapsed="false">
      <c r="A9" s="7" t="s">
        <v>385</v>
      </c>
      <c r="B9" s="33" t="n">
        <f aca="false">('Gastro Betrieb'!$C$16*12*(1+Annahmen!$B$79)^(1-1))-B7-Annahmen!$B$51*12</f>
        <v>176736.6</v>
      </c>
      <c r="C9" s="33" t="n">
        <f aca="false">('Gastro Betrieb'!$C$16*12*(1+Annahmen!$B$79)^(2-1))-C7-Annahmen!$B$51*12</f>
        <v>179387.649</v>
      </c>
      <c r="D9" s="33" t="n">
        <f aca="false">('Gastro Betrieb'!$C$16*12*(1+Annahmen!$B$79)^(3-1))-D7-Annahmen!$B$51*12</f>
        <v>182078.463735</v>
      </c>
      <c r="E9" s="33" t="n">
        <f aca="false">('Gastro Betrieb'!$C$16*12*(1+Annahmen!$B$79)^(4-1))-E7-Annahmen!$B$51*12</f>
        <v>184809.640691025</v>
      </c>
      <c r="F9" s="33" t="n">
        <f aca="false">('Gastro Betrieb'!$C$16*12*(1+Annahmen!$B$79)^(5-1))-F7-Annahmen!$B$51*12</f>
        <v>187581.78530139</v>
      </c>
      <c r="G9" s="33" t="n">
        <f aca="false">('Gastro Betrieb'!$C$16*12*(1+Annahmen!$B$79)^(6-1))-G7-Annahmen!$B$51*12</f>
        <v>190395.512080911</v>
      </c>
      <c r="H9" s="33" t="n">
        <f aca="false">('Gastro Betrieb'!$C$16*12*(1+Annahmen!$B$79)^(7-1))-H7-Annahmen!$B$51*12</f>
        <v>193251.444762125</v>
      </c>
      <c r="I9" s="33" t="n">
        <f aca="false">('Gastro Betrieb'!$C$16*12*(1+Annahmen!$B$79)^(8-1))-I7-Annahmen!$B$51*12</f>
        <v>196150.216433557</v>
      </c>
      <c r="J9" s="33" t="n">
        <f aca="false">('Gastro Betrieb'!$C$16*12*(1+Annahmen!$B$79)^(9-1))-J7-Annahmen!$B$51*12</f>
        <v>199092.46968006</v>
      </c>
      <c r="K9" s="33" t="n">
        <f aca="false">('Gastro Betrieb'!$C$16*12*(1+Annahmen!$B$79)^(10-1))-K7-Annahmen!$B$51*12</f>
        <v>202078.856725261</v>
      </c>
    </row>
    <row r="10" customFormat="false" ht="15" hidden="false" customHeight="false" outlineLevel="0" collapsed="false">
      <c r="A10" s="29" t="s">
        <v>387</v>
      </c>
      <c r="B10" s="35" t="n">
        <f aca="false">SUM(B5:B9)</f>
        <v>328158.952941176</v>
      </c>
      <c r="C10" s="35" t="n">
        <f aca="false">SUM(C5:C9)</f>
        <v>333167.737235294</v>
      </c>
      <c r="D10" s="35" t="n">
        <f aca="false">SUM(D5:D9)</f>
        <v>338253.381293823</v>
      </c>
      <c r="E10" s="35" t="n">
        <f aca="false">SUM(E5:E9)</f>
        <v>343417.072573231</v>
      </c>
      <c r="F10" s="35" t="n">
        <f aca="false">SUM(F5:F9)</f>
        <v>348660.017033029</v>
      </c>
      <c r="G10" s="35" t="n">
        <f aca="false">SUM(G5:G9)</f>
        <v>353983.439427149</v>
      </c>
      <c r="H10" s="35" t="n">
        <f aca="false">SUM(H5:H9)</f>
        <v>359388.583599952</v>
      </c>
      <c r="I10" s="35" t="n">
        <f aca="false">SUM(I5:I9)</f>
        <v>364876.712786976</v>
      </c>
      <c r="J10" s="35" t="n">
        <f aca="false">SUM(J5:J9)</f>
        <v>370449.109920465</v>
      </c>
      <c r="K10" s="35" t="n">
        <f aca="false">SUM(K5:K9)</f>
        <v>376107.077939791</v>
      </c>
    </row>
    <row r="11" customFormat="false" ht="15" hidden="false" customHeight="false" outlineLevel="0" collapsed="false">
      <c r="A11" s="7" t="s">
        <v>505</v>
      </c>
      <c r="B11" s="50" t="n">
        <f aca="false">-'Tilgung Jahre'!D5</f>
        <v>-212800.285299123</v>
      </c>
      <c r="C11" s="50" t="n">
        <f aca="false">-'Tilgung Jahre'!D6</f>
        <v>-212800.285299123</v>
      </c>
      <c r="D11" s="50" t="n">
        <f aca="false">-'Tilgung Jahre'!D7</f>
        <v>-212800.285299123</v>
      </c>
      <c r="E11" s="50" t="n">
        <f aca="false">-'Tilgung Jahre'!D8</f>
        <v>-212800.285299123</v>
      </c>
      <c r="F11" s="50" t="n">
        <f aca="false">-'Tilgung Jahre'!D9</f>
        <v>-212800.285299123</v>
      </c>
      <c r="G11" s="50" t="n">
        <f aca="false">-'Tilgung Jahre'!D10</f>
        <v>-212800.285299123</v>
      </c>
      <c r="H11" s="50" t="n">
        <f aca="false">-'Tilgung Jahre'!D11</f>
        <v>-212800.285299123</v>
      </c>
      <c r="I11" s="50" t="n">
        <f aca="false">-'Tilgung Jahre'!D12</f>
        <v>-212800.285299123</v>
      </c>
      <c r="J11" s="50" t="n">
        <f aca="false">-'Tilgung Jahre'!D13</f>
        <v>-212800.285299123</v>
      </c>
      <c r="K11" s="50" t="n">
        <f aca="false">-'Tilgung Jahre'!D14</f>
        <v>-212800.285299123</v>
      </c>
    </row>
    <row r="12" customFormat="false" ht="15" hidden="false" customHeight="false" outlineLevel="0" collapsed="false">
      <c r="A12" s="29" t="s">
        <v>506</v>
      </c>
      <c r="B12" s="52" t="n">
        <f aca="false">B10+B11</f>
        <v>115358.667642054</v>
      </c>
      <c r="C12" s="52" t="n">
        <f aca="false">C10+C11</f>
        <v>120367.451936171</v>
      </c>
      <c r="D12" s="52" t="n">
        <f aca="false">D10+D11</f>
        <v>125453.095994701</v>
      </c>
      <c r="E12" s="52" t="n">
        <f aca="false">E10+E11</f>
        <v>130616.787274108</v>
      </c>
      <c r="F12" s="52" t="n">
        <f aca="false">F10+F11</f>
        <v>135859.731733907</v>
      </c>
      <c r="G12" s="52" t="n">
        <f aca="false">G10+G11</f>
        <v>141183.154128026</v>
      </c>
      <c r="H12" s="52" t="n">
        <f aca="false">H10+H11</f>
        <v>146588.298300829</v>
      </c>
      <c r="I12" s="52" t="n">
        <f aca="false">I10+I11</f>
        <v>152076.427487853</v>
      </c>
      <c r="J12" s="52" t="n">
        <f aca="false">J10+J11</f>
        <v>157648.824621343</v>
      </c>
      <c r="K12" s="52" t="n">
        <f aca="false">K10+K11</f>
        <v>163306.792640668</v>
      </c>
    </row>
    <row r="13" customFormat="false" ht="15" hidden="false" customHeight="false" outlineLevel="0" collapsed="false">
      <c r="A13" s="29" t="s">
        <v>507</v>
      </c>
      <c r="B13" s="54" t="n">
        <f aca="false">B10/-B11</f>
        <v>1.54209827529084</v>
      </c>
      <c r="C13" s="54" t="n">
        <f aca="false">C10/-C11</f>
        <v>1.56563576391346</v>
      </c>
      <c r="D13" s="54" t="n">
        <f aca="false">D10/-D11</f>
        <v>1.58953443515528</v>
      </c>
      <c r="E13" s="54" t="n">
        <f aca="false">E10/-E11</f>
        <v>1.61379986916139</v>
      </c>
      <c r="F13" s="54" t="n">
        <f aca="false">F10/-F11</f>
        <v>1.63843773302717</v>
      </c>
      <c r="G13" s="54" t="n">
        <f aca="false">G10/-G11</f>
        <v>1.6634537821675</v>
      </c>
      <c r="H13" s="54" t="n">
        <f aca="false">H10/-H11</f>
        <v>1.68885386170783</v>
      </c>
      <c r="I13" s="54" t="n">
        <f aca="false">I10/-I11</f>
        <v>1.71464390789743</v>
      </c>
      <c r="J13" s="54" t="n">
        <f aca="false">J10/-J11</f>
        <v>1.74082994954515</v>
      </c>
      <c r="K13" s="54" t="n">
        <f aca="false">K10/-K11</f>
        <v>1.76741810947817</v>
      </c>
    </row>
    <row r="14" customFormat="false" ht="15" hidden="false" customHeight="false" outlineLevel="0" collapsed="false">
      <c r="A14" s="7" t="s">
        <v>348</v>
      </c>
      <c r="B14" s="33" t="n">
        <f aca="false">'Tilgung Jahre'!E5</f>
        <v>4796289.99144002</v>
      </c>
      <c r="C14" s="33" t="n">
        <f aca="false">'Tilgung Jahre'!E6</f>
        <v>4745376.85834322</v>
      </c>
      <c r="D14" s="33" t="n">
        <f aca="false">'Tilgung Jahre'!E7</f>
        <v>4692705.54860192</v>
      </c>
      <c r="E14" s="33" t="n">
        <f aca="false">'Tilgung Jahre'!E8</f>
        <v>4638213.05983898</v>
      </c>
      <c r="F14" s="33" t="n">
        <f aca="false">'Tilgung Jahre'!E9</f>
        <v>4581834.06036832</v>
      </c>
      <c r="G14" s="33" t="n">
        <f aca="false">'Tilgung Jahre'!E10</f>
        <v>4523500.80088865</v>
      </c>
      <c r="H14" s="33" t="n">
        <f aca="false">'Tilgung Jahre'!E11</f>
        <v>4463143.02276395</v>
      </c>
      <c r="I14" s="33" t="n">
        <f aca="false">'Tilgung Jahre'!E12</f>
        <v>4400687.86275702</v>
      </c>
      <c r="J14" s="33" t="n">
        <f aca="false">'Tilgung Jahre'!E13</f>
        <v>4336059.75407694</v>
      </c>
      <c r="K14" s="33" t="n">
        <f aca="false">'Tilgung Jahre'!E14</f>
        <v>4269180.3235956</v>
      </c>
    </row>
    <row r="16" customFormat="false" ht="15" hidden="false" customHeight="false" outlineLevel="0" collapsed="false">
      <c r="A16" s="16" t="s">
        <v>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A45"/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8"/>
    <col collapsed="false" customWidth="true" hidden="false" outlineLevel="0" max="4" min="4" style="0" width="20"/>
  </cols>
  <sheetData>
    <row r="1" customFormat="false" ht="19.7" hidden="false" customHeight="false" outlineLevel="0" collapsed="false">
      <c r="A1" s="1" t="s">
        <v>509</v>
      </c>
    </row>
    <row r="2" customFormat="false" ht="15" hidden="false" customHeight="false" outlineLevel="0" collapsed="false">
      <c r="A2" s="2" t="s">
        <v>510</v>
      </c>
    </row>
    <row r="4" customFormat="false" ht="15" hidden="false" customHeight="false" outlineLevel="0" collapsed="false">
      <c r="A4" s="3" t="s">
        <v>511</v>
      </c>
      <c r="B4" s="4" t="s">
        <v>512</v>
      </c>
      <c r="C4" s="4" t="s">
        <v>513</v>
      </c>
      <c r="D4" s="4" t="s">
        <v>514</v>
      </c>
    </row>
    <row r="5" customFormat="false" ht="15" hidden="false" customHeight="false" outlineLevel="0" collapsed="false">
      <c r="A5" s="29" t="s">
        <v>515</v>
      </c>
      <c r="B5" s="50" t="n">
        <f aca="false">'Ertrag und Cashflow'!B13</f>
        <v>9613.22230350448</v>
      </c>
      <c r="C5" s="55" t="n">
        <f aca="false">'Ertrag und Cashflow'!B11/Tilgungsplan!N3</f>
        <v>1.54209827529084</v>
      </c>
      <c r="D5" s="50"/>
    </row>
    <row r="6" customFormat="false" ht="15" hidden="false" customHeight="false" outlineLevel="0" collapsed="false">
      <c r="A6" s="7" t="s">
        <v>516</v>
      </c>
      <c r="B6" s="50" t="n">
        <f aca="false">'Ertrag und Cashflow'!B13-'Tilgung Jahre'!E14*0.01/12</f>
        <v>6055.57203384148</v>
      </c>
      <c r="C6" s="55" t="n">
        <f aca="false">'Ertrag und Cashflow'!B11/(Tilgungsplan!N3+'Tilgung Jahre'!E14*0.01/12)</f>
        <v>1.28441923514246</v>
      </c>
      <c r="D6" s="50" t="n">
        <f aca="false">B6-$B$5</f>
        <v>-3557.650269663</v>
      </c>
    </row>
    <row r="7" customFormat="false" ht="15" hidden="false" customHeight="false" outlineLevel="0" collapsed="false">
      <c r="A7" s="7" t="s">
        <v>517</v>
      </c>
      <c r="B7" s="50" t="n">
        <f aca="false">'Ertrag und Cashflow'!B13-0.1*'Ertrag und Cashflow'!B5*(1-Annahmen!$B$48)</f>
        <v>8954.36936232801</v>
      </c>
      <c r="C7" s="55" t="n">
        <f aca="false">('Ertrag und Cashflow'!B11-0.1*'Ertrag und Cashflow'!B5*(1-Annahmen!$B$48))/Tilgungsplan!N3</f>
        <v>1.50494496375743</v>
      </c>
      <c r="D7" s="50" t="n">
        <f aca="false">B7-$B$5</f>
        <v>-658.85294117647</v>
      </c>
    </row>
    <row r="8" customFormat="false" ht="15" hidden="false" customHeight="false" outlineLevel="0" collapsed="false">
      <c r="A8" s="7" t="s">
        <v>518</v>
      </c>
      <c r="B8" s="50" t="n">
        <f aca="false">'Ertrag und Cashflow'!B13-0.2*Annahmen!$B$49*Annahmen!$B$50</f>
        <v>5647.61230350448</v>
      </c>
      <c r="C8" s="55" t="n">
        <f aca="false">('Ertrag und Cashflow'!B11-0.2*Annahmen!$B$49*Annahmen!$B$50)/Tilgungsplan!N3</f>
        <v>1.31847395104189</v>
      </c>
      <c r="D8" s="50" t="n">
        <f aca="false">B8-$B$5</f>
        <v>-3965.61</v>
      </c>
    </row>
    <row r="9" customFormat="false" ht="15" hidden="false" customHeight="false" outlineLevel="0" collapsed="false">
      <c r="A9" s="7" t="s">
        <v>519</v>
      </c>
      <c r="B9" s="50" t="n">
        <f aca="false">'Ertrag und Cashflow'!B13-0.4*Annahmen!$B$49*Annahmen!$B$50</f>
        <v>1682.00230350448</v>
      </c>
      <c r="C9" s="55" t="n">
        <f aca="false">('Ertrag und Cashflow'!B11-0.4*Annahmen!$B$49*Annahmen!$B$50)/Tilgungsplan!N3</f>
        <v>1.09484962679294</v>
      </c>
      <c r="D9" s="50" t="n">
        <f aca="false">B9-$B$5</f>
        <v>-7931.22</v>
      </c>
    </row>
    <row r="10" customFormat="false" ht="15" hidden="false" customHeight="false" outlineLevel="0" collapsed="false">
      <c r="A10" s="7" t="s">
        <v>520</v>
      </c>
      <c r="B10" s="50" t="n">
        <f aca="false">'Ertrag und Cashflow'!B13-0.1*'Kosten und Finanzierung'!B12*(1+Annahmen!$B$17)*('Kosten und Finanzierung'!B31+Annahmen!$B$58)/12</f>
        <v>8154.71258258538</v>
      </c>
      <c r="C10" s="55" t="n">
        <f aca="false">'Ertrag und Cashflow'!B11/(Tilgungsplan!N3+0.1*'Kosten und Finanzierung'!B12*(1+Annahmen!$B$17)*('Kosten und Finanzierung'!B31+Annahmen!$B$58)/12)</f>
        <v>1.42490460439143</v>
      </c>
      <c r="D10" s="50" t="n">
        <f aca="false">B10-$B$5</f>
        <v>-1458.50972091909</v>
      </c>
    </row>
    <row r="11" customFormat="false" ht="15" hidden="false" customHeight="false" outlineLevel="0" collapsed="false">
      <c r="A11" s="7" t="s">
        <v>521</v>
      </c>
      <c r="B11" s="50" t="n">
        <f aca="false">'Ertrag und Cashflow'!B13-'Flächen und Mieten'!F23*(1-Annahmen!$B$48)</f>
        <v>8758.22230350448</v>
      </c>
      <c r="C11" s="55" t="n">
        <f aca="false">('Ertrag und Cashflow'!B11-'Flächen und Mieten'!F23*(1-Annahmen!$B$48))/Tilgungsplan!N3</f>
        <v>1.49388405421695</v>
      </c>
      <c r="D11" s="50" t="n">
        <f aca="false">B11-$B$5</f>
        <v>-855</v>
      </c>
    </row>
    <row r="12" customFormat="false" ht="15" hidden="false" customHeight="false" outlineLevel="0" collapsed="false">
      <c r="A12" s="7" t="s">
        <v>522</v>
      </c>
      <c r="B12" s="50" t="n">
        <f aca="false">'Ertrag und Cashflow'!B13-'Ertrag und Cashflow'!B6*(1-Annahmen!$B$48)</f>
        <v>8173.22230350448</v>
      </c>
      <c r="C12" s="55" t="n">
        <f aca="false">('Ertrag und Cashflow'!B11-'Ertrag und Cashflow'!B6*(1-Annahmen!$B$48))/Tilgungsplan!N3</f>
        <v>1.46089537664007</v>
      </c>
      <c r="D12" s="50" t="n">
        <f aca="false">B12-$B$5</f>
        <v>-1440</v>
      </c>
    </row>
    <row r="13" customFormat="false" ht="15" hidden="false" customHeight="false" outlineLevel="0" collapsed="false">
      <c r="A13" s="7" t="s">
        <v>523</v>
      </c>
      <c r="B13" s="50" t="n">
        <f aca="false">'Ertrag und Cashflow'!B9-'Ertrag und Cashflow'!B7*(1-Annahmen!$B$48)+'Ertrag und Cashflow'!B12</f>
        <v>-9704.82769649552</v>
      </c>
      <c r="C13" s="55" t="n">
        <f aca="false">('Ertrag und Cashflow'!B9-'Ertrag und Cashflow'!B7*(1-Annahmen!$B$48))/Tilgungsplan!N3</f>
        <v>0.45273601398491</v>
      </c>
      <c r="D13" s="50" t="n">
        <f aca="false">B13-$B$5</f>
        <v>-19318.05</v>
      </c>
    </row>
    <row r="15" customFormat="false" ht="15" hidden="false" customHeight="false" outlineLevel="0" collapsed="false">
      <c r="A15" s="16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A45"/>
    <pageSetUpPr fitToPage="tru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525</v>
      </c>
    </row>
    <row r="2" customFormat="false" ht="15" hidden="false" customHeight="false" outlineLevel="0" collapsed="false">
      <c r="A2" s="2" t="s">
        <v>526</v>
      </c>
    </row>
    <row r="3" customFormat="false" ht="15" hidden="false" customHeight="false" outlineLevel="0" collapsed="false">
      <c r="A3" s="43" t="s">
        <v>527</v>
      </c>
    </row>
    <row r="4" customFormat="false" ht="15" hidden="false" customHeight="false" outlineLevel="0" collapsed="false">
      <c r="A4" s="7" t="s">
        <v>528</v>
      </c>
      <c r="B4" s="19" t="n">
        <v>90</v>
      </c>
      <c r="E4" s="9" t="s">
        <v>529</v>
      </c>
    </row>
    <row r="5" customFormat="false" ht="15" hidden="false" customHeight="false" outlineLevel="0" collapsed="false">
      <c r="A5" s="7" t="s">
        <v>530</v>
      </c>
      <c r="B5" s="19" t="n">
        <v>600</v>
      </c>
      <c r="E5" s="9" t="s">
        <v>531</v>
      </c>
    </row>
    <row r="6" customFormat="false" ht="15" hidden="false" customHeight="false" outlineLevel="0" collapsed="false">
      <c r="A6" s="7" t="s">
        <v>532</v>
      </c>
      <c r="B6" s="20" t="n">
        <v>0.56</v>
      </c>
      <c r="E6" s="9" t="s">
        <v>533</v>
      </c>
    </row>
    <row r="7" customFormat="false" ht="15" hidden="false" customHeight="false" outlineLevel="0" collapsed="false">
      <c r="A7" s="7" t="s">
        <v>534</v>
      </c>
      <c r="B7" s="19" t="n">
        <v>300</v>
      </c>
      <c r="E7" s="9" t="s">
        <v>535</v>
      </c>
    </row>
    <row r="9" customFormat="false" ht="15" hidden="false" customHeight="false" outlineLevel="0" collapsed="false">
      <c r="A9" s="3" t="s">
        <v>536</v>
      </c>
      <c r="B9" s="4" t="s">
        <v>537</v>
      </c>
      <c r="C9" s="4" t="s">
        <v>538</v>
      </c>
      <c r="D9" s="4" t="s">
        <v>539</v>
      </c>
      <c r="E9" s="4" t="s">
        <v>233</v>
      </c>
    </row>
    <row r="10" customFormat="false" ht="15" hidden="false" customHeight="false" outlineLevel="0" collapsed="false">
      <c r="A10" s="7" t="s">
        <v>540</v>
      </c>
      <c r="B10" s="18" t="n">
        <v>60</v>
      </c>
      <c r="C10" s="18" t="n">
        <v>60</v>
      </c>
      <c r="D10" s="18" t="n">
        <v>60</v>
      </c>
    </row>
    <row r="11" customFormat="false" ht="15" hidden="false" customHeight="false" outlineLevel="0" collapsed="false">
      <c r="A11" s="7" t="s">
        <v>541</v>
      </c>
      <c r="B11" s="20" t="n">
        <v>0.174</v>
      </c>
      <c r="C11" s="20" t="n">
        <v>0.362</v>
      </c>
      <c r="D11" s="20" t="n">
        <v>0.6</v>
      </c>
      <c r="E11" s="9" t="s">
        <v>542</v>
      </c>
    </row>
    <row r="12" customFormat="false" ht="15" hidden="false" customHeight="false" outlineLevel="0" collapsed="false">
      <c r="A12" s="7" t="s">
        <v>528</v>
      </c>
      <c r="B12" s="33" t="n">
        <f aca="false">$B$4</f>
        <v>90</v>
      </c>
      <c r="C12" s="33" t="n">
        <f aca="false">$B$4</f>
        <v>90</v>
      </c>
      <c r="D12" s="33" t="n">
        <f aca="false">$B$4</f>
        <v>90</v>
      </c>
    </row>
    <row r="13" customFormat="false" ht="15" hidden="false" customHeight="false" outlineLevel="0" collapsed="false">
      <c r="A13" s="7" t="s">
        <v>543</v>
      </c>
      <c r="B13" s="33" t="n">
        <f aca="false">B12*365*B11/12</f>
        <v>476.325</v>
      </c>
      <c r="C13" s="33" t="n">
        <f aca="false">C12*365*C11/12</f>
        <v>990.975</v>
      </c>
      <c r="D13" s="33" t="n">
        <f aca="false">D12*365*D11/12</f>
        <v>1642.5</v>
      </c>
    </row>
    <row r="14" customFormat="false" ht="15" hidden="false" customHeight="false" outlineLevel="0" collapsed="false">
      <c r="A14" s="7" t="s">
        <v>544</v>
      </c>
      <c r="B14" s="33" t="n">
        <f aca="false">B13*(1-$B$6)</f>
        <v>209.583</v>
      </c>
      <c r="C14" s="33" t="n">
        <f aca="false">C13*(1-$B$6)</f>
        <v>436.029</v>
      </c>
      <c r="D14" s="33" t="n">
        <f aca="false">D13*(1-$B$6)</f>
        <v>722.7</v>
      </c>
    </row>
    <row r="15" customFormat="false" ht="15" hidden="false" customHeight="false" outlineLevel="0" collapsed="false">
      <c r="A15" s="7" t="s">
        <v>545</v>
      </c>
      <c r="B15" s="33" t="n">
        <f aca="false">B10*Annahmen!$B$46*(1-Annahmen!$B$48)</f>
        <v>603.529411764706</v>
      </c>
      <c r="C15" s="33" t="n">
        <f aca="false">C10*Annahmen!$B$46*(1-Annahmen!$B$48)</f>
        <v>603.529411764706</v>
      </c>
      <c r="D15" s="33" t="n">
        <f aca="false">D10*Annahmen!$B$46*(1-Annahmen!$B$48)</f>
        <v>603.529411764706</v>
      </c>
      <c r="E15" s="9" t="s">
        <v>546</v>
      </c>
    </row>
    <row r="16" customFormat="false" ht="15" hidden="false" customHeight="false" outlineLevel="0" collapsed="false">
      <c r="A16" s="7" t="s">
        <v>547</v>
      </c>
      <c r="B16" s="33" t="n">
        <f aca="false">B10*$B$5</f>
        <v>36000</v>
      </c>
      <c r="C16" s="33" t="n">
        <f aca="false">C10*$B$5</f>
        <v>36000</v>
      </c>
      <c r="D16" s="33" t="n">
        <f aca="false">D10*$B$5</f>
        <v>36000</v>
      </c>
    </row>
    <row r="17" customFormat="false" ht="15" hidden="false" customHeight="false" outlineLevel="0" collapsed="false">
      <c r="A17" s="7" t="s">
        <v>548</v>
      </c>
      <c r="B17" s="33" t="n">
        <f aca="false">-B16*(Annahmen!$B$57+Annahmen!$B$58)/12</f>
        <v>-150</v>
      </c>
      <c r="C17" s="33" t="n">
        <f aca="false">-C16*(Annahmen!$B$57+Annahmen!$B$58)/12</f>
        <v>-150</v>
      </c>
      <c r="D17" s="33" t="n">
        <f aca="false">-D16*(Annahmen!$B$57+Annahmen!$B$58)/12</f>
        <v>-150</v>
      </c>
    </row>
    <row r="18" customFormat="false" ht="15" hidden="false" customHeight="false" outlineLevel="0" collapsed="false">
      <c r="A18" s="29" t="s">
        <v>549</v>
      </c>
      <c r="B18" s="52" t="n">
        <f aca="false">B14-B15+B17</f>
        <v>-543.946411764706</v>
      </c>
      <c r="C18" s="52" t="n">
        <f aca="false">C14-C15+C17</f>
        <v>-317.500411764706</v>
      </c>
      <c r="D18" s="52" t="n">
        <f aca="false">D14-D15+D17</f>
        <v>-30.8294117647059</v>
      </c>
    </row>
    <row r="19" customFormat="false" ht="15" hidden="false" customHeight="false" outlineLevel="0" collapsed="false">
      <c r="A19" s="29" t="s">
        <v>550</v>
      </c>
      <c r="B19" s="51" t="n">
        <f aca="false">B18</f>
        <v>-543.946411764706</v>
      </c>
      <c r="C19" s="51" t="n">
        <f aca="false">C18</f>
        <v>-317.500411764706</v>
      </c>
      <c r="D19" s="51" t="n">
        <f aca="false">D18</f>
        <v>-30.8294117647059</v>
      </c>
    </row>
    <row r="20" customFormat="false" ht="15" hidden="false" customHeight="false" outlineLevel="0" collapsed="false">
      <c r="A20" s="29" t="s">
        <v>551</v>
      </c>
      <c r="B20" s="29" t="str">
        <f aca="false">IF(B19&gt;=$B$7,"lohnt sich","lohnt sich nicht")</f>
        <v>lohnt sich nicht</v>
      </c>
      <c r="C20" s="29" t="str">
        <f aca="false">IF(C19&gt;=$B$7,"lohnt sich","lohnt sich nicht")</f>
        <v>lohnt sich nicht</v>
      </c>
      <c r="D20" s="29" t="str">
        <f aca="false">IF(D19&gt;=$B$7,"lohnt sich","lohnt sich nicht")</f>
        <v>lohnt sich nicht</v>
      </c>
    </row>
    <row r="21" customFormat="false" ht="15" hidden="false" customHeight="false" outlineLevel="0" collapsed="false">
      <c r="A21" s="7" t="s">
        <v>552</v>
      </c>
      <c r="B21" s="40" t="n">
        <f aca="false">(B15-B17)/(B12*365/12*(1-$B$6))</f>
        <v>0.625595194491246</v>
      </c>
      <c r="C21" s="40" t="n">
        <f aca="false">(C15-C17)/(C12*365/12*(1-$B$6))</f>
        <v>0.625595194491246</v>
      </c>
      <c r="D21" s="40" t="n">
        <f aca="false">(D15-D17)/(D12*365/12*(1-$B$6))</f>
        <v>0.625595194491246</v>
      </c>
    </row>
    <row r="22" customFormat="false" ht="15" hidden="false" customHeight="false" outlineLevel="0" collapsed="false">
      <c r="A22" s="43" t="s">
        <v>553</v>
      </c>
    </row>
    <row r="23" customFormat="false" ht="15" hidden="false" customHeight="false" outlineLevel="0" collapsed="false">
      <c r="A23" s="43" t="str">
        <f aca="false">IF(MAX(B19:D19)&gt;=B7,"Mindestens ein Szenario erreicht den Mindest-Mehrertrag: Airbnb prüfen.","Kein Szenario erreicht den Mindest-Mehrertrag von "&amp;TEXT(B7,"#,##0")&amp;" € pro Monat. Langfristige Vermietung ist besser, Airbnb bleibt aus dem Konzept.")</f>
        <v>Kein Szenario erreicht den Mindest-Mehrertrag von 300 € pro Monat. Langfristige Vermietung ist besser, Airbnb bleibt aus dem Konzept.</v>
      </c>
    </row>
    <row r="24" customFormat="false" ht="15" hidden="false" customHeight="false" outlineLevel="0" collapsed="false">
      <c r="A24" s="16" t="s">
        <v>554</v>
      </c>
    </row>
    <row r="26" customFormat="false" ht="15" hidden="false" customHeight="false" outlineLevel="0" collapsed="false">
      <c r="A26" s="43" t="s">
        <v>555</v>
      </c>
    </row>
    <row r="27" customFormat="false" ht="15" hidden="false" customHeight="false" outlineLevel="0" collapsed="false">
      <c r="A27" s="16" t="s">
        <v>556</v>
      </c>
    </row>
    <row r="28" customFormat="false" ht="15" hidden="false" customHeight="false" outlineLevel="0" collapsed="false">
      <c r="A28" s="16" t="s">
        <v>557</v>
      </c>
    </row>
    <row r="29" customFormat="false" ht="15" hidden="false" customHeight="false" outlineLevel="0" collapsed="false">
      <c r="A29" s="16" t="s">
        <v>558</v>
      </c>
    </row>
    <row r="30" customFormat="false" ht="15" hidden="false" customHeight="false" outlineLevel="0" collapsed="false">
      <c r="A30" s="16" t="s">
        <v>559</v>
      </c>
    </row>
    <row r="31" customFormat="false" ht="15" hidden="false" customHeight="false" outlineLevel="0" collapsed="false">
      <c r="A31" s="16" t="s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A45"/>
    <pageSetUpPr fitToPage="tru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62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561</v>
      </c>
    </row>
    <row r="2" customFormat="false" ht="15" hidden="false" customHeight="false" outlineLevel="0" collapsed="false">
      <c r="A2" s="2" t="s">
        <v>562</v>
      </c>
    </row>
    <row r="4" customFormat="false" ht="15" hidden="false" customHeight="false" outlineLevel="0" collapsed="false">
      <c r="A4" s="3" t="s">
        <v>563</v>
      </c>
      <c r="B4" s="4" t="s">
        <v>564</v>
      </c>
      <c r="C4" s="4" t="s">
        <v>565</v>
      </c>
      <c r="D4" s="4" t="s">
        <v>566</v>
      </c>
    </row>
    <row r="5" customFormat="false" ht="15" hidden="false" customHeight="false" outlineLevel="0" collapsed="false">
      <c r="A5" s="28" t="n">
        <v>1</v>
      </c>
      <c r="B5" s="58" t="s">
        <v>567</v>
      </c>
      <c r="C5" s="59" t="s">
        <v>568</v>
      </c>
      <c r="D5" s="60" t="s">
        <v>569</v>
      </c>
    </row>
    <row r="6" customFormat="false" ht="23.85" hidden="false" customHeight="false" outlineLevel="0" collapsed="false">
      <c r="A6" s="28" t="n">
        <v>2</v>
      </c>
      <c r="B6" s="58" t="s">
        <v>570</v>
      </c>
      <c r="C6" s="59" t="s">
        <v>571</v>
      </c>
      <c r="D6" s="60" t="s">
        <v>569</v>
      </c>
    </row>
    <row r="7" customFormat="false" ht="15" hidden="false" customHeight="false" outlineLevel="0" collapsed="false">
      <c r="A7" s="28" t="n">
        <v>3</v>
      </c>
      <c r="B7" s="58" t="s">
        <v>572</v>
      </c>
      <c r="C7" s="59" t="s">
        <v>573</v>
      </c>
      <c r="D7" s="60" t="s">
        <v>569</v>
      </c>
    </row>
    <row r="8" customFormat="false" ht="15" hidden="false" customHeight="false" outlineLevel="0" collapsed="false">
      <c r="A8" s="28" t="n">
        <v>4</v>
      </c>
      <c r="B8" s="58" t="s">
        <v>574</v>
      </c>
      <c r="C8" s="59" t="s">
        <v>575</v>
      </c>
      <c r="D8" s="60" t="s">
        <v>576</v>
      </c>
    </row>
    <row r="9" customFormat="false" ht="23.85" hidden="false" customHeight="false" outlineLevel="0" collapsed="false">
      <c r="A9" s="28" t="n">
        <v>5</v>
      </c>
      <c r="B9" s="58" t="s">
        <v>577</v>
      </c>
      <c r="C9" s="59" t="s">
        <v>578</v>
      </c>
      <c r="D9" s="60" t="s">
        <v>579</v>
      </c>
    </row>
    <row r="10" customFormat="false" ht="23.85" hidden="false" customHeight="false" outlineLevel="0" collapsed="false">
      <c r="A10" s="28" t="n">
        <v>6</v>
      </c>
      <c r="B10" s="58" t="s">
        <v>580</v>
      </c>
      <c r="C10" s="59" t="s">
        <v>581</v>
      </c>
      <c r="D10" s="60" t="s">
        <v>576</v>
      </c>
    </row>
    <row r="11" customFormat="false" ht="23.85" hidden="false" customHeight="false" outlineLevel="0" collapsed="false">
      <c r="A11" s="28" t="n">
        <v>7</v>
      </c>
      <c r="B11" s="58" t="s">
        <v>582</v>
      </c>
      <c r="C11" s="59" t="s">
        <v>583</v>
      </c>
      <c r="D11" s="60" t="s">
        <v>576</v>
      </c>
    </row>
    <row r="12" customFormat="false" ht="15" hidden="false" customHeight="false" outlineLevel="0" collapsed="false">
      <c r="A12" s="28" t="n">
        <v>8</v>
      </c>
      <c r="B12" s="58" t="s">
        <v>584</v>
      </c>
      <c r="C12" s="59" t="s">
        <v>585</v>
      </c>
      <c r="D12" s="60" t="s">
        <v>576</v>
      </c>
    </row>
    <row r="13" customFormat="false" ht="15" hidden="false" customHeight="false" outlineLevel="0" collapsed="false">
      <c r="A13" s="28" t="n">
        <v>9</v>
      </c>
      <c r="B13" s="58" t="s">
        <v>586</v>
      </c>
      <c r="C13" s="59" t="s">
        <v>587</v>
      </c>
      <c r="D13" s="60" t="s">
        <v>576</v>
      </c>
    </row>
    <row r="14" customFormat="false" ht="15" hidden="false" customHeight="false" outlineLevel="0" collapsed="false">
      <c r="A14" s="28" t="n">
        <v>10</v>
      </c>
      <c r="B14" s="58" t="s">
        <v>588</v>
      </c>
      <c r="C14" s="59" t="s">
        <v>589</v>
      </c>
      <c r="D14" s="60" t="s">
        <v>576</v>
      </c>
    </row>
    <row r="15" customFormat="false" ht="15" hidden="false" customHeight="false" outlineLevel="0" collapsed="false">
      <c r="A15" s="28" t="n">
        <v>11</v>
      </c>
      <c r="B15" s="58" t="s">
        <v>590</v>
      </c>
      <c r="C15" s="59" t="s">
        <v>591</v>
      </c>
      <c r="D15" s="60" t="s">
        <v>569</v>
      </c>
    </row>
    <row r="16" customFormat="false" ht="23.85" hidden="false" customHeight="false" outlineLevel="0" collapsed="false">
      <c r="A16" s="28" t="n">
        <v>12</v>
      </c>
      <c r="B16" s="58" t="s">
        <v>592</v>
      </c>
      <c r="C16" s="59" t="s">
        <v>593</v>
      </c>
      <c r="D16" s="60" t="s">
        <v>576</v>
      </c>
    </row>
    <row r="17" customFormat="false" ht="15" hidden="false" customHeight="false" outlineLevel="0" collapsed="false">
      <c r="A17" s="28" t="n">
        <v>13</v>
      </c>
      <c r="B17" s="58" t="s">
        <v>594</v>
      </c>
      <c r="C17" s="59" t="s">
        <v>595</v>
      </c>
      <c r="D17" s="60" t="s">
        <v>576</v>
      </c>
    </row>
    <row r="18" customFormat="false" ht="15" hidden="false" customHeight="false" outlineLevel="0" collapsed="false">
      <c r="A18" s="28" t="n">
        <v>14</v>
      </c>
      <c r="B18" s="58" t="s">
        <v>596</v>
      </c>
      <c r="C18" s="59" t="s">
        <v>597</v>
      </c>
      <c r="D18" s="60" t="s">
        <v>576</v>
      </c>
    </row>
    <row r="19" customFormat="false" ht="15" hidden="false" customHeight="false" outlineLevel="0" collapsed="false">
      <c r="A19" s="28" t="n">
        <v>15</v>
      </c>
      <c r="B19" s="58" t="s">
        <v>598</v>
      </c>
      <c r="C19" s="59" t="s">
        <v>599</v>
      </c>
      <c r="D19" s="60" t="s">
        <v>569</v>
      </c>
    </row>
    <row r="20" customFormat="false" ht="15" hidden="false" customHeight="false" outlineLevel="0" collapsed="false">
      <c r="A20" s="28" t="n">
        <v>16</v>
      </c>
      <c r="B20" s="58" t="s">
        <v>600</v>
      </c>
      <c r="C20" s="59" t="s">
        <v>601</v>
      </c>
      <c r="D20" s="60" t="s">
        <v>576</v>
      </c>
    </row>
    <row r="21" customFormat="false" ht="22.35" hidden="false" customHeight="false" outlineLevel="0" collapsed="false">
      <c r="A21" s="28" t="n">
        <v>17</v>
      </c>
      <c r="B21" s="58" t="s">
        <v>602</v>
      </c>
      <c r="C21" s="59" t="s">
        <v>603</v>
      </c>
      <c r="D21" s="60" t="s">
        <v>576</v>
      </c>
    </row>
    <row r="22" customFormat="false" ht="15" hidden="false" customHeight="false" outlineLevel="0" collapsed="false">
      <c r="A22" s="28" t="n">
        <v>18</v>
      </c>
      <c r="B22" s="58" t="s">
        <v>604</v>
      </c>
      <c r="C22" s="59" t="s">
        <v>605</v>
      </c>
      <c r="D22" s="60" t="s">
        <v>576</v>
      </c>
    </row>
    <row r="23" customFormat="false" ht="23.85" hidden="false" customHeight="false" outlineLevel="0" collapsed="false">
      <c r="A23" s="28" t="n">
        <v>19</v>
      </c>
      <c r="B23" s="58" t="s">
        <v>606</v>
      </c>
      <c r="C23" s="59" t="s">
        <v>607</v>
      </c>
      <c r="D23" s="60" t="s">
        <v>569</v>
      </c>
    </row>
    <row r="24" customFormat="false" ht="23.85" hidden="false" customHeight="false" outlineLevel="0" collapsed="false">
      <c r="A24" s="28" t="n">
        <v>20</v>
      </c>
      <c r="B24" s="58" t="s">
        <v>608</v>
      </c>
      <c r="C24" s="59" t="s">
        <v>609</v>
      </c>
      <c r="D24" s="60" t="s">
        <v>576</v>
      </c>
    </row>
    <row r="25" customFormat="false" ht="15" hidden="false" customHeight="false" outlineLevel="0" collapsed="false">
      <c r="A25" s="28" t="n">
        <v>21</v>
      </c>
      <c r="B25" s="58" t="s">
        <v>610</v>
      </c>
      <c r="C25" s="59" t="s">
        <v>611</v>
      </c>
      <c r="D25" s="60" t="s">
        <v>576</v>
      </c>
    </row>
    <row r="26" customFormat="false" ht="23.85" hidden="false" customHeight="false" outlineLevel="0" collapsed="false">
      <c r="A26" s="28" t="n">
        <v>22</v>
      </c>
      <c r="B26" s="58" t="s">
        <v>612</v>
      </c>
      <c r="C26" s="59" t="s">
        <v>613</v>
      </c>
      <c r="D26" s="60" t="s">
        <v>576</v>
      </c>
    </row>
    <row r="27" customFormat="false" ht="22.35" hidden="false" customHeight="false" outlineLevel="0" collapsed="false">
      <c r="A27" s="28" t="n">
        <v>23</v>
      </c>
      <c r="B27" s="58" t="s">
        <v>614</v>
      </c>
      <c r="C27" s="59" t="s">
        <v>615</v>
      </c>
      <c r="D27" s="60" t="s">
        <v>576</v>
      </c>
    </row>
    <row r="28" customFormat="false" ht="15" hidden="false" customHeight="false" outlineLevel="0" collapsed="false">
      <c r="A28" s="28" t="n">
        <v>24</v>
      </c>
      <c r="B28" s="58" t="s">
        <v>616</v>
      </c>
      <c r="C28" s="59" t="s">
        <v>617</v>
      </c>
      <c r="D28" s="60" t="s">
        <v>576</v>
      </c>
    </row>
    <row r="29" customFormat="false" ht="15" hidden="false" customHeight="false" outlineLevel="0" collapsed="false">
      <c r="A29" s="28" t="n">
        <v>25</v>
      </c>
      <c r="B29" s="58" t="s">
        <v>618</v>
      </c>
      <c r="C29" s="59" t="s">
        <v>619</v>
      </c>
      <c r="D29" s="60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2026-10-19T18:09:58Z</dcterms:created>
  <dc:creator>openpyxl</dc:creator>
  <dc:description/>
  <dc:language>en-US</dc:language>
  <cp:lastModifiedBy/>
  <dcterms:modified xsi:type="dcterms:W3CDTF">2026-10-19T18:10:01Z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