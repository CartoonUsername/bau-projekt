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nnahmen" sheetId="2" state="visible" r:id="rId4"/>
    <sheet name="Flächen und Mieten" sheetId="3" state="visible" r:id="rId5"/>
    <sheet name="Gewerbe und Anker" sheetId="4" state="visible" r:id="rId6"/>
    <sheet name="Kosten und Finanzierung" sheetId="5" state="visible" r:id="rId7"/>
    <sheet name="Bauphase" sheetId="6" state="visible" r:id="rId8"/>
    <sheet name="Tilgung Jahre" sheetId="7" state="visible" r:id="rId9"/>
    <sheet name="Tilgungsplan" sheetId="8" state="visible" r:id="rId10"/>
    <sheet name="Ertrag und Cashflow" sheetId="9" state="visible" r:id="rId11"/>
    <sheet name="Gesellschafter" sheetId="10" state="visible" r:id="rId12"/>
    <sheet name="Szenarien" sheetId="11" state="visible" r:id="rId13"/>
    <sheet name="Gastro Betrieb" sheetId="12" state="visible" r:id="rId14"/>
    <sheet name="Gastro Tagesteile" sheetId="13" state="visible" r:id="rId15"/>
    <sheet name="Ertragswert" sheetId="14" state="visible" r:id="rId16"/>
    <sheet name="Prognose" sheetId="15" state="visible" r:id="rId17"/>
    <sheet name="Sensitivität" sheetId="16" state="visible" r:id="rId18"/>
    <sheet name="Airbnb Prüfung" sheetId="17" state="visible" r:id="rId19"/>
    <sheet name="Bankunterlagen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<sst xmlns="http://schemas.openxmlformats.org/spreadsheetml/2006/main" count="844" uniqueCount="708">
  <si>
    <t xml:space="preserve">Neue Mitte Werlte, Baufeld 3: Bankunterlagen</t>
  </si>
  <si>
    <t xml:space="preserve">Restaurant und Bar im EG (ca. 510 m², eigene Betreiberfirma), 2 Büro-Ankermieter und 5 Wohnungen im 1. OG, 7 Wohnungen im Staffelgeschoss in Holzbau, Eigentümer: Vermietungs-GbR. Bauherr: Bessam Hasso. Stand Oktober 2026.</t>
  </si>
  <si>
    <t xml:space="preserve">Kennzahl</t>
  </si>
  <si>
    <t xml:space="preserve">Wert</t>
  </si>
  <si>
    <t xml:space="preserve">Erläuterung</t>
  </si>
  <si>
    <t xml:space="preserve">Projekt</t>
  </si>
  <si>
    <t xml:space="preserve">Grundstück (m²)</t>
  </si>
  <si>
    <t xml:space="preserve">Baufeld 3, Neue Mitte Werlte</t>
  </si>
  <si>
    <t xml:space="preserve">Grundfläche Gebäude (m²)</t>
  </si>
  <si>
    <t xml:space="preserve">32 × 18 m = GRZ-Maximum (0,6 × 960 m²)</t>
  </si>
  <si>
    <t xml:space="preserve">Bruttogrundfläche gesamt (m²)</t>
  </si>
  <si>
    <t xml:space="preserve">EG 576, 1. OG 576, Staffel 498</t>
  </si>
  <si>
    <t xml:space="preserve">Gastrofläche (m²)</t>
  </si>
  <si>
    <t xml:space="preserve">ca. 190 Plätze innen, ca. 60 Terrasse</t>
  </si>
  <si>
    <t xml:space="preserve">Büro-Ankermieter (m²)</t>
  </si>
  <si>
    <t xml:space="preserve">100 m² Versicherung o. ä. und 65 m² Makler o. ä., 10 Jahre fest</t>
  </si>
  <si>
    <t xml:space="preserve">Wohneinheiten</t>
  </si>
  <si>
    <t xml:space="preserve">5 im 1. OG (ca. 64 m²), 7 im Staffelgeschoss (ca. 48 m²)</t>
  </si>
  <si>
    <t xml:space="preserve">Wohnfläche gesamt (m²)</t>
  </si>
  <si>
    <t xml:space="preserve">Kosten und Finanzierung</t>
  </si>
  <si>
    <t xml:space="preserve">Gesamtkosten</t>
  </si>
  <si>
    <t xml:space="preserve">inkl. Finanzierungskosten der Bau- und Anlaufzeit</t>
  </si>
  <si>
    <t xml:space="preserve">Darlehen gesamt</t>
  </si>
  <si>
    <t xml:space="preserve">Basis 100 % Fremdkapital, kein Eigenkapital</t>
  </si>
  <si>
    <t xml:space="preserve">davon KfW 297/298/299</t>
  </si>
  <si>
    <t xml:space="preserve">zinsverbilligt</t>
  </si>
  <si>
    <t xml:space="preserve">Anteil KfW</t>
  </si>
  <si>
    <t xml:space="preserve">Zinsvorteil durch KfW pro Jahr</t>
  </si>
  <si>
    <t xml:space="preserve">gegenüber reiner Hausbank-Finanzierung zu 4,0 %</t>
  </si>
  <si>
    <t xml:space="preserve">Mischzins</t>
  </si>
  <si>
    <t xml:space="preserve">KfW 2,5 % / 3,0 %, Hausbank 4,0 % (Annahmen)</t>
  </si>
  <si>
    <t xml:space="preserve">Kapitaldienst pro Monat (Anfangstilgung 1 %)</t>
  </si>
  <si>
    <t xml:space="preserve">nach 12 Monaten tilgungsfreier Anlaufzeit</t>
  </si>
  <si>
    <t xml:space="preserve">Restschuld nach 10 Jahren Zinsbindung</t>
  </si>
  <si>
    <t xml:space="preserve">Ertrag und Wert</t>
  </si>
  <si>
    <t xml:space="preserve">Mieten Wohnen + Büro + Pacht pro Monat</t>
  </si>
  <si>
    <t xml:space="preserve">Rohertrag</t>
  </si>
  <si>
    <t xml:space="preserve">Nettoertrag Immobilie pro Monat (nach Rücklagen)</t>
  </si>
  <si>
    <t xml:space="preserve">Vermietungs-GbR</t>
  </si>
  <si>
    <t xml:space="preserve">Ergebnis der GbR pro Monat nach Kapitaldienst</t>
  </si>
  <si>
    <t xml:space="preserve">für die Gesellschafter, vor Steuern</t>
  </si>
  <si>
    <t xml:space="preserve">Betriebsergebnis Gastro nach Pacht pro Monat (Betreiberfirma)</t>
  </si>
  <si>
    <t xml:space="preserve">Umsatz aus Blatt Gastro Tagesteile, ohne Lohn des Bauherrn, nicht in der GbR</t>
  </si>
  <si>
    <t xml:space="preserve">Kapitaldienstdeckung der GbR (DSCR)</t>
  </si>
  <si>
    <t xml:space="preserve">Bank verlangt meist mindestens 1,2</t>
  </si>
  <si>
    <t xml:space="preserve">Kapitaldienstdeckung mit Gastro-Gewinn des Bauherrn</t>
  </si>
  <si>
    <t xml:space="preserve">nur bei Bürgschaft oder Pachtgarantie</t>
  </si>
  <si>
    <t xml:space="preserve">Kapitaldienstdeckung nur Wohnen und Büro</t>
  </si>
  <si>
    <t xml:space="preserve">langfristige Mieten ohne Gastro</t>
  </si>
  <si>
    <t xml:space="preserve">Ertragswert</t>
  </si>
  <si>
    <t xml:space="preserve">Ertragswertverfahren nach Nutzung</t>
  </si>
  <si>
    <t xml:space="preserve">Beleihungswert nach Abschlag</t>
  </si>
  <si>
    <t xml:space="preserve">Beleihungsauslauf</t>
  </si>
  <si>
    <t xml:space="preserve">Darlehen / Beleihungswert</t>
  </si>
  <si>
    <t xml:space="preserve">Airbnb für 1 Apartment (60 m²)</t>
  </si>
  <si>
    <t xml:space="preserve">Alle Beträge sind Planungsannahmen. KfW-Zinsen und Rahmen sind Stand Ratgeber Oktober 2026 und müssen bei Hausbank und KfW bestätigt werden.</t>
  </si>
  <si>
    <t xml:space="preserve">Annahmen</t>
  </si>
  <si>
    <t xml:space="preserve">Blaue Zellen sind Eingaben, alle anderen Blätter rechnen daraus. Quelle 'Bauherr' = Vorgabe von Bessam Hasso, 'Annahme' = Planungsannahme ohne Beleg.</t>
  </si>
  <si>
    <t xml:space="preserve">Annahme</t>
  </si>
  <si>
    <t xml:space="preserve">Quelle / Hinweis</t>
  </si>
  <si>
    <t xml:space="preserve">Grundstück</t>
  </si>
  <si>
    <t xml:space="preserve">Grundstücksfläche (m²)</t>
  </si>
  <si>
    <t xml:space="preserve">Konzeptheft Neue Mitte Werlte, Baufeld 3</t>
  </si>
  <si>
    <t xml:space="preserve">Kaufpreis je m² (€)</t>
  </si>
  <si>
    <t xml:space="preserve">Bauherr / Stadt Werlte</t>
  </si>
  <si>
    <t xml:space="preserve">Grunderwerbsteuer</t>
  </si>
  <si>
    <t xml:space="preserve">Niedersachsen 5,0 %</t>
  </si>
  <si>
    <t xml:space="preserve">Notar und Grundbuch</t>
  </si>
  <si>
    <t xml:space="preserve">Bauwerk</t>
  </si>
  <si>
    <t xml:space="preserve">BGF Erdgeschoss (m²)</t>
  </si>
  <si>
    <t xml:space="preserve">Grundfläche 32 × 18 m = GRZ-Maximum 0,6 × 960 m² = 576 m²</t>
  </si>
  <si>
    <t xml:space="preserve">BGF 1. Obergeschoss (m²)</t>
  </si>
  <si>
    <t xml:space="preserve">zweites Vollgeschoss: 2 Büros und 3 Wohnungen</t>
  </si>
  <si>
    <t xml:space="preserve">BGF Staffelgeschoss in Holzbau (m²)</t>
  </si>
  <si>
    <t xml:space="preserve">0,8 m rundum zurückgesetzt: 30,4 × 16,4 m, 5 Wohnungen</t>
  </si>
  <si>
    <t xml:space="preserve">Baukosten je m² BGF (€)</t>
  </si>
  <si>
    <t xml:space="preserve">Bauherr (Bekanntenpreis), durch Angebote zu belegen</t>
  </si>
  <si>
    <t xml:space="preserve">Holzbau günstiger als Massivbau (€/m²)</t>
  </si>
  <si>
    <t xml:space="preserve">Annahme, Angebot der Zimmerei nötig</t>
  </si>
  <si>
    <t xml:space="preserve">Umlaufende Dachterrasse (m²)</t>
  </si>
  <si>
    <t xml:space="preserve">schmal, ca. 0,8 m, zählt nicht zur BGF</t>
  </si>
  <si>
    <t xml:space="preserve">Dachterrasse Preis (€/m²)</t>
  </si>
  <si>
    <t xml:space="preserve">Baunebenkosten</t>
  </si>
  <si>
    <t xml:space="preserve">Architekt, Statik, Gebühren; Annahme</t>
  </si>
  <si>
    <t xml:space="preserve">Mehrkosten Effizienzhaus 40 und QNG</t>
  </si>
  <si>
    <t xml:space="preserve">Annahme, auf Bau inkl. Baunebenkosten; Architekt muss bestätigen</t>
  </si>
  <si>
    <t xml:space="preserve">Gastro-Ausbau (€)</t>
  </si>
  <si>
    <t xml:space="preserve">Bauherr: 150.000 € für 150 Plätze, hier 1.000 € je Platz bei 190 Plätzen; Angebote nötig</t>
  </si>
  <si>
    <t xml:space="preserve">Flächen und Nutzung</t>
  </si>
  <si>
    <t xml:space="preserve">Gastrofläche im EG (m²)</t>
  </si>
  <si>
    <t xml:space="preserve">EG abzüglich Treppenhaus, Aufzug, Eingänge (66 m²); Bedarf siehe Blatt Gewerbe und Anker</t>
  </si>
  <si>
    <t xml:space="preserve">Nettogrundfläche Anteil der Gastrofläche</t>
  </si>
  <si>
    <t xml:space="preserve">Annahme, für KfW 299</t>
  </si>
  <si>
    <t xml:space="preserve">Wohnfläche 1. OG (m²)</t>
  </si>
  <si>
    <t xml:space="preserve">5 Wohnungen à ca. 64 m² (OG: 576 m² BGF minus Büros, Treppenhaus, Wände)</t>
  </si>
  <si>
    <t xml:space="preserve">Wohnungen im 1. OG</t>
  </si>
  <si>
    <t xml:space="preserve">Basis: 12 Wohnungen insgesamt (Vergleich mit 8 im Blatt Szenarien)</t>
  </si>
  <si>
    <t xml:space="preserve">Wohnfläche Staffelgeschoss (m²)</t>
  </si>
  <si>
    <t xml:space="preserve">7 Wohnungen à ca. 48 m² (67 % der BGF)</t>
  </si>
  <si>
    <t xml:space="preserve">Wohnungen im Staffelgeschoss</t>
  </si>
  <si>
    <t xml:space="preserve">Basis: 12 Wohnungen insgesamt</t>
  </si>
  <si>
    <t xml:space="preserve">Mehrkosten je Wohneinheit über 8 hinaus (€)</t>
  </si>
  <si>
    <t xml:space="preserve">Annahme: zusätzliche Bäder, Küchen, Trennwände und Installationen bei kleineren Wohnungen</t>
  </si>
  <si>
    <t xml:space="preserve">davon vom Bauherrn selbst genutzt (Anzahl)</t>
  </si>
  <si>
    <t xml:space="preserve">0 = alle vermietet. Selbstnutzung: KfW 297 statt 298, Miete entfällt</t>
  </si>
  <si>
    <t xml:space="preserve">Ankermieter Büro (1. OG, mit Aufzug)</t>
  </si>
  <si>
    <t xml:space="preserve">Büro 1, Versicherungsgesellschaft o. ä. (m²)</t>
  </si>
  <si>
    <t xml:space="preserve">Bauherr: größeres Büro, langfristiger Ankermieter</t>
  </si>
  <si>
    <t xml:space="preserve">Büro 1: Kaltmiete (€/m²)</t>
  </si>
  <si>
    <t xml:space="preserve">Annahme: Neubau-Büro im Mittelzentrum ca. 8–11 €/m²; keine Marktdaten für Werlte gefunden</t>
  </si>
  <si>
    <t xml:space="preserve">Büro 2, kleiner Makler o. ä. (m²)</t>
  </si>
  <si>
    <t xml:space="preserve">Bauherr: kleineres Büro</t>
  </si>
  <si>
    <t xml:space="preserve">Büro 2: Kaltmiete (€/m²)</t>
  </si>
  <si>
    <t xml:space="preserve">Annahme, kleine Einheit etwas teurer je m²</t>
  </si>
  <si>
    <t xml:space="preserve">Mietvertragslaufzeit Ankermieter (Jahre)</t>
  </si>
  <si>
    <t xml:space="preserve">Annahme: 10 Jahre fest, Indexmiete</t>
  </si>
  <si>
    <t xml:space="preserve">Vermieter-Ausbau der Büros (€/m²)</t>
  </si>
  <si>
    <t xml:space="preserve">Annahme: Böden, Decken, Elektro-Grundausbau; Rest Mieter</t>
  </si>
  <si>
    <t xml:space="preserve">Gastro-Flächenbedarf (Richtwerte)</t>
  </si>
  <si>
    <t xml:space="preserve">Plätze im Gastraum inkl. Bar und Lounge</t>
  </si>
  <si>
    <t xml:space="preserve">Planung</t>
  </si>
  <si>
    <t xml:space="preserve">Plätze im Séparée</t>
  </si>
  <si>
    <t xml:space="preserve">Fläche je Platz im Gastraum (m²)</t>
  </si>
  <si>
    <t xml:space="preserve">Richtwert Gastraum 1,6–2,2 m² je Platz</t>
  </si>
  <si>
    <t xml:space="preserve">Fläche je Platz im Séparée (m²)</t>
  </si>
  <si>
    <t xml:space="preserve">Richtwert Festtafel</t>
  </si>
  <si>
    <t xml:space="preserve">Bar- und Theken-Zone (m²)</t>
  </si>
  <si>
    <t xml:space="preserve">Theke, Backbar, Service</t>
  </si>
  <si>
    <t xml:space="preserve">Küche mit Spülküche (m²)</t>
  </si>
  <si>
    <t xml:space="preserve">Richtwert ca. 25–30 % der Gastraumfläche</t>
  </si>
  <si>
    <t xml:space="preserve">Lager, Kühlung, Anlieferung (m²)</t>
  </si>
  <si>
    <t xml:space="preserve">WC (Herren, Damen, barrierefrei) (m²)</t>
  </si>
  <si>
    <t xml:space="preserve">ca. 1 WC je 25 Plätze</t>
  </si>
  <si>
    <t xml:space="preserve">Eingang, Garderobe, Flure, Technik (m²)</t>
  </si>
  <si>
    <t xml:space="preserve">Rest bis zur Gastrofläche</t>
  </si>
  <si>
    <t xml:space="preserve">Einnahmen und Gastro</t>
  </si>
  <si>
    <t xml:space="preserve">Kaltmiete Wohnen (€/m² Wohnfläche)</t>
  </si>
  <si>
    <t xml:space="preserve">Bauherr: 950 € für 85 m²; Portale Neubau Werlte ca. 10,7–11,0 €/m²</t>
  </si>
  <si>
    <t xml:space="preserve">Mindestpacht Gastro (€/m²)</t>
  </si>
  <si>
    <t xml:space="preserve">Annahme: Untergrenze, auch bei schwachem Umsatz</t>
  </si>
  <si>
    <t xml:space="preserve">Umsatzpacht Gastro (Anteil vom Umsatz)</t>
  </si>
  <si>
    <t xml:space="preserve">Annahme: obere Grenze des üblichen Bereichs 6–12 %. Pacht = Maximum aus Mindestpacht und Umsatzpacht</t>
  </si>
  <si>
    <t xml:space="preserve">Rücklagen (Anteil an Miete und Pacht)</t>
  </si>
  <si>
    <t xml:space="preserve">Hausverwaltung, Instandhaltung, Leerstand; Nebenkosten werden umgelegt</t>
  </si>
  <si>
    <t xml:space="preserve">Gastro-Umsatz pro Monat (€)</t>
  </si>
  <si>
    <t xml:space="preserve">netto; Summe aus Frühstück, Mittag, Abend, Bar und Events (Blatt Gastro Tagesteile), Annahmen</t>
  </si>
  <si>
    <t xml:space="preserve">Gastro-Marge vor Pacht</t>
  </si>
  <si>
    <t xml:space="preserve">Branchen-Richtwert</t>
  </si>
  <si>
    <t xml:space="preserve">Lohn des Bauherrn pro Monat (€)</t>
  </si>
  <si>
    <t xml:space="preserve">Bauherr: wird vorerst nicht gerechnet</t>
  </si>
  <si>
    <t xml:space="preserve">Finanzierung (Basis 100 % Fremdkapital, KfW 297/298/299 und Hausbank)</t>
  </si>
  <si>
    <t xml:space="preserve">Eigenkapital der Gesellschafter (€)</t>
  </si>
  <si>
    <t xml:space="preserve">Basis 0 (100 % Fremdfinanzierung). Ersetzt zuerst das Hausbank-Darlehen, höchstens bis zu dessen Höhe</t>
  </si>
  <si>
    <t xml:space="preserve">KfW 297/298: Kreditrahmen je Wohneinheit (€)</t>
  </si>
  <si>
    <t xml:space="preserve">mit QNG-Zertifikat, ohne QNG 100.000 € (Stand Ratgeber Okt. 2026)</t>
  </si>
  <si>
    <t xml:space="preserve">KfW 299: Kreditrahmen je m² Nettogrundfläche (€)</t>
  </si>
  <si>
    <t xml:space="preserve">mit QNG-PLUS/PREMIUM, ohne QNG 1.500 € (Stand Ratgeber Okt. 2026)</t>
  </si>
  <si>
    <t xml:space="preserve">Zins KfW 297 und 298 (effektiv, 10 Jahre fest)</t>
  </si>
  <si>
    <t xml:space="preserve">Annahme: Ratgeber nennen 0,6 % bis 3,05 %. Bei Hausbank/KfW bestätigen</t>
  </si>
  <si>
    <t xml:space="preserve">Zins KfW 299 (effektiv, 10 Jahre fest)</t>
  </si>
  <si>
    <t xml:space="preserve">Annahme, Nichtwohngebäude teurer als Wohnen</t>
  </si>
  <si>
    <t xml:space="preserve">Zins Hausbank (Restdarlehen, 10 Jahre fest)</t>
  </si>
  <si>
    <t xml:space="preserve">Annahme, Stand Bauzinsen Sept./Okt. 2026</t>
  </si>
  <si>
    <t xml:space="preserve">Anfangstilgung p. a.</t>
  </si>
  <si>
    <t xml:space="preserve">Bauherr; Restschuld wird nach der Zinsbindung angeschlossen</t>
  </si>
  <si>
    <t xml:space="preserve">Bauzeit (Monate)</t>
  </si>
  <si>
    <t xml:space="preserve">feste Tabelle im Blatt Bauphase (15 Monate)</t>
  </si>
  <si>
    <t xml:space="preserve">Tilgungsfreie Anlaufzeit nach Bau (Monate)</t>
  </si>
  <si>
    <t xml:space="preserve">feste Tabelle im Blatt Bauphase (12 Monate), mit Bank zu verhandeln</t>
  </si>
  <si>
    <t xml:space="preserve">Bereitstellungszins p. a.</t>
  </si>
  <si>
    <t xml:space="preserve">ab Monat 7 auf noch nicht abgerufene Bausumme</t>
  </si>
  <si>
    <t xml:space="preserve">Bereitstellungszins ab Monat</t>
  </si>
  <si>
    <t xml:space="preserve">Wertermittlung (Ertragswertverfahren nach ImmoWertV)</t>
  </si>
  <si>
    <t xml:space="preserve">Liegenschaftszins Wohnen</t>
  </si>
  <si>
    <t xml:space="preserve">Annahme: Mehrfamilienhaus ländlicher Raum ca. 3,5–4,5 %</t>
  </si>
  <si>
    <t xml:space="preserve">Liegenschaftszins Büro</t>
  </si>
  <si>
    <t xml:space="preserve">Annahme: Büro/Geschäft ca. 5–7 %; Ankermieter-Vertrag 10 Jahre</t>
  </si>
  <si>
    <t xml:space="preserve">Liegenschaftszins Gastro</t>
  </si>
  <si>
    <t xml:space="preserve">Annahme: Gastro-Pacht höheres Risiko, ca. 6–7,5 %</t>
  </si>
  <si>
    <t xml:space="preserve">Restnutzungsdauer Wohnen (Jahre)</t>
  </si>
  <si>
    <t xml:space="preserve">Neubau, Annahme</t>
  </si>
  <si>
    <t xml:space="preserve">Restnutzungsdauer Büro und Gastro (Jahre)</t>
  </si>
  <si>
    <t xml:space="preserve">Annahme, Ausbau kürzer</t>
  </si>
  <si>
    <t xml:space="preserve">Verwaltungskosten Wohnen je Wohneinheit und Jahr (€)</t>
  </si>
  <si>
    <t xml:space="preserve">Annahme in Anlehnung an ImmoWertV-Ansätze</t>
  </si>
  <si>
    <t xml:space="preserve">Instandhaltung Wohnen (€/m² Wohnfläche und Jahr)</t>
  </si>
  <si>
    <t xml:space="preserve">Annahme Neubau</t>
  </si>
  <si>
    <t xml:space="preserve">Mietausfallwagnis Wohnen</t>
  </si>
  <si>
    <t xml:space="preserve">Verwaltungskosten Gewerbe (Anteil am Rohertrag)</t>
  </si>
  <si>
    <t xml:space="preserve">Instandhaltung Gewerbe (€/m² und Jahr)</t>
  </si>
  <si>
    <t xml:space="preserve">Mietausfallwagnis Gewerbe</t>
  </si>
  <si>
    <t xml:space="preserve">Annahme, Gastro als Mieter riskanter</t>
  </si>
  <si>
    <t xml:space="preserve">Mietausfallwagnis Büro (Ankermieter)</t>
  </si>
  <si>
    <t xml:space="preserve">Annahme: bonitätsstarker Mieter mit 10-Jahres-Vertrag</t>
  </si>
  <si>
    <t xml:space="preserve">Sicherheitsabschlag Beleihungswert</t>
  </si>
  <si>
    <t xml:space="preserve">Annahme der Bank, üblich 10–20 %</t>
  </si>
  <si>
    <t xml:space="preserve">Prognose</t>
  </si>
  <si>
    <t xml:space="preserve">Mietsteigerung pro Jahr</t>
  </si>
  <si>
    <t xml:space="preserve">Umsatzsteigerung Gastro pro Jahr</t>
  </si>
  <si>
    <t xml:space="preserve">Indexierung Büromieten pro Jahr</t>
  </si>
  <si>
    <t xml:space="preserve">Annahme: Indexmiete, zieht Inflation nach</t>
  </si>
  <si>
    <t xml:space="preserve">Steuer und Förderung (Gesellschafter der GbR)</t>
  </si>
  <si>
    <t xml:space="preserve">Persönlicher Grenzsteuersatz der Gesellschafter</t>
  </si>
  <si>
    <t xml:space="preserve">Annahme, individuell verschieden</t>
  </si>
  <si>
    <t xml:space="preserve">Gebäudeabschreibung linear</t>
  </si>
  <si>
    <t xml:space="preserve">§ 7 Abs. 4 EStG, Neubau</t>
  </si>
  <si>
    <t xml:space="preserve">Degressive AfA Wohnteil (steuerliche Förderung, zu prüfen)</t>
  </si>
  <si>
    <t xml:space="preserve">§ 7 Abs. 5a EStG: 5 % vom Restwert. Frist und Voraussetzungen vom Steuerberater prüfen</t>
  </si>
  <si>
    <t xml:space="preserve">Sonder-AfA Mietwohnungsneubau (steuerliche Förderung, zu prüfen)</t>
  </si>
  <si>
    <t xml:space="preserve">§ 7b EStG: 4 Jahre, Baukostengrenze 5.200 €/m², 10 Jahre Vermietung. Frist prüfen</t>
  </si>
  <si>
    <t xml:space="preserve">Gelb hinterlegt: wichtigste Stellschrauben für die Bankverhandlung.</t>
  </si>
  <si>
    <t xml:space="preserve">Flächenprogramm und Mietaufstellung</t>
  </si>
  <si>
    <t xml:space="preserve">Grundfläche 32 × 18 m (GRZ-Maximum): Gastro im EG, 2 Ankermieter-Büros und 5 Wohnungen im 1. OG, 7 Wohnungen im Staffelgeschoss. Pacht = Maximum aus Mindestpacht und 10 % vom Umsatz.</t>
  </si>
  <si>
    <t xml:space="preserve">Geschoss</t>
  </si>
  <si>
    <t xml:space="preserve">BGF (m²)</t>
  </si>
  <si>
    <t xml:space="preserve">Nutzung</t>
  </si>
  <si>
    <t xml:space="preserve">Einheiten</t>
  </si>
  <si>
    <t xml:space="preserve">Fläche (m²)</t>
  </si>
  <si>
    <t xml:space="preserve">Erdgeschoss</t>
  </si>
  <si>
    <t xml:space="preserve">Gastro</t>
  </si>
  <si>
    <t xml:space="preserve">1. Obergeschoss</t>
  </si>
  <si>
    <t xml:space="preserve">Büro + Wohnen</t>
  </si>
  <si>
    <t xml:space="preserve">Staffelgeschoss (Holzbau)</t>
  </si>
  <si>
    <t xml:space="preserve">Wohnen</t>
  </si>
  <si>
    <t xml:space="preserve">Summe</t>
  </si>
  <si>
    <t xml:space="preserve">davon Wohneinheiten / Wohnfläche</t>
  </si>
  <si>
    <t xml:space="preserve">Wohnungen</t>
  </si>
  <si>
    <t xml:space="preserve">Kaltmiete / m²</t>
  </si>
  <si>
    <t xml:space="preserve">Kaltmiete / Monat</t>
  </si>
  <si>
    <t xml:space="preserve">Kaltmiete / Jahr</t>
  </si>
  <si>
    <t xml:space="preserve">1. OG</t>
  </si>
  <si>
    <t xml:space="preserve">vermietet</t>
  </si>
  <si>
    <t xml:space="preserve">Staffel</t>
  </si>
  <si>
    <t xml:space="preserve">Summe Wohnen (alle Wohnungen, marktüblich)</t>
  </si>
  <si>
    <t xml:space="preserve">davon vermietet (Einnahmen)</t>
  </si>
  <si>
    <t xml:space="preserve">Gastro-Pacht (Betreiberfirma zahlt an die GbR)</t>
  </si>
  <si>
    <t xml:space="preserve">Büro 1 (Ankermieter, Versicherung o. ä.)</t>
  </si>
  <si>
    <t xml:space="preserve">Büro 2 (Makler o. ä.)</t>
  </si>
  <si>
    <t xml:space="preserve">Büromieten gesamt</t>
  </si>
  <si>
    <t xml:space="preserve">Rohertrag gesamt (Wohnen vermietet + Büro + Pacht)</t>
  </si>
  <si>
    <t xml:space="preserve">Nebenkosten (Grundsteuer, Versicherung, Betriebskosten) werden auf die Mieter umgelegt und sind hier nicht gerechnet. Mieten sind Annahmen des Bauherrn bzw. Planungsannahmen.</t>
  </si>
  <si>
    <t xml:space="preserve">Gewerbeflächen: Gastro-Flächenbedarf und Ankermieter Büro</t>
  </si>
  <si>
    <t xml:space="preserve">Gastro im ganzen EG nach Bedarf (aus Plätzen), zwei Büros im 1. OG als langfristige Ankermieter (Aufzug, getrennter Eingang).</t>
  </si>
  <si>
    <t xml:space="preserve">Gastro-Flächenbedarf</t>
  </si>
  <si>
    <t xml:space="preserve">Menge</t>
  </si>
  <si>
    <t xml:space="preserve">m² je Einheit</t>
  </si>
  <si>
    <t xml:space="preserve">Hinweis</t>
  </si>
  <si>
    <t xml:space="preserve">Gastraum inkl. Lounge</t>
  </si>
  <si>
    <t xml:space="preserve">Plätze × Richtwert</t>
  </si>
  <si>
    <t xml:space="preserve">Séparée (Feiern)</t>
  </si>
  <si>
    <t xml:space="preserve">Festtafel</t>
  </si>
  <si>
    <t xml:space="preserve">Bar und Theken-Zone</t>
  </si>
  <si>
    <t xml:space="preserve">Küche mit Spülküche</t>
  </si>
  <si>
    <t xml:space="preserve">Lager, Kühlung, Anlieferung</t>
  </si>
  <si>
    <t xml:space="preserve">WC (Herren, Damen, barrierefrei)</t>
  </si>
  <si>
    <t xml:space="preserve">Eingang, Garderobe, Flure, Technik</t>
  </si>
  <si>
    <t xml:space="preserve">Gastrofläche aus Bedarf</t>
  </si>
  <si>
    <t xml:space="preserve">Gastrofläche im Modell (Annahmen)</t>
  </si>
  <si>
    <t xml:space="preserve">Abweichung (Bedarf minus Modell)</t>
  </si>
  <si>
    <t xml:space="preserve">Plätze innen gesamt</t>
  </si>
  <si>
    <t xml:space="preserve">Bruttofläche je Platz (m²)</t>
  </si>
  <si>
    <t xml:space="preserve">Richtwert Gesamtfläche 2,5–3 m² je Platz</t>
  </si>
  <si>
    <t xml:space="preserve">Gastro-Umsatz je Platz und Jahr (€)</t>
  </si>
  <si>
    <t xml:space="preserve">Österreich Median ca. 12.000 €</t>
  </si>
  <si>
    <t xml:space="preserve">Pacht in % vom Gastro-Umsatz</t>
  </si>
  <si>
    <t xml:space="preserve">üblich 6–12 %</t>
  </si>
  <si>
    <t xml:space="preserve">Ankermieter Büro</t>
  </si>
  <si>
    <t xml:space="preserve">Miete €/m²</t>
  </si>
  <si>
    <t xml:space="preserve">Miete / Monat</t>
  </si>
  <si>
    <t xml:space="preserve">Miete / Jahr</t>
  </si>
  <si>
    <t xml:space="preserve">Laufzeit (Jahre)</t>
  </si>
  <si>
    <t xml:space="preserve">Miete über Laufzeit</t>
  </si>
  <si>
    <t xml:space="preserve">Anteil am Rohertrag</t>
  </si>
  <si>
    <t xml:space="preserve">Büro 1: Versicherungsgesellschaft o. ä.</t>
  </si>
  <si>
    <t xml:space="preserve">Büro 2: Makler o. ä.</t>
  </si>
  <si>
    <t xml:space="preserve">Summe Büro</t>
  </si>
  <si>
    <t xml:space="preserve">Deckung des Kapitaldienstes durch langfristige Mieten</t>
  </si>
  <si>
    <t xml:space="preserve">Kapitaldienst pro Jahr</t>
  </si>
  <si>
    <t xml:space="preserve">Büromieten nach Rücklagen pro Jahr</t>
  </si>
  <si>
    <t xml:space="preserve">davon gedeckter Anteil des Kapitaldienstes</t>
  </si>
  <si>
    <t xml:space="preserve">Wohnen und Büro nach Rücklagen pro Jahr</t>
  </si>
  <si>
    <t xml:space="preserve">davon gedeckter Anteil des Kapitaldienstes (ohne Gastro)</t>
  </si>
  <si>
    <t xml:space="preserve">Mietdauer-gewichtete Restlaufzeit der Büro-Verträge (Jahre)</t>
  </si>
  <si>
    <t xml:space="preserve">Stellplatzbedarf (grobe Annahme)</t>
  </si>
  <si>
    <t xml:space="preserve">Wohnungen: 1,5 je Wohnung</t>
  </si>
  <si>
    <t xml:space="preserve">Gastro: 1 je 10 m² Gastraum (Gastraum, Séparée, Bar)</t>
  </si>
  <si>
    <t xml:space="preserve">Büro: 1 je 30 m²</t>
  </si>
  <si>
    <t xml:space="preserve">Stellplatzbedarf gesamt</t>
  </si>
  <si>
    <t xml:space="preserve">Stellplatzsatzung der Stadt gilt verbindlich</t>
  </si>
  <si>
    <t xml:space="preserve">Hinweis: Büromieten und Laufzeiten sind Annahmen, für Werlte liegen keine Büromarktdaten vor. Anker-Mietverträge (Vorverträge) vor Baubeginn sichern.</t>
  </si>
  <si>
    <t xml:space="preserve">Kosten und Finanzierungsplan</t>
  </si>
  <si>
    <t xml:space="preserve">Mittelverwendung und Mittelherkunft. 100 % Fremdfinanzierung, kein Eigenkapital.</t>
  </si>
  <si>
    <t xml:space="preserve">Mittelverwendung (Kosten)</t>
  </si>
  <si>
    <t xml:space="preserve">Betrag</t>
  </si>
  <si>
    <t xml:space="preserve">Anteil</t>
  </si>
  <si>
    <t xml:space="preserve">Rechnung</t>
  </si>
  <si>
    <t xml:space="preserve">Grundstück (Kaufpreis)</t>
  </si>
  <si>
    <t xml:space="preserve">m² × Preis</t>
  </si>
  <si>
    <t xml:space="preserve">Grundstück gesamt</t>
  </si>
  <si>
    <t xml:space="preserve">Bau, Massivbau (BGF × Baukosten)</t>
  </si>
  <si>
    <t xml:space="preserve">Abschlag Holzbau Staffelgeschoss</t>
  </si>
  <si>
    <t xml:space="preserve">Dachterrasse rundum</t>
  </si>
  <si>
    <t xml:space="preserve">Bau gesamt</t>
  </si>
  <si>
    <t xml:space="preserve">15 % vom Bau</t>
  </si>
  <si>
    <t xml:space="preserve">Mehrkosten Effizienzhaus 40 und QNG-Nachweis</t>
  </si>
  <si>
    <t xml:space="preserve">3 % auf Bau inkl. Baunebenkosten</t>
  </si>
  <si>
    <t xml:space="preserve">Ausbau Gastro, Büros (Vermieter-Ausbau) und Mehrkosten zusätzlicher Wohneinheiten</t>
  </si>
  <si>
    <t xml:space="preserve">Gastro 1.000 € je Platz, Büros 150 €/m², je Wohnung über 8: 15.000 €</t>
  </si>
  <si>
    <t xml:space="preserve">Investitionskosten ohne Finanzierung</t>
  </si>
  <si>
    <t xml:space="preserve">Finanzierungskosten (Bauzeit, Bereitstellung, Anlaufzeit)</t>
  </si>
  <si>
    <t xml:space="preserve">aus Blatt Bauphase</t>
  </si>
  <si>
    <t xml:space="preserve">Gesamtkosten des Vorhabens</t>
  </si>
  <si>
    <t xml:space="preserve">Kosten je m² BGF</t>
  </si>
  <si>
    <t xml:space="preserve">Kosten je Wohneinheit (Gesamtkosten / Wohneinheiten, inkl. Gewerbe)</t>
  </si>
  <si>
    <t xml:space="preserve">Mittelherkunft (Finanzierung)</t>
  </si>
  <si>
    <t xml:space="preserve">Betrag bei Rate-Start</t>
  </si>
  <si>
    <t xml:space="preserve">Zins / Programm</t>
  </si>
  <si>
    <t xml:space="preserve">KfW 297 Klimafreundlicher Neubau (selbst genutzte Wohnungen)</t>
  </si>
  <si>
    <t xml:space="preserve">KfW 298 Klimafreundlicher Neubau (vermietete Wohnungen)</t>
  </si>
  <si>
    <t xml:space="preserve">KfW 299 Klimafreundlicher Neubau (Nichtwohngebäude: Gastro und Büros)</t>
  </si>
  <si>
    <t xml:space="preserve">Hausbank-Darlehen (Restfinanzierung inkl. Zinsen der Bauzeit)</t>
  </si>
  <si>
    <t xml:space="preserve">Eigenkapital</t>
  </si>
  <si>
    <t xml:space="preserve">Summe Finanzierung</t>
  </si>
  <si>
    <t xml:space="preserve">Anteil KfW-Kredite an der Finanzierung</t>
  </si>
  <si>
    <t xml:space="preserve">Mischzins aller Darlehen</t>
  </si>
  <si>
    <t xml:space="preserve">KfW-Rahmen laut Programm (Stand Ratgeber Okt. 2026, bei Hausbank und KfW zu bestätigen):</t>
  </si>
  <si>
    <t xml:space="preserve">KfW 297/298: Rahmen Wohnen (Wohneinheiten × 150.000 €)</t>
  </si>
  <si>
    <t xml:space="preserve">KfW 299: Rahmen Gastro und Büros (Nettogrundfläche × 2.000 €)</t>
  </si>
  <si>
    <t xml:space="preserve">KfW-Rahmen gesamt</t>
  </si>
  <si>
    <t xml:space="preserve">Antrag nur mit Effizienzhaus 40, QNG-Zertifikat, Heizung ohne Öl, Gas und Biomasse, vor Baubeginn über die Hausbank.</t>
  </si>
  <si>
    <t xml:space="preserve">Förderwirkung (Jahr 1 nach der Anlaufzeit)</t>
  </si>
  <si>
    <t xml:space="preserve">KfW-Kredite insgesamt (297/298/299)</t>
  </si>
  <si>
    <t xml:space="preserve">Zinsvorteil KfW 297/298 gegenüber Hausbank</t>
  </si>
  <si>
    <t xml:space="preserve">Zinsvorteil KfW 299 gegenüber Hausbank</t>
  </si>
  <si>
    <t xml:space="preserve">Zinsvorteil durch KfW pro Monat</t>
  </si>
  <si>
    <t xml:space="preserve">Weitere Förderung, nicht im Basisrechnung: Steuerliche Abschreibungen (Blatt Gesellschafter) und NBank-Mietwohnraumförderung (zinsloses Darlehen, Zuschuss 2–3 €/m² Wohnfläche und Monat gegen Mietbindung, Mietobergrenze ca. 6,50–6,80 €/m²).</t>
  </si>
  <si>
    <t xml:space="preserve">Bauphase und Anlaufzeit: Abrufe, Zinsen, Kreditstand</t>
  </si>
  <si>
    <t xml:space="preserve">Monat 0 = Grundstück. Monate 1–15 Bau. Monate 16–27 tilgungsfreie Anlaufzeit. KfW-Darlehen werden anteilig zu den Ausgaben abgerufen, die Hausbank zahlt zusätzlich alle Zinsen.</t>
  </si>
  <si>
    <t xml:space="preserve">Anteil KfW Wohnen an den Ausgaben</t>
  </si>
  <si>
    <t xml:space="preserve">Anteil KfW Gastro</t>
  </si>
  <si>
    <t xml:space="preserve">Anteil Hausbank</t>
  </si>
  <si>
    <t xml:space="preserve">Monat</t>
  </si>
  <si>
    <t xml:space="preserve">Phase</t>
  </si>
  <si>
    <t xml:space="preserve">Ausgaben (Grundstück, Bau)</t>
  </si>
  <si>
    <t xml:space="preserve">Offene Bausumme</t>
  </si>
  <si>
    <t xml:space="preserve">Abruf KfW Wohnen</t>
  </si>
  <si>
    <t xml:space="preserve">Abruf KfW Gastro</t>
  </si>
  <si>
    <t xml:space="preserve">Zinsen KfW Wohnen</t>
  </si>
  <si>
    <t xml:space="preserve">Zinsen KfW Gastro</t>
  </si>
  <si>
    <t xml:space="preserve">Zinsen Hausbank</t>
  </si>
  <si>
    <t xml:space="preserve">Bereitstellungs-zins</t>
  </si>
  <si>
    <t xml:space="preserve">Abruf Hausbank</t>
  </si>
  <si>
    <t xml:space="preserve">Stand KfW Wohnen</t>
  </si>
  <si>
    <t xml:space="preserve">Stand KfW Gastro</t>
  </si>
  <si>
    <t xml:space="preserve">Stand Hausbank</t>
  </si>
  <si>
    <t xml:space="preserve">Bau</t>
  </si>
  <si>
    <t xml:space="preserve">Anlaufzeit</t>
  </si>
  <si>
    <t xml:space="preserve">Rate-Start</t>
  </si>
  <si>
    <t xml:space="preserve">Summen</t>
  </si>
  <si>
    <t xml:space="preserve">Finanzierungskosten gesamt (Zinsen und Bereitstellung):</t>
  </si>
  <si>
    <t xml:space="preserve">Kontrolle: Stand Rate-Start minus Ausgaben minus Finanzierungskosten (muss 0 sein)</t>
  </si>
  <si>
    <t xml:space="preserve">Abzahlungsplan nach Jahren</t>
  </si>
  <si>
    <t xml:space="preserve">Zusammenfassung des monatlichen Tilgungsplans. Zinsbindung 10 Jahre, danach gleicher Zins angenommen.</t>
  </si>
  <si>
    <t xml:space="preserve">Jahr</t>
  </si>
  <si>
    <t xml:space="preserve">Zinsen</t>
  </si>
  <si>
    <t xml:space="preserve">Tilgung</t>
  </si>
  <si>
    <t xml:space="preserve">Kapitaldienst (Rate)</t>
  </si>
  <si>
    <t xml:space="preserve">Restschuld Jahresende</t>
  </si>
  <si>
    <t xml:space="preserve">davon KfW</t>
  </si>
  <si>
    <t xml:space="preserve">Zinsbindung</t>
  </si>
  <si>
    <t xml:space="preserve">bis Jahr 10</t>
  </si>
  <si>
    <t xml:space="preserve">Anschluss</t>
  </si>
  <si>
    <t xml:space="preserve">Abzahlungsplan (Tilgungsplan) monatlich, 35 Jahre</t>
  </si>
  <si>
    <t xml:space="preserve">Annuitätendarlehen: Rate = Darlehen × (Zins + Anfangstilgung) / 12. Nach 10 Jahren Zinsbindung wird der gleiche Zins angenommen.</t>
  </si>
  <si>
    <t xml:space="preserve">KfW Wohnen</t>
  </si>
  <si>
    <t xml:space="preserve">KfW Gastro</t>
  </si>
  <si>
    <t xml:space="preserve">Hausbank</t>
  </si>
  <si>
    <t xml:space="preserve">Rate pro Monat</t>
  </si>
  <si>
    <t xml:space="preserve">Zins KfW Wohnen</t>
  </si>
  <si>
    <t xml:space="preserve">Tilgung KfW Wohnen</t>
  </si>
  <si>
    <t xml:space="preserve">Rest KfW Wohnen</t>
  </si>
  <si>
    <t xml:space="preserve">Zins KfW Gastro</t>
  </si>
  <si>
    <t xml:space="preserve">Tilgung KfW Gastro</t>
  </si>
  <si>
    <t xml:space="preserve">Rest KfW Gastro</t>
  </si>
  <si>
    <t xml:space="preserve">Zins Hausbank</t>
  </si>
  <si>
    <t xml:space="preserve">Tilgung Hausbank</t>
  </si>
  <si>
    <t xml:space="preserve">Rest Hausbank</t>
  </si>
  <si>
    <t xml:space="preserve">Zinsen gesamt</t>
  </si>
  <si>
    <t xml:space="preserve">Tilgung gesamt</t>
  </si>
  <si>
    <t xml:space="preserve">Rate gesamt</t>
  </si>
  <si>
    <t xml:space="preserve">Restschuld gesamt</t>
  </si>
  <si>
    <t xml:space="preserve">Ertrag und Kapitaldienst der Vermietungs-GbR (erstes Jahr nach der Anlaufzeit)</t>
  </si>
  <si>
    <t xml:space="preserve">Die Gastro wird von einer eigenen Betreiberfirma geführt und zahlt Pacht an die GbR. Kapitaldienstdeckung (DSCR) = Ertrag der GbR / Kapitaldienst.</t>
  </si>
  <si>
    <t xml:space="preserve">Position</t>
  </si>
  <si>
    <t xml:space="preserve">pro Monat</t>
  </si>
  <si>
    <t xml:space="preserve">pro Jahr</t>
  </si>
  <si>
    <t xml:space="preserve">Kaltmiete Wohnen (vermietete Wohnungen)</t>
  </si>
  <si>
    <t xml:space="preserve">Büromieten (2 Ankermieter)</t>
  </si>
  <si>
    <t xml:space="preserve">10 Jahre fest, Indexmiete</t>
  </si>
  <si>
    <t xml:space="preserve">Pacht Gastro</t>
  </si>
  <si>
    <t xml:space="preserve">Maximum aus Mindestpacht und 10 % vom Umsatz</t>
  </si>
  <si>
    <t xml:space="preserve">Rücklagen (Verwaltung, Instandhaltung, Leerstand)</t>
  </si>
  <si>
    <t xml:space="preserve">10 % von Miete, Büro und Pacht</t>
  </si>
  <si>
    <t xml:space="preserve">Nettoertrag Immobilie (Vermietungs-GbR)</t>
  </si>
  <si>
    <t xml:space="preserve">Kapitaldienst (Zinsen und Tilgung aller Darlehen)</t>
  </si>
  <si>
    <t xml:space="preserve">Betriebsergebnis Gastro nach Pacht (Betreiberfirma)</t>
  </si>
  <si>
    <t xml:space="preserve">gehört der Betreiberfirma des Bauherrn, ohne Lohn</t>
  </si>
  <si>
    <t xml:space="preserve">Gesamtergebnis Bauherr (GbR-Anteil und Betreiberfirma)</t>
  </si>
  <si>
    <t xml:space="preserve">nur zur Information</t>
  </si>
  <si>
    <t xml:space="preserve">Kapitaldienstdeckung mit Gastro-Gewinn des Bauherrn (nur wenn er einsteht)</t>
  </si>
  <si>
    <t xml:space="preserve">z. B. über Bürgschaft oder Pachtgarantie</t>
  </si>
  <si>
    <t xml:space="preserve">Kapitaldienstdeckung nur langfristige Mieten (Wohnen, Büro)</t>
  </si>
  <si>
    <t xml:space="preserve">ohne Pacht: Ankermieter helfen hier</t>
  </si>
  <si>
    <t xml:space="preserve">Zinsdeckung (Ertrag der GbR / Zinsen)</t>
  </si>
  <si>
    <t xml:space="preserve">Anfangsrendite auf Gesamtkosten (Nettoertrag Immobilie p. a.)</t>
  </si>
  <si>
    <t xml:space="preserve">Gastro-Umsatz, ab dem die GbR den Kapitaldienst voll deckt (Umsatzpacht)</t>
  </si>
  <si>
    <t xml:space="preserve">darunter fehlt der GbR Geld</t>
  </si>
  <si>
    <t xml:space="preserve">Anteil der Büro-Ankermieter am Rohertrag</t>
  </si>
  <si>
    <t xml:space="preserve">Vermietungs-GbR: Ergebnis pro Gesellschafter</t>
  </si>
  <si>
    <t xml:space="preserve">Gleiche Anteile. Die Gastro ist eine eigene Betreiberfirma und gehört nicht zur GbR. Steuerliche Werte vereinfacht, Steuerberater prüft.</t>
  </si>
  <si>
    <t xml:space="preserve">Ergebnis der GbR im ersten Jahr nach der Anlaufzeit</t>
  </si>
  <si>
    <t xml:space="preserve">Nettoertrag Immobilie pro Jahr</t>
  </si>
  <si>
    <t xml:space="preserve">Zinsen im 1. Jahr</t>
  </si>
  <si>
    <t xml:space="preserve">Tilgung im 1. Jahr (Vermögensaufbau)</t>
  </si>
  <si>
    <t xml:space="preserve">Cash nach Kapitaldienst pro Jahr</t>
  </si>
  <si>
    <t xml:space="preserve">Gebäudekosten als Abschreibungsbasis (ohne Grundstück und Finanzierungskosten)</t>
  </si>
  <si>
    <t xml:space="preserve">Abschreibung linear 3 %</t>
  </si>
  <si>
    <t xml:space="preserve">Steuerliches Ergebnis (Verlust negativ)</t>
  </si>
  <si>
    <t xml:space="preserve">Wohnanteil nach Fläche (Wohnen / Wohnen, Büro, Gastro)</t>
  </si>
  <si>
    <t xml:space="preserve">Abschreibung mit steuerlicher Förderung (Wohnteil: degressiv 5 % + Sonder-AfA 5 %, Rest linear)</t>
  </si>
  <si>
    <t xml:space="preserve">Option: § 7 Abs. 5a und § 7b EStG, Fristen und Voraussetzungen prüfen</t>
  </si>
  <si>
    <t xml:space="preserve">Steuerliches Ergebnis mit Förderung (Verlust negativ)</t>
  </si>
  <si>
    <t xml:space="preserve">Pro Gesellschafter bei gleichen Anteilen</t>
  </si>
  <si>
    <t xml:space="preserve">1 Person</t>
  </si>
  <si>
    <t xml:space="preserve">2 Personen</t>
  </si>
  <si>
    <t xml:space="preserve">4 Personen</t>
  </si>
  <si>
    <t xml:space="preserve">8 Personen</t>
  </si>
  <si>
    <t xml:space="preserve">Eigenkapital pro Person</t>
  </si>
  <si>
    <t xml:space="preserve">Cash pro Person und Jahr (vor Steuern)</t>
  </si>
  <si>
    <t xml:space="preserve">Cash pro Person und Monat (vor Steuern)</t>
  </si>
  <si>
    <t xml:space="preserve">Steuerliches Ergebnis pro Person und Jahr</t>
  </si>
  <si>
    <t xml:space="preserve">Steuerwirkung pro Person (Erstattung bei Verlust, Zahlung bei Gewinn)</t>
  </si>
  <si>
    <t xml:space="preserve">Cash nach Steuer pro Person und Jahr</t>
  </si>
  <si>
    <t xml:space="preserve">Cash nach Steuer pro Person und Monat</t>
  </si>
  <si>
    <t xml:space="preserve">Mit steuerlicher Förderung: Steuerwirkung pro Person und Jahr</t>
  </si>
  <si>
    <t xml:space="preserve">Mit steuerlicher Förderung: Cash nach Steuer pro Person und Jahr</t>
  </si>
  <si>
    <t xml:space="preserve">Mit steuerlicher Förderung: Cash nach Steuer pro Person und Monat</t>
  </si>
  <si>
    <t xml:space="preserve">Tilgung pro Person und Jahr (Vermögensaufbau)</t>
  </si>
  <si>
    <t xml:space="preserve">Betreiberfirma Gastro (Bauherr, nicht in der GbR)</t>
  </si>
  <si>
    <t xml:space="preserve">Betriebsergebnis nach Pacht pro Monat</t>
  </si>
  <si>
    <t xml:space="preserve">Betriebsergebnis nach Pacht pro Jahr</t>
  </si>
  <si>
    <t xml:space="preserve">Hinweise: Verluste der GbR können mit anderen Einkünften verrechnet werden, das Finanzamt prüft dabei die Gewinnerzielungsabsicht (Totalüberschuss). Die GbR haftet persönlich und gesamtschuldnerisch. Der Steuersatz von 35 % ist eine Annahme. Die Förderoptionen (degressive Abschreibung, Sonder-AfA) und die NBank-Mietwohnraumförderung sind in der Basisrechnung nicht enthalten.</t>
  </si>
  <si>
    <t xml:space="preserve">Vergleich: 12 gegen 8 Wohnungen, ohne und mit Eigenkapital</t>
  </si>
  <si>
    <t xml:space="preserve">Feste Werte aus einem unabhängigen Nachbau des Modells (rechenkern.py), Restaurant und Bar, Gastro getrennt, KfW 297/298/299 berücksichtigt. Das Blatt Basis (12 Wohnungen) im Rest der Datei rechnet live.</t>
  </si>
  <si>
    <t xml:space="preserve">12 WE ohne EK</t>
  </si>
  <si>
    <t xml:space="preserve">8 WE ohne EK</t>
  </si>
  <si>
    <t xml:space="preserve">12 WE mit EK</t>
  </si>
  <si>
    <t xml:space="preserve">8 WE mit EK</t>
  </si>
  <si>
    <t xml:space="preserve">Eigenkapital (für Kapitaldienstdeckung 1,2 gerechnet)</t>
  </si>
  <si>
    <t xml:space="preserve">Gesamtkosten inkl. Finanzierung</t>
  </si>
  <si>
    <t xml:space="preserve">KfW-Kredite 297/298/299</t>
  </si>
  <si>
    <t xml:space="preserve">Hausbank-Darlehen</t>
  </si>
  <si>
    <t xml:space="preserve">Zinsvorteil durch KfW pro Jahr (gegenüber Hausbank 4 %)</t>
  </si>
  <si>
    <t xml:space="preserve">Kapitaldienst pro Monat</t>
  </si>
  <si>
    <t xml:space="preserve">Pacht Gastro pro Monat</t>
  </si>
  <si>
    <t xml:space="preserve">Nettoertrag Immobilie pro Monat</t>
  </si>
  <si>
    <t xml:space="preserve">Ergebnis der GbR pro Jahr</t>
  </si>
  <si>
    <t xml:space="preserve">Betriebsergebnis Betreiberfirma pro Monat</t>
  </si>
  <si>
    <t xml:space="preserve">Gesamtergebnis Bauherr pro Monat</t>
  </si>
  <si>
    <t xml:space="preserve">Kosten / Ertrag der GbR vor Kapitaldienst (Vervielfältiger)</t>
  </si>
  <si>
    <t xml:space="preserve">Kosten / Gesamtergebnis Bauherr pro Jahr</t>
  </si>
  <si>
    <t xml:space="preserve">Steuerliches Ergebnis pro Jahr (Verlust negativ)</t>
  </si>
  <si>
    <t xml:space="preserve">Steuerliches Ergebnis mit steuerlicher Förderung</t>
  </si>
  <si>
    <t xml:space="preserve">Cash pro Person und Monat vor Steuern, 1 Person</t>
  </si>
  <si>
    <t xml:space="preserve">Cash pro Person und Monat vor Steuern, 2 Personen</t>
  </si>
  <si>
    <t xml:space="preserve">Cash pro Person und Monat vor Steuern, 4 Personen</t>
  </si>
  <si>
    <t xml:space="preserve">Cash pro Person und Monat vor Steuern, 8 Personen</t>
  </si>
  <si>
    <t xml:space="preserve">Cash pro Person und Monat nach Steuer, 1 Person</t>
  </si>
  <si>
    <t xml:space="preserve">Cash pro Person und Monat nach Steuer, 2 Personen</t>
  </si>
  <si>
    <t xml:space="preserve">Cash pro Person und Monat nach Steuer, 4 Personen</t>
  </si>
  <si>
    <t xml:space="preserve">Cash pro Person und Monat nach Steuer, 8 Personen</t>
  </si>
  <si>
    <t xml:space="preserve">Eigenkapital pro Person, 1 Person</t>
  </si>
  <si>
    <t xml:space="preserve">Eigenkapital pro Person, 2 Personen</t>
  </si>
  <si>
    <t xml:space="preserve">Eigenkapital pro Person, 4 Personen</t>
  </si>
  <si>
    <t xml:space="preserve">Eigenkapital pro Person, 8 Personen</t>
  </si>
  <si>
    <t xml:space="preserve">Annahmen: Gastro-Umsatz 95.635 €/Monat (Restaurant und Bar), Pacht 10 % vom Umsatz (mindestens 10 €/m²), Mehrkosten 15.000 € je Wohnung über 8, Steuersatz 35 %. Steuerliche Förderung: degressive AfA und Sonder-AfA nur im Wohnteil.</t>
  </si>
  <si>
    <t xml:space="preserve">Gastro-Betrieb: Umsatz, Kosten, Ergebnis pro Monat</t>
  </si>
  <si>
    <t xml:space="preserve">Betreiberfirma des Bauherrn (getrennt von der Vermietungs-GbR). Richtwerte aus der Branche, keine Werte aus Werlte. Lohn des Bauherrn ist nicht gerechnet.</t>
  </si>
  <si>
    <t xml:space="preserve">Posten</t>
  </si>
  <si>
    <t xml:space="preserve">Betrag / Monat</t>
  </si>
  <si>
    <t xml:space="preserve">Umsatz (netto)</t>
  </si>
  <si>
    <t xml:space="preserve">Wareneinsatz (Einkauf Essen und Getränke)</t>
  </si>
  <si>
    <t xml:space="preserve">Personal (ohne Lohn des Bauherrn)</t>
  </si>
  <si>
    <t xml:space="preserve">Energie, Wasser, Müll</t>
  </si>
  <si>
    <t xml:space="preserve">Reinigung, Wäsche, Verbrauchsmaterial</t>
  </si>
  <si>
    <t xml:space="preserve">Werbung und Marketing</t>
  </si>
  <si>
    <t xml:space="preserve">Reparaturen, Wartung, Kassensystem</t>
  </si>
  <si>
    <t xml:space="preserve">Sonstiges</t>
  </si>
  <si>
    <t xml:space="preserve">Versicherungen, GEMA, Gebühren</t>
  </si>
  <si>
    <t xml:space="preserve">Steuerberater, Buchhaltung</t>
  </si>
  <si>
    <t xml:space="preserve">Summe Betriebskosten ohne Pacht</t>
  </si>
  <si>
    <t xml:space="preserve">Gewinn vor Pacht</t>
  </si>
  <si>
    <t xml:space="preserve">Marge laut Annahmen muss mit 30,5 % übereinstimmen</t>
  </si>
  <si>
    <t xml:space="preserve">Pacht an die GbR (Maximum aus Mindestpacht und Umsatzpacht)</t>
  </si>
  <si>
    <t xml:space="preserve">Lohn des Bauherrn</t>
  </si>
  <si>
    <t xml:space="preserve">Betriebsergebnis nach Pacht</t>
  </si>
  <si>
    <t xml:space="preserve">Break-even-Umsatz des Betriebs (Ergebnis nach Pacht = 0)</t>
  </si>
  <si>
    <t xml:space="preserve">Umsatz pro Monat</t>
  </si>
  <si>
    <t xml:space="preserve">Gewinn nach Pacht</t>
  </si>
  <si>
    <t xml:space="preserve">Bei sehr niedrigem Umsatz drücken Fixkosten stärker: die Rechnung ist dort zu günstig.</t>
  </si>
  <si>
    <t xml:space="preserve">Gastro-Umsatz nach Tagesteilen: Frühstück, Mittag, Abend, Bar</t>
  </si>
  <si>
    <t xml:space="preserve">Hauptfokus Abend mit Restaurant und Bar. Öffnungstage, Gäste und Bon sind Annahmen (keine Marktdaten für Werlte), Ruhetag Montag.</t>
  </si>
  <si>
    <t xml:space="preserve">Tagesteil</t>
  </si>
  <si>
    <t xml:space="preserve">Zeit</t>
  </si>
  <si>
    <t xml:space="preserve">Tage / Monat</t>
  </si>
  <si>
    <t xml:space="preserve">Gäste / Tag</t>
  </si>
  <si>
    <t xml:space="preserve">Ø Bon (€)</t>
  </si>
  <si>
    <t xml:space="preserve">Umsatz / Monat</t>
  </si>
  <si>
    <t xml:space="preserve">Frühstück werktags</t>
  </si>
  <si>
    <t xml:space="preserve">Di–Fr 08:00–11:00</t>
  </si>
  <si>
    <t xml:space="preserve">Brunch am Wochenende</t>
  </si>
  <si>
    <t xml:space="preserve">Sa, So 09:00–14:00</t>
  </si>
  <si>
    <t xml:space="preserve">Mittagstisch</t>
  </si>
  <si>
    <t xml:space="preserve">Di–Fr 11:30–14:30</t>
  </si>
  <si>
    <t xml:space="preserve">Abendessen Restaurant</t>
  </si>
  <si>
    <t xml:space="preserve">Di–So 17:30–22:00</t>
  </si>
  <si>
    <t xml:space="preserve">Bar Di–Do</t>
  </si>
  <si>
    <t xml:space="preserve">ab 21:00</t>
  </si>
  <si>
    <t xml:space="preserve">Bar Fr, Sa (bis 01:00)</t>
  </si>
  <si>
    <t xml:space="preserve">Cocktails, Wein, Bier, Musik</t>
  </si>
  <si>
    <t xml:space="preserve">Feiern, Live-Abende, Séparée</t>
  </si>
  <si>
    <t xml:space="preserve">nach Absprache, 4 pro Monat</t>
  </si>
  <si>
    <t xml:space="preserve">Gastro-Umsatz pro Monat (netto)</t>
  </si>
  <si>
    <t xml:space="preserve">davon Tag (Frühstück, Brunch, Mittag)</t>
  </si>
  <si>
    <t xml:space="preserve">davon Abend (Restaurant, Bar, Feiern)</t>
  </si>
  <si>
    <t xml:space="preserve">Gäste pro Monat</t>
  </si>
  <si>
    <t xml:space="preserve">Umsatz je Platz und Jahr (190 Plätze)</t>
  </si>
  <si>
    <t xml:space="preserve">Auslastung der Plätze am Abend (Restaurantgäste je Tag / Plätze)</t>
  </si>
  <si>
    <t xml:space="preserve">Einordnung: Der Abend (Restaurant, Bar, Feiern) trägt den größten Teil des Umsatzes, Frühstück und Mittagstisch füllen das Haus am Tag. Terrasse im Sommer, Catering und Weihnachtsfeiern sind nicht eingerechnet. Branchen-Median Österreich ca. 12.000 € je Platz und Jahr.</t>
  </si>
  <si>
    <t xml:space="preserve">Ertragswert und Beleihung</t>
  </si>
  <si>
    <t xml:space="preserve">Ertragswertverfahren nach ImmoWertV (vereinfacht) getrennt nach Wohnen, Büro und Gastro. Ein Gutachter der Bank ermittelt den verbindlichen Beleihungswert.</t>
  </si>
  <si>
    <t xml:space="preserve">Ertragswert nach Nutzung</t>
  </si>
  <si>
    <t xml:space="preserve">Büro</t>
  </si>
  <si>
    <t xml:space="preserve">Rohertrag pro Jahr</t>
  </si>
  <si>
    <t xml:space="preserve">Verwaltungskosten</t>
  </si>
  <si>
    <t xml:space="preserve">Instandhaltung</t>
  </si>
  <si>
    <t xml:space="preserve">Mietausfallwagnis</t>
  </si>
  <si>
    <t xml:space="preserve">Bewirtschaftungskosten</t>
  </si>
  <si>
    <t xml:space="preserve">Reinertrag</t>
  </si>
  <si>
    <t xml:space="preserve">Flächenanteil (für die Verteilung des Bodenwerts)</t>
  </si>
  <si>
    <t xml:space="preserve">Bodenwertanteil (Bodenwert 960 m² × 230 €)</t>
  </si>
  <si>
    <t xml:space="preserve">Liegenschaftszins</t>
  </si>
  <si>
    <t xml:space="preserve">Bodenwertverzinsung</t>
  </si>
  <si>
    <t xml:space="preserve">Reinertragsanteil der Gebäude</t>
  </si>
  <si>
    <t xml:space="preserve">Restnutzungsdauer (Jahre)</t>
  </si>
  <si>
    <t xml:space="preserve">Vervielfältiger</t>
  </si>
  <si>
    <t xml:space="preserve">Summe: mittlerer Vervielfältiger</t>
  </si>
  <si>
    <t xml:space="preserve">Ertragswert der Gebäude</t>
  </si>
  <si>
    <t xml:space="preserve">Ertragswert (Gebäude plus Bodenwert)</t>
  </si>
  <si>
    <t xml:space="preserve">Beleihung</t>
  </si>
  <si>
    <t xml:space="preserve">Sachwert (Bodenwert plus Herstellungskosten Gebäude)</t>
  </si>
  <si>
    <t xml:space="preserve">ohne Gastro-Einrichtung</t>
  </si>
  <si>
    <t xml:space="preserve">Marktwert-Schätzung (niedrigerer Wert)</t>
  </si>
  <si>
    <t xml:space="preserve">bei Ertragsimmobilien zählt der Ertragswert</t>
  </si>
  <si>
    <t xml:space="preserve">Beleihungswert nach Sicherheitsabschlag</t>
  </si>
  <si>
    <t xml:space="preserve">Abschlag der Bank</t>
  </si>
  <si>
    <t xml:space="preserve">Darlehensbedarf (100 % Fremdfinanzierung)</t>
  </si>
  <si>
    <t xml:space="preserve">Beleihungsauslauf (Darlehen / Beleihungswert)</t>
  </si>
  <si>
    <t xml:space="preserve">Banken verlangen meist unter 80–90 %</t>
  </si>
  <si>
    <t xml:space="preserve">Beleihungsauslauf KfW-Darlehen allein</t>
  </si>
  <si>
    <t xml:space="preserve">Ertragswert minus Gesamtkosten</t>
  </si>
  <si>
    <t xml:space="preserve">Wertlücke, über Zusatzsicherheiten oder Eigenkapital zu decken</t>
  </si>
  <si>
    <t xml:space="preserve">Darlehen über 80 % Beleihungsauslauf</t>
  </si>
  <si>
    <t xml:space="preserve">Rechnerischer Betrag über der 80-%-Grenze</t>
  </si>
  <si>
    <t xml:space="preserve">Kaufpreisfaktor (Ertragswert / Rohertrag)</t>
  </si>
  <si>
    <t xml:space="preserve">Vervielfältiger auf die Jahresmiete</t>
  </si>
  <si>
    <t xml:space="preserve">Kosten-Faktor (Gesamtkosten / Rohertrag)</t>
  </si>
  <si>
    <t xml:space="preserve">Die Gastro wird hier nur mit der Pacht bewertet, die Büros mit den Ankermieter-Mieten. Der Gewinn des Betriebs (Bauherr) und Zusatzsicherheiten sind Verhandlungsgegenstand mit der Bank.</t>
  </si>
  <si>
    <t xml:space="preserve">Prognose über 10 Jahre</t>
  </si>
  <si>
    <t xml:space="preserve">Mieten, Pacht, Büro-Indexmiete und Umsatz steigen, der Kapitaldienst bleibt konstant (Annuität). Restschuld nach Tilgungsplan.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</si>
  <si>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</si>
  <si>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</si>
  <si>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</si>
  <si>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</si>
  <si>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</si>
  <si>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</si>
  <si>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</si>
  <si>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</si>
  <si>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</si>
  <si>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</si>
  <si>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Kaltmiete Wohnen</t>
  </si>
  <si>
    <t xml:space="preserve">Büromieten (Indexmiete)</t>
  </si>
  <si>
    <t xml:space="preserve">Rücklagen</t>
  </si>
  <si>
    <t xml:space="preserve">Nettoertrag Immobilie (GbR)</t>
  </si>
  <si>
    <t xml:space="preserve">Kapitaldienst</t>
  </si>
  <si>
    <t xml:space="preserve">Ergebnis der GbR nach Kapitaldienst</t>
  </si>
  <si>
    <t xml:space="preserve">Pacht wächst mit dem Umsatz (Umsatzpacht). Betriebsergebnis der Betreiberfirma mit der Umsatzsteigerung fortgeschrieben, Lohn des Bauherrn nicht gerechnet.</t>
  </si>
  <si>
    <t xml:space="preserve">Belastungstest: Was passiert, wenn es schlechter läuft?</t>
  </si>
  <si>
    <t xml:space="preserve">Veränderung des GbR-Ergebnisses pro Monat und der Kapitaldienstdeckung gegenüber dem Plan.</t>
  </si>
  <si>
    <t xml:space="preserve">Szenario</t>
  </si>
  <si>
    <t xml:space="preserve">Ergebnis / Monat</t>
  </si>
  <si>
    <t xml:space="preserve">DSCR</t>
  </si>
  <si>
    <t xml:space="preserve">Änderung zum Plan</t>
  </si>
  <si>
    <t xml:space="preserve">Plan</t>
  </si>
  <si>
    <t xml:space="preserve">Anschlusszins nach 10 Jahren +1 Prozentpunkt (auf Restschuld)</t>
  </si>
  <si>
    <t xml:space="preserve">Mieten Wohnen −10 %</t>
  </si>
  <si>
    <t xml:space="preserve">Gastro-Umsatz −20 % (Umsatzpacht sinkt)</t>
  </si>
  <si>
    <t xml:space="preserve">Gastro-Umsatz −40 % (Umsatzpacht sinkt, Mindestpacht)</t>
  </si>
  <si>
    <t xml:space="preserve">Baukosten +10 % (Kredit steigt entsprechend)</t>
  </si>
  <si>
    <t xml:space="preserve">Größerer Büro-Ankermieter zieht aus (Leerstand)</t>
  </si>
  <si>
    <t xml:space="preserve">Beide Büros leer</t>
  </si>
  <si>
    <t xml:space="preserve">Gastro fällt ganz aus (keine Pacht)</t>
  </si>
  <si>
    <t xml:space="preserve">Vereinfachte Rechnung, Hausbank prüft mit eigenen Annahmen.</t>
  </si>
  <si>
    <t xml:space="preserve">Prüfung: 60-m²-Apartment als Airbnb in Werlte</t>
  </si>
  <si>
    <t xml:space="preserve">Lohnt sich Kurzzeitvermietung gegenüber langfristiger Vermietung? Ein Apartment mit 60 m², Marktdaten Werlte Stand Okt. 2026, Möblierung im Kredit (Hausbank-Zins + Tilgung).</t>
  </si>
  <si>
    <t xml:space="preserve">Eingaben</t>
  </si>
  <si>
    <t xml:space="preserve">Preis pro Nacht (€)</t>
  </si>
  <si>
    <t xml:space="preserve">Marktschnitt Werlte ca. 87 € (ferienhausmiete.de), 89 % der Angebote unter 100 €; Neubau Zentrum 90 €</t>
  </si>
  <si>
    <t xml:space="preserve">Möblierung je m² (€)</t>
  </si>
  <si>
    <t xml:space="preserve">Möbel, Küche, Wäsche, Technik; Annahme</t>
  </si>
  <si>
    <t xml:space="preserve">Kostenquote vom Umsatz (Plattform, Reinigung, Nebenkosten, Material, Versicherung, Rücklage)</t>
  </si>
  <si>
    <t xml:space="preserve">15 + 20 + 8 + 2 + 3 + 8 %</t>
  </si>
  <si>
    <t xml:space="preserve">Mindest-Mehrertrag je Monat für den Mehraufwand (€)</t>
  </si>
  <si>
    <t xml:space="preserve">Annahme: Gäste, Schlüssel, Preise kosten Zeit</t>
  </si>
  <si>
    <t xml:space="preserve">Apartment 60 m², Szenario</t>
  </si>
  <si>
    <t xml:space="preserve">Werlte amtlich</t>
  </si>
  <si>
    <t xml:space="preserve">Emsland-Schnitt</t>
  </si>
  <si>
    <t xml:space="preserve">Optimistisch</t>
  </si>
  <si>
    <t xml:space="preserve">Wohnfläche je Apartment (m²)</t>
  </si>
  <si>
    <t xml:space="preserve">Auslastung</t>
  </si>
  <si>
    <t xml:space="preserve">17,4 % Werlte (LSN, Betriebe ab 10 Betten), 36,2 % Emsland, 60 % Annahme Monteure/Business</t>
  </si>
  <si>
    <t xml:space="preserve">Umsatz pro Apartment und Monat</t>
  </si>
  <si>
    <t xml:space="preserve">Netto Airbnb pro Apartment und Monat</t>
  </si>
  <si>
    <t xml:space="preserve">Netto langfristige Miete pro Apartment und Monat</t>
  </si>
  <si>
    <t xml:space="preserve">nach Rücklagen von 10 %, Miete aus 11,18 €/m²</t>
  </si>
  <si>
    <t xml:space="preserve">Möblierung (€)</t>
  </si>
  <si>
    <t xml:space="preserve">Kapitaldienst der Möblierung pro Monat</t>
  </si>
  <si>
    <t xml:space="preserve">Mehrertrag Airbnb je Apartment pro Monat</t>
  </si>
  <si>
    <t xml:space="preserve">Mehrertrag für das Apartment pro Monat</t>
  </si>
  <si>
    <t xml:space="preserve">Ergebnis</t>
  </si>
  <si>
    <t xml:space="preserve">Break-even Auslastung (Airbnb = langfristige Miete)</t>
  </si>
  <si>
    <t xml:space="preserve">Fazit</t>
  </si>
  <si>
    <t xml:space="preserve">Die Möblierung erhöht den Kredit, Kurzzeitvermietung braucht dazu Aufwand, Reinigung, Gästekommunikation und bei mehr als 12 Betten Sonderbau-Brandschutz.</t>
  </si>
  <si>
    <t xml:space="preserve">Marktanalyse Werlte (49757), Stand Q4 2026</t>
  </si>
  <si>
    <t xml:space="preserve">Auslastung Beherbergung Samtgemeinde Werlte 17,4 % bei 4 Betrieben, 2,7 Tage Aufenthalt, 29.141 Übernachtungen; Emsland gesamt 36,2 % (Emsland Tourismus, Quelle LSN, Betriebe ab 10 Betten).</t>
  </si>
  <si>
    <t xml:space="preserve">Angebotspreise Werlte im Schnitt ca. 87 € pro Nacht, 89 % der Ferienunterkünfte unter 100 €; Niedersachsen 2025 Rekord mit 46,9 Mio. Übernachtungen.</t>
  </si>
  <si>
    <t xml:space="preserve">Vergleich Kleinstadt Diepholz: Airbnb-Auslastung typisch 49 % (Drittanbieter-Schätzung), Spitzenobjekte bis 77 %.</t>
  </si>
  <si>
    <t xml:space="preserve">Langfristige Vermietung: Ø 8,79 €/m² Werlte (wohnungsboerse.net, Mai 2026), Annahme Neubau Zentrum 11,18 €/m².</t>
  </si>
  <si>
    <t xml:space="preserve">Keine AirDNA-Daten für Werlte verfügbar; Auslastung und Preise sind Näherungen aus Statistik und Portalen.</t>
  </si>
  <si>
    <t xml:space="preserve">Unterlagen für die Bank (Checkliste)</t>
  </si>
  <si>
    <t xml:space="preserve">Was die Hausbank für Finanzierung und KfW-Antrag typischerweise braucht. Status bitte pflegen.</t>
  </si>
  <si>
    <t xml:space="preserve">Nr.</t>
  </si>
  <si>
    <t xml:space="preserve">Unterlage</t>
  </si>
  <si>
    <t xml:space="preserve">Inhalt / Hinweis</t>
  </si>
  <si>
    <t xml:space="preserve">Status</t>
  </si>
  <si>
    <t xml:space="preserve">Projekt: Businessplan (Word) und Präsentation</t>
  </si>
  <si>
    <t xml:space="preserve">Vorhaben, Konzept, Zahlen, Risiken. Liegt vor.</t>
  </si>
  <si>
    <t xml:space="preserve">vorhanden</t>
  </si>
  <si>
    <t xml:space="preserve">Projekt: Rechenmodell mit Finanzierungs- und Tilgungsplan</t>
  </si>
  <si>
    <t xml:space="preserve">Diese Excel-Datei.</t>
  </si>
  <si>
    <t xml:space="preserve">Projekt: Gastro-Konzept mit Gestaltung</t>
  </si>
  <si>
    <t xml:space="preserve">Konzept, Grundriss, Speisekarte, Umsatzaufbau.</t>
  </si>
  <si>
    <t xml:space="preserve">Projekt: Lageplan, Flurkarte, Grundbuchauszug</t>
  </si>
  <si>
    <t xml:space="preserve">Baufeld 3, ca. 960 m². Grundbuchauszug nach Kaufvertrag.</t>
  </si>
  <si>
    <t xml:space="preserve">offen</t>
  </si>
  <si>
    <t xml:space="preserve">Projekt: Bebauungsplan Nr. 123, 1. Änderung und Konzeptheft</t>
  </si>
  <si>
    <t xml:space="preserve">Festsetzungen, städtebaulicher Vertrag. Entwurf Stand 25.08.2026.</t>
  </si>
  <si>
    <t xml:space="preserve">teilweise</t>
  </si>
  <si>
    <t xml:space="preserve">Projekt: Grundstückskaufvertrag oder Reservierung der Stadt</t>
  </si>
  <si>
    <t xml:space="preserve">Preis 230 €/m², Zuschnitt, Baureife.</t>
  </si>
  <si>
    <t xml:space="preserve">Bau: Entwurfspläne, Flächen- und Wohnflächenberechnung</t>
  </si>
  <si>
    <t xml:space="preserve">Grundrisse, Schnitte, Ansichten vom Architekten.</t>
  </si>
  <si>
    <t xml:space="preserve">Bau: Baubeschreibung</t>
  </si>
  <si>
    <t xml:space="preserve">Konstruktion, Energiestandard, Heizung.</t>
  </si>
  <si>
    <t xml:space="preserve">Bau: Bauvoranfrage oder Baugenehmigung</t>
  </si>
  <si>
    <t xml:space="preserve">Zulässigkeit 540 m², Staffelgeschoss, Flachdach, Höhe, Stellplätze.</t>
  </si>
  <si>
    <t xml:space="preserve">Bau: Kostenberechnung nach DIN 276 und Angebote</t>
  </si>
  <si>
    <t xml:space="preserve">Bauunternehmen und Zimmerei, Festpreis je m².</t>
  </si>
  <si>
    <t xml:space="preserve">Bau: Bauzeitenplan</t>
  </si>
  <si>
    <t xml:space="preserve">Baubeginn Mitte 2027, 15 Monate Bauzeit.</t>
  </si>
  <si>
    <t xml:space="preserve">KfW: Bestätigung Energieeffizienz-Experte (Effizienzhaus 40)</t>
  </si>
  <si>
    <t xml:space="preserve">Antrag KfW 297/298 und 299 über die Hausbank vor Baubeginn.</t>
  </si>
  <si>
    <t xml:space="preserve">KfW: QNG-Zertifizierung (Konzept und Zertifizierer)</t>
  </si>
  <si>
    <t xml:space="preserve">Für den vollen Kreditrahmen erforderlich.</t>
  </si>
  <si>
    <t xml:space="preserve">KfW: Heizkonzept ohne Öl, Gas und Biomasse</t>
  </si>
  <si>
    <t xml:space="preserve">Wärmepumpe oder Fernwärme.</t>
  </si>
  <si>
    <t xml:space="preserve">Einnahmen: Mietaufstellung und Mietkalkulation</t>
  </si>
  <si>
    <t xml:space="preserve">8 Wohnungen und 2 Büros, Flächen, Miete je m².</t>
  </si>
  <si>
    <t xml:space="preserve">Einnahmen: Pachtvertrag Gastro (Entwurf)</t>
  </si>
  <si>
    <t xml:space="preserve">Laufzeit, Pacht 10 €/m², Staffel, Sicherheiten.</t>
  </si>
  <si>
    <t xml:space="preserve">Einnahmen: Vorverträge Ankermieter Büro (2 Mieter)</t>
  </si>
  <si>
    <t xml:space="preserve">Versicherungsgesellschaft (100 m²) und Makler (65 m²), 10 Jahre fest, Indexmiete, Bonitätsauskunft.</t>
  </si>
  <si>
    <t xml:space="preserve">Einnahmen: Vorvermietungsabsichten</t>
  </si>
  <si>
    <t xml:space="preserve">Interessenten für Wohnungen und Gastro.</t>
  </si>
  <si>
    <t xml:space="preserve">Betrieb: Gastro-Kalkulation mit Wareneinsatz, Personal, Umsatz</t>
  </si>
  <si>
    <t xml:space="preserve">Blatt 'Gastro Betrieb'.</t>
  </si>
  <si>
    <t xml:space="preserve">Betrieb: Nachweis Gastro-Erfahrung, Lebenslauf, Konzession</t>
  </si>
  <si>
    <t xml:space="preserve">Gaststättenerlaubnis, Hygiene, Qualifikation.</t>
  </si>
  <si>
    <t xml:space="preserve">Person: Selbstauskunft und Vermögensübersicht</t>
  </si>
  <si>
    <t xml:space="preserve">Einkommen, Verbindlichkeiten, Vermögen.</t>
  </si>
  <si>
    <t xml:space="preserve">Person: Einkommensnachweise, Steuerbescheide, BWA, Schufa</t>
  </si>
  <si>
    <t xml:space="preserve">letzte drei Jahre.</t>
  </si>
  <si>
    <t xml:space="preserve">Person: Nachweis weiterer Sicherheiten</t>
  </si>
  <si>
    <t xml:space="preserve">Bürgschaften, Grundschulden auf weitere Immobilien, bestehende Objekte (letzte zwei Jahre gekauft).</t>
  </si>
  <si>
    <t xml:space="preserve">Sicherheit: Wertermittlung / Beleihungswert</t>
  </si>
  <si>
    <t xml:space="preserve">Gutachten der Bank, Rechenbeispiel im Blatt 'Ertragswert'.</t>
  </si>
  <si>
    <t xml:space="preserve">Sicherheit: Versicherungen</t>
  </si>
  <si>
    <t xml:space="preserve">Bauleistung, Bauherrenhaftpflicht, Gebäude.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</si>
</sst>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&quot; €&quot;;\-#,##0&quot; €&quot;;\–"/>
    <numFmt numFmtId="167" formatCode="0.0%"/>
    <numFmt numFmtId="168" formatCode="0.00%"/>
    <numFmt numFmtId="169" formatCode="\+#,##0&quot; €&quot;;\-#,##0&quot; €&quot;;\–"/>
    <numFmt numFmtId="170" formatCode="0.00\x"/>
    <numFmt numFmtId="171" formatCode="#,##0.00&quot; €&quot;;\-#,##0.00&quot; €&quot;;\–"/>
    <numFmt numFmtId="172" formatCode="0.0"/>
    <numFmt numFmtId="173" formatCode="\+#,##0;\-#,##0;\–"/>
    <numFmt numFmtId="174" formatCode="0.00"/>
    <numFmt numFmtId="175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A3E"/>
      <name val="Arial"/>
      <family val="0"/>
      <charset val="1"/>
    </font>
    <font>
      <sz val="10"/>
      <color rgb="FF5B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4A3E"/>
        <bgColor rgb="FF333300"/>
      </patternFill>
    </fill>
    <fill>
      <patternFill patternType="solid">
        <fgColor rgb="FFE3E8E5"/>
        <bgColor rgb="FFD9D9D9"/>
      </patternFill>
    </fill>
    <fill>
      <patternFill patternType="solid">
        <fgColor rgb="FFFFF2CC"/>
        <bgColor rgb="FFE3E8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8E5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B6770"/>
      <rgbColor rgb="FFC49A45"/>
      <rgbColor rgb="FF003366"/>
      <rgbColor rgb="FF339966"/>
      <rgbColor rgb="FF003300"/>
      <rgbColor rgb="FF333300"/>
      <rgbColor rgb="FF993300"/>
      <rgbColor rgb="FF993366"/>
      <rgbColor rgb="FF333399"/>
      <rgbColor rgb="FF2F4A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Restschuld nach Jahren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'Tilgung Jahre'!E4</c:f>
              <c:strCache>
                <c:ptCount val="1"/>
                <c:pt idx="0">
                  <c:v>Restschuld Jahresende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'Tilgung Jahre'!$A$5:$A$39</c:f>
              <c:strCache>
                <c:ptCount val="3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</c:strCache>
            </c:strRef>
          </c:cat>
          <c:val>
            <c:numRef>
              <c:f>'Tilgung Jahre'!$E$5:$E$39</c:f>
              <c:numCache>
                <c:formatCode>#,##0" €";\-#,##0" €";\–</c:formatCode>
                <c:ptCount val="35"/>
                <c:pt idx="0">
                  <c:v>4845202.66753035</c:v>
                </c:pt>
                <c:pt idx="1">
                  <c:v>4793903.65848968</c:v>
                </c:pt>
                <c:pt idx="2">
                  <c:v>4740926.91171301</c:v>
                </c:pt>
                <c:pt idx="3">
                  <c:v>4686215.13376875</c:v>
                </c:pt>
                <c:pt idx="4">
                  <c:v>4629708.99600259</c:v>
                </c:pt>
                <c:pt idx="5">
                  <c:v>4571347.05976781</c:v>
                </c:pt>
                <c:pt idx="6">
                  <c:v>4511065.6988333</c:v>
                </c:pt>
                <c:pt idx="7">
                  <c:v>4448799.01886049</c:v>
                </c:pt>
                <c:pt idx="8">
                  <c:v>4384478.77383606</c:v>
                </c:pt>
                <c:pt idx="9">
                  <c:v>4318034.27934322</c:v>
                </c:pt>
                <c:pt idx="10">
                  <c:v>4249392.32254918</c:v>
                </c:pt>
                <c:pt idx="11">
                  <c:v>4178477.06878216</c:v>
                </c:pt>
                <c:pt idx="12">
                  <c:v>4105209.9645661</c:v>
                </c:pt>
                <c:pt idx="13">
                  <c:v>4029509.63697598</c:v>
                </c:pt>
                <c:pt idx="14">
                  <c:v>3951291.78917145</c:v>
                </c:pt>
                <c:pt idx="15">
                  <c:v>3870469.09196078</c:v>
                </c:pt>
                <c:pt idx="16">
                  <c:v>3786951.07124134</c:v>
                </c:pt>
                <c:pt idx="17">
                  <c:v>3700643.99115688</c:v>
                </c:pt>
                <c:pt idx="18">
                  <c:v>3611450.73280538</c:v>
                </c:pt>
                <c:pt idx="19">
                  <c:v>3519270.66832487</c:v>
                </c:pt>
                <c:pt idx="20">
                  <c:v>3423999.53017795</c:v>
                </c:pt>
                <c:pt idx="21">
                  <c:v>3325529.27544827</c:v>
                </c:pt>
                <c:pt idx="22">
                  <c:v>3223747.94495536</c:v>
                </c:pt>
                <c:pt idx="23">
                  <c:v>3118539.51698623</c:v>
                </c:pt>
                <c:pt idx="24">
                  <c:v>3009783.75543445</c:v>
                </c:pt>
                <c:pt idx="25">
                  <c:v>2897356.05212891</c:v>
                </c:pt>
                <c:pt idx="26">
                  <c:v>2781127.26312616</c:v>
                </c:pt>
                <c:pt idx="27">
                  <c:v>2660963.53873117</c:v>
                </c:pt>
                <c:pt idx="28">
                  <c:v>2536726.14700201</c:v>
                </c:pt>
                <c:pt idx="29">
                  <c:v>2408271.29048441</c:v>
                </c:pt>
                <c:pt idx="30">
                  <c:v>2275449.91591211</c:v>
                </c:pt>
                <c:pt idx="31">
                  <c:v>2138107.51659847</c:v>
                </c:pt>
                <c:pt idx="32">
                  <c:v>1996083.92723389</c:v>
                </c:pt>
                <c:pt idx="33">
                  <c:v>1849213.11079242</c:v>
                </c:pt>
                <c:pt idx="34">
                  <c:v>1697322.93723924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711181"/>
        <c:axId val="24170267"/>
      </c:lineChart>
      <c:catAx>
        <c:axId val="427111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Jahr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70267"/>
        <c:crosses val="autoZero"/>
        <c:auto val="1"/>
        <c:lblAlgn val="ctr"/>
        <c:lblOffset val="100"/>
        <c:noMultiLvlLbl val="0"/>
      </c:catAx>
      <c:valAx>
        <c:axId val="241702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-#,##0&quot; €&quot;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111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364680</xdr:colOff>
      <xdr:row>16</xdr:row>
      <xdr:rowOff>153000</xdr:rowOff>
    </xdr:to>
    <xdr:graphicFrame>
      <xdr:nvGraphicFramePr>
        <xdr:cNvPr id="0" name="Chart 1"/>
        <xdr:cNvGraphicFramePr/>
      </xdr:nvGraphicFramePr>
      <xdr:xfrm>
        <a:off x="80830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/>
      <c r="C5" s="6"/>
    </row>
    <row r="6" customFormat="false" ht="15" hidden="false" customHeight="false" outlineLevel="0" collapsed="false">
      <c r="A6" s="7" t="s">
        <v>6</v>
      </c>
      <c r="B6" s="8" t="n">
        <f aca="false">Annahmen!$B$5</f>
        <v>960</v>
      </c>
      <c r="C6" s="9" t="s">
        <v>7</v>
      </c>
    </row>
    <row r="7" customFormat="false" ht="15" hidden="false" customHeight="false" outlineLevel="0" collapsed="false">
      <c r="A7" s="7" t="s">
        <v>8</v>
      </c>
      <c r="B7" s="8" t="n">
        <f aca="false">Annahmen!$B$10</f>
        <v>576</v>
      </c>
      <c r="C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'Flächen und Mieten'!B8</f>
        <v>1650</v>
      </c>
      <c r="C8" s="9" t="s">
        <v>11</v>
      </c>
    </row>
    <row r="9" customFormat="false" ht="15" hidden="false" customHeight="false" outlineLevel="0" collapsed="false">
      <c r="A9" s="7" t="s">
        <v>12</v>
      </c>
      <c r="B9" s="8" t="n">
        <f aca="false">Annahmen!$B$21</f>
        <v>510</v>
      </c>
      <c r="C9" s="9" t="s">
        <v>13</v>
      </c>
    </row>
    <row r="10" customFormat="false" ht="15" hidden="false" customHeight="false" outlineLevel="0" collapsed="false">
      <c r="A10" s="7" t="s">
        <v>14</v>
      </c>
      <c r="B10" s="8" t="n">
        <f aca="false">'Gewerbe und Anker'!B24</f>
        <v>165</v>
      </c>
      <c r="C10" s="9" t="s">
        <v>15</v>
      </c>
    </row>
    <row r="11" customFormat="false" ht="15" hidden="false" customHeight="false" outlineLevel="0" collapsed="false">
      <c r="A11" s="7" t="s">
        <v>16</v>
      </c>
      <c r="B11" s="8" t="n">
        <f aca="false">'Flächen und Mieten'!D9</f>
        <v>12</v>
      </c>
      <c r="C11" s="9" t="s">
        <v>17</v>
      </c>
    </row>
    <row r="12" customFormat="false" ht="15" hidden="false" customHeight="false" outlineLevel="0" collapsed="false">
      <c r="A12" s="7" t="s">
        <v>18</v>
      </c>
      <c r="B12" s="8" t="n">
        <f aca="false">'Flächen und Mieten'!E9</f>
        <v>655</v>
      </c>
      <c r="C12" s="9"/>
    </row>
    <row r="13" customFormat="false" ht="15" hidden="false" customHeight="false" outlineLevel="0" collapsed="false">
      <c r="A13" s="5" t="s">
        <v>19</v>
      </c>
      <c r="B13" s="6"/>
      <c r="C13" s="6"/>
    </row>
    <row r="14" customFormat="false" ht="15" hidden="false" customHeight="false" outlineLevel="0" collapsed="false">
      <c r="A14" s="7" t="s">
        <v>20</v>
      </c>
      <c r="B14" s="10" t="n">
        <f aca="false">'Kosten und Finanzierung'!B18</f>
        <v>4894879.26909598</v>
      </c>
      <c r="C14" s="9" t="s">
        <v>21</v>
      </c>
    </row>
    <row r="15" customFormat="false" ht="15" hidden="false" customHeight="false" outlineLevel="0" collapsed="false">
      <c r="A15" s="7" t="s">
        <v>22</v>
      </c>
      <c r="B15" s="10" t="n">
        <f aca="false">'Kosten und Finanzierung'!B29-'Kosten und Finanzierung'!B28</f>
        <v>4894879.26909598</v>
      </c>
      <c r="C15" s="9" t="s">
        <v>23</v>
      </c>
    </row>
    <row r="16" customFormat="false" ht="15" hidden="false" customHeight="false" outlineLevel="0" collapsed="false">
      <c r="A16" s="7" t="s">
        <v>24</v>
      </c>
      <c r="B16" s="10" t="n">
        <f aca="false">SUM('Kosten und Finanzierung'!B24:B26)</f>
        <v>2947500</v>
      </c>
      <c r="C16" s="9" t="s">
        <v>25</v>
      </c>
    </row>
    <row r="17" customFormat="false" ht="15" hidden="false" customHeight="false" outlineLevel="0" collapsed="false">
      <c r="A17" s="7" t="s">
        <v>26</v>
      </c>
      <c r="B17" s="11" t="n">
        <f aca="false">'Kosten und Finanzierung'!B30</f>
        <v>0.602159897713752</v>
      </c>
      <c r="C17" s="9"/>
    </row>
    <row r="18" customFormat="false" ht="15" hidden="false" customHeight="false" outlineLevel="0" collapsed="false">
      <c r="A18" s="7" t="s">
        <v>27</v>
      </c>
      <c r="B18" s="10" t="n">
        <f aca="false">'Kosten und Finanzierung'!B44</f>
        <v>38475</v>
      </c>
      <c r="C18" s="9" t="s">
        <v>28</v>
      </c>
    </row>
    <row r="19" customFormat="false" ht="15" hidden="false" customHeight="false" outlineLevel="0" collapsed="false">
      <c r="A19" s="7" t="s">
        <v>29</v>
      </c>
      <c r="B19" s="12" t="n">
        <f aca="false">'Kosten und Finanzierung'!B31</f>
        <v>0.0321397448466373</v>
      </c>
      <c r="C19" s="9" t="s">
        <v>30</v>
      </c>
    </row>
    <row r="20" customFormat="false" ht="15" hidden="false" customHeight="false" outlineLevel="0" collapsed="false">
      <c r="A20" s="7" t="s">
        <v>31</v>
      </c>
      <c r="B20" s="10" t="n">
        <f aca="false">Tilgungsplan!N3</f>
        <v>17189.0802878999</v>
      </c>
      <c r="C20" s="9" t="s">
        <v>32</v>
      </c>
    </row>
    <row r="21" customFormat="false" ht="15" hidden="false" customHeight="false" outlineLevel="0" collapsed="false">
      <c r="A21" s="7" t="s">
        <v>33</v>
      </c>
      <c r="B21" s="10" t="n">
        <f aca="false">'Tilgung Jahre'!E14</f>
        <v>4318034.27934322</v>
      </c>
      <c r="C21" s="9"/>
    </row>
    <row r="22" customFormat="false" ht="15" hidden="false" customHeight="false" outlineLevel="0" collapsed="false">
      <c r="A22" s="5" t="s">
        <v>34</v>
      </c>
      <c r="B22" s="6"/>
      <c r="C22" s="6"/>
    </row>
    <row r="23" customFormat="false" ht="15" hidden="false" customHeight="false" outlineLevel="0" collapsed="false">
      <c r="A23" s="7" t="s">
        <v>35</v>
      </c>
      <c r="B23" s="10" t="n">
        <f aca="false">'Flächen und Mieten'!F26</f>
        <v>18484.0882352941</v>
      </c>
      <c r="C23" s="9" t="s">
        <v>36</v>
      </c>
    </row>
    <row r="24" customFormat="false" ht="15" hidden="false" customHeight="false" outlineLevel="0" collapsed="false">
      <c r="A24" s="7" t="s">
        <v>37</v>
      </c>
      <c r="B24" s="10" t="n">
        <f aca="false">'Ertrag und Cashflow'!B9</f>
        <v>16635.6794117647</v>
      </c>
      <c r="C24" s="9" t="s">
        <v>38</v>
      </c>
    </row>
    <row r="25" customFormat="false" ht="15" hidden="false" customHeight="false" outlineLevel="0" collapsed="false">
      <c r="A25" s="7" t="s">
        <v>39</v>
      </c>
      <c r="B25" s="13" t="n">
        <f aca="false">'Ertrag und Cashflow'!B11</f>
        <v>-553.40087613522</v>
      </c>
      <c r="C25" s="9" t="s">
        <v>40</v>
      </c>
    </row>
    <row r="26" customFormat="false" ht="15" hidden="false" customHeight="false" outlineLevel="0" collapsed="false">
      <c r="A26" s="7" t="s">
        <v>41</v>
      </c>
      <c r="B26" s="13" t="n">
        <f aca="false">'Ertrag und Cashflow'!B12</f>
        <v>19605.175</v>
      </c>
      <c r="C26" s="9" t="s">
        <v>42</v>
      </c>
    </row>
    <row r="27" customFormat="false" ht="15" hidden="false" customHeight="false" outlineLevel="0" collapsed="false">
      <c r="A27" s="7" t="s">
        <v>43</v>
      </c>
      <c r="B27" s="14" t="n">
        <f aca="false">'Ertrag und Cashflow'!B15</f>
        <v>0.967805090972507</v>
      </c>
      <c r="C27" s="9" t="s">
        <v>44</v>
      </c>
    </row>
    <row r="28" customFormat="false" ht="15" hidden="false" customHeight="false" outlineLevel="0" collapsed="false">
      <c r="A28" s="7" t="s">
        <v>45</v>
      </c>
      <c r="B28" s="14" t="n">
        <f aca="false">'Ertrag und Cashflow'!B16</f>
        <v>2.10836495058296</v>
      </c>
      <c r="C28" s="9" t="s">
        <v>46</v>
      </c>
    </row>
    <row r="29" customFormat="false" ht="15" hidden="false" customHeight="false" outlineLevel="0" collapsed="false">
      <c r="A29" s="7" t="s">
        <v>47</v>
      </c>
      <c r="B29" s="14" t="n">
        <f aca="false">'Ertrag und Cashflow'!B17</f>
        <v>0.467071494070355</v>
      </c>
      <c r="C29" s="9" t="s">
        <v>48</v>
      </c>
    </row>
    <row r="30" customFormat="false" ht="15" hidden="false" customHeight="false" outlineLevel="0" collapsed="false">
      <c r="A30" s="7" t="s">
        <v>49</v>
      </c>
      <c r="B30" s="10" t="n">
        <f aca="false">Ertragswert!E19</f>
        <v>3591637.82940393</v>
      </c>
      <c r="C30" s="9" t="s">
        <v>50</v>
      </c>
    </row>
    <row r="31" customFormat="false" ht="15" hidden="false" customHeight="false" outlineLevel="0" collapsed="false">
      <c r="A31" s="7" t="s">
        <v>51</v>
      </c>
      <c r="B31" s="10" t="n">
        <f aca="false">Ertragswert!B26</f>
        <v>3232474.04646354</v>
      </c>
      <c r="C31" s="9"/>
    </row>
    <row r="32" customFormat="false" ht="15" hidden="false" customHeight="false" outlineLevel="0" collapsed="false">
      <c r="A32" s="7" t="s">
        <v>52</v>
      </c>
      <c r="B32" s="11" t="n">
        <f aca="false">Ertragswert!B29</f>
        <v>1.51428262028931</v>
      </c>
      <c r="C32" s="9" t="s">
        <v>53</v>
      </c>
    </row>
    <row r="33" customFormat="false" ht="43.5" hidden="false" customHeight="true" outlineLevel="0" collapsed="false">
      <c r="A33" s="7" t="s">
        <v>54</v>
      </c>
      <c r="B33" s="15" t="str">
        <f aca="false">'Airbnb Prüfung'!A23</f>
        <v>Kein Szenario erreicht den Mindest-Mehrertrag von 300 € pro Monat. Langfristige Vermietung ist besser, Airbnb bleibt aus dem Konzept.</v>
      </c>
      <c r="C33" s="15"/>
    </row>
    <row r="35" customFormat="false" ht="15" hidden="false" customHeight="false" outlineLevel="0" collapsed="false">
      <c r="A35" s="16" t="s">
        <v>55</v>
      </c>
    </row>
  </sheetData>
  <mergeCells count="1">
    <mergeCell ref="B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17" t="s">
        <v>58</v>
      </c>
      <c r="B3" s="17" t="s">
        <v>3</v>
      </c>
      <c r="C3" s="17" t="s">
        <v>59</v>
      </c>
    </row>
    <row r="4" customFormat="false" ht="15" hidden="false" customHeight="false" outlineLevel="0" collapsed="false">
      <c r="A4" s="5" t="s">
        <v>60</v>
      </c>
      <c r="B4" s="6"/>
      <c r="C4" s="6"/>
    </row>
    <row r="5" customFormat="false" ht="15" hidden="false" customHeight="false" outlineLevel="0" collapsed="false">
      <c r="A5" s="7" t="s">
        <v>61</v>
      </c>
      <c r="B5" s="18" t="n">
        <v>960</v>
      </c>
      <c r="C5" s="9" t="s">
        <v>62</v>
      </c>
    </row>
    <row r="6" customFormat="false" ht="15" hidden="false" customHeight="false" outlineLevel="0" collapsed="false">
      <c r="A6" s="7" t="s">
        <v>63</v>
      </c>
      <c r="B6" s="19" t="n">
        <v>230</v>
      </c>
      <c r="C6" s="9" t="s">
        <v>64</v>
      </c>
    </row>
    <row r="7" customFormat="false" ht="15" hidden="false" customHeight="false" outlineLevel="0" collapsed="false">
      <c r="A7" s="7" t="s">
        <v>65</v>
      </c>
      <c r="B7" s="20" t="n">
        <v>0.05</v>
      </c>
      <c r="C7" s="9" t="s">
        <v>66</v>
      </c>
    </row>
    <row r="8" customFormat="false" ht="15" hidden="false" customHeight="false" outlineLevel="0" collapsed="false">
      <c r="A8" s="7" t="s">
        <v>67</v>
      </c>
      <c r="B8" s="20" t="n">
        <v>0.02</v>
      </c>
      <c r="C8" s="9" t="s">
        <v>58</v>
      </c>
    </row>
    <row r="9" customFormat="false" ht="15" hidden="false" customHeight="false" outlineLevel="0" collapsed="false">
      <c r="A9" s="5" t="s">
        <v>68</v>
      </c>
      <c r="B9" s="6"/>
      <c r="C9" s="6"/>
    </row>
    <row r="10" customFormat="false" ht="15" hidden="false" customHeight="false" outlineLevel="0" collapsed="false">
      <c r="A10" s="7" t="s">
        <v>69</v>
      </c>
      <c r="B10" s="18" t="n">
        <v>576</v>
      </c>
      <c r="C10" s="9" t="s">
        <v>70</v>
      </c>
    </row>
    <row r="11" customFormat="false" ht="15" hidden="false" customHeight="false" outlineLevel="0" collapsed="false">
      <c r="A11" s="7" t="s">
        <v>71</v>
      </c>
      <c r="B11" s="18" t="n">
        <v>576</v>
      </c>
      <c r="C11" s="9" t="s">
        <v>72</v>
      </c>
    </row>
    <row r="12" customFormat="false" ht="15" hidden="false" customHeight="false" outlineLevel="0" collapsed="false">
      <c r="A12" s="7" t="s">
        <v>73</v>
      </c>
      <c r="B12" s="18" t="n">
        <v>498</v>
      </c>
      <c r="C12" s="9" t="s">
        <v>74</v>
      </c>
    </row>
    <row r="13" customFormat="false" ht="15" hidden="false" customHeight="false" outlineLevel="0" collapsed="false">
      <c r="A13" s="7" t="s">
        <v>75</v>
      </c>
      <c r="B13" s="19" t="n">
        <v>2200</v>
      </c>
      <c r="C13" s="9" t="s">
        <v>76</v>
      </c>
    </row>
    <row r="14" customFormat="false" ht="15" hidden="false" customHeight="false" outlineLevel="0" collapsed="false">
      <c r="A14" s="7" t="s">
        <v>77</v>
      </c>
      <c r="B14" s="19" t="n">
        <v>400</v>
      </c>
      <c r="C14" s="9" t="s">
        <v>78</v>
      </c>
    </row>
    <row r="15" customFormat="false" ht="15" hidden="false" customHeight="false" outlineLevel="0" collapsed="false">
      <c r="A15" s="7" t="s">
        <v>79</v>
      </c>
      <c r="B15" s="18" t="n">
        <v>77</v>
      </c>
      <c r="C15" s="9" t="s">
        <v>80</v>
      </c>
    </row>
    <row r="16" customFormat="false" ht="15" hidden="false" customHeight="false" outlineLevel="0" collapsed="false">
      <c r="A16" s="7" t="s">
        <v>81</v>
      </c>
      <c r="B16" s="19" t="n">
        <v>450</v>
      </c>
      <c r="C16" s="9" t="s">
        <v>58</v>
      </c>
    </row>
    <row r="17" customFormat="false" ht="15" hidden="false" customHeight="false" outlineLevel="0" collapsed="false">
      <c r="A17" s="7" t="s">
        <v>82</v>
      </c>
      <c r="B17" s="20" t="n">
        <v>0.15</v>
      </c>
      <c r="C17" s="9" t="s">
        <v>83</v>
      </c>
    </row>
    <row r="18" customFormat="false" ht="15" hidden="false" customHeight="false" outlineLevel="0" collapsed="false">
      <c r="A18" s="7" t="s">
        <v>84</v>
      </c>
      <c r="B18" s="20" t="n">
        <v>0.03</v>
      </c>
      <c r="C18" s="9" t="s">
        <v>85</v>
      </c>
    </row>
    <row r="19" customFormat="false" ht="15" hidden="false" customHeight="false" outlineLevel="0" collapsed="false">
      <c r="A19" s="7" t="s">
        <v>86</v>
      </c>
      <c r="B19" s="21" t="n">
        <v>190000</v>
      </c>
      <c r="C19" s="9" t="s">
        <v>87</v>
      </c>
    </row>
    <row r="20" customFormat="false" ht="15" hidden="false" customHeight="false" outlineLevel="0" collapsed="false">
      <c r="A20" s="5" t="s">
        <v>88</v>
      </c>
      <c r="B20" s="6"/>
      <c r="C20" s="6"/>
    </row>
    <row r="21" customFormat="false" ht="15" hidden="false" customHeight="false" outlineLevel="0" collapsed="false">
      <c r="A21" s="7" t="s">
        <v>89</v>
      </c>
      <c r="B21" s="18" t="n">
        <v>510</v>
      </c>
      <c r="C21" s="9" t="s">
        <v>90</v>
      </c>
    </row>
    <row r="22" customFormat="false" ht="15" hidden="false" customHeight="false" outlineLevel="0" collapsed="false">
      <c r="A22" s="7" t="s">
        <v>91</v>
      </c>
      <c r="B22" s="20" t="n">
        <v>0.85</v>
      </c>
      <c r="C22" s="9" t="s">
        <v>92</v>
      </c>
    </row>
    <row r="23" customFormat="false" ht="15" hidden="false" customHeight="false" outlineLevel="0" collapsed="false">
      <c r="A23" s="7" t="s">
        <v>93</v>
      </c>
      <c r="B23" s="18" t="n">
        <v>321</v>
      </c>
      <c r="C23" s="9" t="s">
        <v>94</v>
      </c>
    </row>
    <row r="24" customFormat="false" ht="15" hidden="false" customHeight="false" outlineLevel="0" collapsed="false">
      <c r="A24" s="7" t="s">
        <v>95</v>
      </c>
      <c r="B24" s="18" t="n">
        <v>5</v>
      </c>
      <c r="C24" s="9" t="s">
        <v>96</v>
      </c>
    </row>
    <row r="25" customFormat="false" ht="15" hidden="false" customHeight="false" outlineLevel="0" collapsed="false">
      <c r="A25" s="7" t="s">
        <v>97</v>
      </c>
      <c r="B25" s="18" t="n">
        <v>334</v>
      </c>
      <c r="C25" s="9" t="s">
        <v>98</v>
      </c>
    </row>
    <row r="26" customFormat="false" ht="15" hidden="false" customHeight="false" outlineLevel="0" collapsed="false">
      <c r="A26" s="7" t="s">
        <v>99</v>
      </c>
      <c r="B26" s="18" t="n">
        <v>7</v>
      </c>
      <c r="C26" s="9" t="s">
        <v>100</v>
      </c>
    </row>
    <row r="27" customFormat="false" ht="15" hidden="false" customHeight="false" outlineLevel="0" collapsed="false">
      <c r="A27" s="7" t="s">
        <v>101</v>
      </c>
      <c r="B27" s="19" t="n">
        <v>15000</v>
      </c>
      <c r="C27" s="9" t="s">
        <v>102</v>
      </c>
    </row>
    <row r="28" customFormat="false" ht="15" hidden="false" customHeight="false" outlineLevel="0" collapsed="false">
      <c r="A28" s="7" t="s">
        <v>103</v>
      </c>
      <c r="B28" s="18" t="n">
        <v>0</v>
      </c>
      <c r="C28" s="9" t="s">
        <v>104</v>
      </c>
    </row>
    <row r="29" customFormat="false" ht="15" hidden="false" customHeight="false" outlineLevel="0" collapsed="false">
      <c r="A29" s="5" t="s">
        <v>105</v>
      </c>
      <c r="B29" s="6"/>
      <c r="C29" s="6"/>
    </row>
    <row r="30" customFormat="false" ht="15" hidden="false" customHeight="false" outlineLevel="0" collapsed="false">
      <c r="A30" s="7" t="s">
        <v>106</v>
      </c>
      <c r="B30" s="18" t="n">
        <v>100</v>
      </c>
      <c r="C30" s="9" t="s">
        <v>107</v>
      </c>
    </row>
    <row r="31" customFormat="false" ht="15" hidden="false" customHeight="false" outlineLevel="0" collapsed="false">
      <c r="A31" s="7" t="s">
        <v>108</v>
      </c>
      <c r="B31" s="22" t="n">
        <v>9.5</v>
      </c>
      <c r="C31" s="9" t="s">
        <v>109</v>
      </c>
    </row>
    <row r="32" customFormat="false" ht="15" hidden="false" customHeight="false" outlineLevel="0" collapsed="false">
      <c r="A32" s="7" t="s">
        <v>110</v>
      </c>
      <c r="B32" s="18" t="n">
        <v>65</v>
      </c>
      <c r="C32" s="9" t="s">
        <v>111</v>
      </c>
    </row>
    <row r="33" customFormat="false" ht="15" hidden="false" customHeight="false" outlineLevel="0" collapsed="false">
      <c r="A33" s="7" t="s">
        <v>112</v>
      </c>
      <c r="B33" s="22" t="n">
        <v>10</v>
      </c>
      <c r="C33" s="9" t="s">
        <v>113</v>
      </c>
    </row>
    <row r="34" customFormat="false" ht="15" hidden="false" customHeight="false" outlineLevel="0" collapsed="false">
      <c r="A34" s="7" t="s">
        <v>114</v>
      </c>
      <c r="B34" s="18" t="n">
        <v>10</v>
      </c>
      <c r="C34" s="9" t="s">
        <v>115</v>
      </c>
    </row>
    <row r="35" customFormat="false" ht="15" hidden="false" customHeight="false" outlineLevel="0" collapsed="false">
      <c r="A35" s="7" t="s">
        <v>116</v>
      </c>
      <c r="B35" s="19" t="n">
        <v>150</v>
      </c>
      <c r="C35" s="9" t="s">
        <v>117</v>
      </c>
    </row>
    <row r="36" customFormat="false" ht="15" hidden="false" customHeight="false" outlineLevel="0" collapsed="false">
      <c r="A36" s="5" t="s">
        <v>118</v>
      </c>
      <c r="B36" s="6"/>
      <c r="C36" s="6"/>
    </row>
    <row r="37" customFormat="false" ht="15" hidden="false" customHeight="false" outlineLevel="0" collapsed="false">
      <c r="A37" s="7" t="s">
        <v>119</v>
      </c>
      <c r="B37" s="18" t="n">
        <v>160</v>
      </c>
      <c r="C37" s="9" t="s">
        <v>120</v>
      </c>
    </row>
    <row r="38" customFormat="false" ht="15" hidden="false" customHeight="false" outlineLevel="0" collapsed="false">
      <c r="A38" s="7" t="s">
        <v>121</v>
      </c>
      <c r="B38" s="18" t="n">
        <v>30</v>
      </c>
      <c r="C38" s="9" t="s">
        <v>120</v>
      </c>
    </row>
    <row r="39" customFormat="false" ht="15" hidden="false" customHeight="false" outlineLevel="0" collapsed="false">
      <c r="A39" s="7" t="s">
        <v>122</v>
      </c>
      <c r="B39" s="23" t="n">
        <v>1.9</v>
      </c>
      <c r="C39" s="9" t="s">
        <v>123</v>
      </c>
    </row>
    <row r="40" customFormat="false" ht="15" hidden="false" customHeight="false" outlineLevel="0" collapsed="false">
      <c r="A40" s="7" t="s">
        <v>124</v>
      </c>
      <c r="B40" s="23" t="n">
        <v>1.4</v>
      </c>
      <c r="C40" s="9" t="s">
        <v>125</v>
      </c>
    </row>
    <row r="41" customFormat="false" ht="15" hidden="false" customHeight="false" outlineLevel="0" collapsed="false">
      <c r="A41" s="7" t="s">
        <v>126</v>
      </c>
      <c r="B41" s="18" t="n">
        <v>25</v>
      </c>
      <c r="C41" s="9" t="s">
        <v>127</v>
      </c>
    </row>
    <row r="42" customFormat="false" ht="15" hidden="false" customHeight="false" outlineLevel="0" collapsed="false">
      <c r="A42" s="7" t="s">
        <v>128</v>
      </c>
      <c r="B42" s="18" t="n">
        <v>55</v>
      </c>
      <c r="C42" s="9" t="s">
        <v>129</v>
      </c>
    </row>
    <row r="43" customFormat="false" ht="15" hidden="false" customHeight="false" outlineLevel="0" collapsed="false">
      <c r="A43" s="7" t="s">
        <v>130</v>
      </c>
      <c r="B43" s="18" t="n">
        <v>25</v>
      </c>
      <c r="C43" s="9"/>
    </row>
    <row r="44" customFormat="false" ht="15" hidden="false" customHeight="false" outlineLevel="0" collapsed="false">
      <c r="A44" s="7" t="s">
        <v>131</v>
      </c>
      <c r="B44" s="18" t="n">
        <v>22</v>
      </c>
      <c r="C44" s="9" t="s">
        <v>132</v>
      </c>
    </row>
    <row r="45" customFormat="false" ht="15" hidden="false" customHeight="false" outlineLevel="0" collapsed="false">
      <c r="A45" s="7" t="s">
        <v>133</v>
      </c>
      <c r="B45" s="18" t="n">
        <v>37</v>
      </c>
      <c r="C45" s="9" t="s">
        <v>134</v>
      </c>
    </row>
    <row r="46" customFormat="false" ht="15" hidden="false" customHeight="false" outlineLevel="0" collapsed="false">
      <c r="A46" s="5" t="s">
        <v>135</v>
      </c>
      <c r="B46" s="6"/>
      <c r="C46" s="6"/>
    </row>
    <row r="47" customFormat="false" ht="15" hidden="false" customHeight="false" outlineLevel="0" collapsed="false">
      <c r="A47" s="7" t="s">
        <v>136</v>
      </c>
      <c r="B47" s="24" t="n">
        <f aca="false">950/85</f>
        <v>11.1764705882353</v>
      </c>
      <c r="C47" s="9" t="s">
        <v>137</v>
      </c>
    </row>
    <row r="48" customFormat="false" ht="15" hidden="false" customHeight="false" outlineLevel="0" collapsed="false">
      <c r="A48" s="7" t="s">
        <v>138</v>
      </c>
      <c r="B48" s="19" t="n">
        <v>10</v>
      </c>
      <c r="C48" s="9" t="s">
        <v>139</v>
      </c>
    </row>
    <row r="49" customFormat="false" ht="15" hidden="false" customHeight="false" outlineLevel="0" collapsed="false">
      <c r="A49" s="7" t="s">
        <v>140</v>
      </c>
      <c r="B49" s="20" t="n">
        <v>0.1</v>
      </c>
      <c r="C49" s="9" t="s">
        <v>141</v>
      </c>
    </row>
    <row r="50" customFormat="false" ht="15" hidden="false" customHeight="false" outlineLevel="0" collapsed="false">
      <c r="A50" s="7" t="s">
        <v>142</v>
      </c>
      <c r="B50" s="20" t="n">
        <v>0.1</v>
      </c>
      <c r="C50" s="9" t="s">
        <v>143</v>
      </c>
    </row>
    <row r="51" customFormat="false" ht="15" hidden="false" customHeight="false" outlineLevel="0" collapsed="false">
      <c r="A51" s="7" t="s">
        <v>144</v>
      </c>
      <c r="B51" s="21" t="n">
        <f aca="false">'Gastro Tagesteile'!F14</f>
        <v>95635</v>
      </c>
      <c r="C51" s="9" t="s">
        <v>145</v>
      </c>
    </row>
    <row r="52" customFormat="false" ht="15" hidden="false" customHeight="false" outlineLevel="0" collapsed="false">
      <c r="A52" s="7" t="s">
        <v>146</v>
      </c>
      <c r="B52" s="20" t="n">
        <v>0.305</v>
      </c>
      <c r="C52" s="9" t="s">
        <v>147</v>
      </c>
    </row>
    <row r="53" customFormat="false" ht="15" hidden="false" customHeight="false" outlineLevel="0" collapsed="false">
      <c r="A53" s="7" t="s">
        <v>148</v>
      </c>
      <c r="B53" s="19" t="n">
        <v>0</v>
      </c>
      <c r="C53" s="9" t="s">
        <v>149</v>
      </c>
    </row>
    <row r="54" customFormat="false" ht="15" hidden="false" customHeight="false" outlineLevel="0" collapsed="false">
      <c r="A54" s="5" t="s">
        <v>150</v>
      </c>
      <c r="B54" s="6"/>
      <c r="C54" s="6"/>
    </row>
    <row r="55" customFormat="false" ht="15" hidden="false" customHeight="false" outlineLevel="0" collapsed="false">
      <c r="A55" s="7" t="s">
        <v>151</v>
      </c>
      <c r="B55" s="19" t="n">
        <v>0</v>
      </c>
      <c r="C55" s="9" t="s">
        <v>152</v>
      </c>
    </row>
    <row r="56" customFormat="false" ht="15" hidden="false" customHeight="false" outlineLevel="0" collapsed="false">
      <c r="A56" s="7" t="s">
        <v>153</v>
      </c>
      <c r="B56" s="19" t="n">
        <v>150000</v>
      </c>
      <c r="C56" s="9" t="s">
        <v>154</v>
      </c>
    </row>
    <row r="57" customFormat="false" ht="15" hidden="false" customHeight="false" outlineLevel="0" collapsed="false">
      <c r="A57" s="7" t="s">
        <v>155</v>
      </c>
      <c r="B57" s="19" t="n">
        <v>2000</v>
      </c>
      <c r="C57" s="9" t="s">
        <v>156</v>
      </c>
    </row>
    <row r="58" customFormat="false" ht="15" hidden="false" customHeight="false" outlineLevel="0" collapsed="false">
      <c r="A58" s="7" t="s">
        <v>157</v>
      </c>
      <c r="B58" s="25" t="n">
        <v>0.025</v>
      </c>
      <c r="C58" s="9" t="s">
        <v>158</v>
      </c>
    </row>
    <row r="59" customFormat="false" ht="15" hidden="false" customHeight="false" outlineLevel="0" collapsed="false">
      <c r="A59" s="7" t="s">
        <v>159</v>
      </c>
      <c r="B59" s="25" t="n">
        <v>0.03</v>
      </c>
      <c r="C59" s="9" t="s">
        <v>160</v>
      </c>
    </row>
    <row r="60" customFormat="false" ht="15" hidden="false" customHeight="false" outlineLevel="0" collapsed="false">
      <c r="A60" s="7" t="s">
        <v>161</v>
      </c>
      <c r="B60" s="25" t="n">
        <v>0.04</v>
      </c>
      <c r="C60" s="9" t="s">
        <v>162</v>
      </c>
    </row>
    <row r="61" customFormat="false" ht="15" hidden="false" customHeight="false" outlineLevel="0" collapsed="false">
      <c r="A61" s="7" t="s">
        <v>163</v>
      </c>
      <c r="B61" s="26" t="n">
        <v>0.01</v>
      </c>
      <c r="C61" s="9" t="s">
        <v>164</v>
      </c>
    </row>
    <row r="62" customFormat="false" ht="15" hidden="false" customHeight="false" outlineLevel="0" collapsed="false">
      <c r="A62" s="7" t="s">
        <v>165</v>
      </c>
      <c r="B62" s="18" t="n">
        <v>15</v>
      </c>
      <c r="C62" s="9" t="s">
        <v>166</v>
      </c>
    </row>
    <row r="63" customFormat="false" ht="15" hidden="false" customHeight="false" outlineLevel="0" collapsed="false">
      <c r="A63" s="7" t="s">
        <v>167</v>
      </c>
      <c r="B63" s="18" t="n">
        <v>12</v>
      </c>
      <c r="C63" s="9" t="s">
        <v>168</v>
      </c>
    </row>
    <row r="64" customFormat="false" ht="15" hidden="false" customHeight="false" outlineLevel="0" collapsed="false">
      <c r="A64" s="7" t="s">
        <v>169</v>
      </c>
      <c r="B64" s="20" t="n">
        <v>0.03</v>
      </c>
      <c r="C64" s="9" t="s">
        <v>170</v>
      </c>
    </row>
    <row r="65" customFormat="false" ht="15" hidden="false" customHeight="false" outlineLevel="0" collapsed="false">
      <c r="A65" s="7" t="s">
        <v>171</v>
      </c>
      <c r="B65" s="18" t="n">
        <v>7</v>
      </c>
      <c r="C65" s="9"/>
    </row>
    <row r="66" customFormat="false" ht="15" hidden="false" customHeight="false" outlineLevel="0" collapsed="false">
      <c r="A66" s="5" t="s">
        <v>172</v>
      </c>
      <c r="B66" s="6"/>
      <c r="C66" s="6"/>
    </row>
    <row r="67" customFormat="false" ht="15" hidden="false" customHeight="false" outlineLevel="0" collapsed="false">
      <c r="A67" s="7" t="s">
        <v>173</v>
      </c>
      <c r="B67" s="27" t="n">
        <v>0.04</v>
      </c>
      <c r="C67" s="9" t="s">
        <v>174</v>
      </c>
    </row>
    <row r="68" customFormat="false" ht="15" hidden="false" customHeight="false" outlineLevel="0" collapsed="false">
      <c r="A68" s="7" t="s">
        <v>175</v>
      </c>
      <c r="B68" s="27" t="n">
        <v>0.06</v>
      </c>
      <c r="C68" s="9" t="s">
        <v>176</v>
      </c>
    </row>
    <row r="69" customFormat="false" ht="15" hidden="false" customHeight="false" outlineLevel="0" collapsed="false">
      <c r="A69" s="7" t="s">
        <v>177</v>
      </c>
      <c r="B69" s="27" t="n">
        <v>0.065</v>
      </c>
      <c r="C69" s="9" t="s">
        <v>178</v>
      </c>
    </row>
    <row r="70" customFormat="false" ht="15" hidden="false" customHeight="false" outlineLevel="0" collapsed="false">
      <c r="A70" s="7" t="s">
        <v>179</v>
      </c>
      <c r="B70" s="18" t="n">
        <v>80</v>
      </c>
      <c r="C70" s="9" t="s">
        <v>180</v>
      </c>
    </row>
    <row r="71" customFormat="false" ht="15" hidden="false" customHeight="false" outlineLevel="0" collapsed="false">
      <c r="A71" s="7" t="s">
        <v>181</v>
      </c>
      <c r="B71" s="18" t="n">
        <v>60</v>
      </c>
      <c r="C71" s="9" t="s">
        <v>182</v>
      </c>
    </row>
    <row r="72" customFormat="false" ht="15" hidden="false" customHeight="false" outlineLevel="0" collapsed="false">
      <c r="A72" s="7" t="s">
        <v>183</v>
      </c>
      <c r="B72" s="19" t="n">
        <v>360</v>
      </c>
      <c r="C72" s="9" t="s">
        <v>184</v>
      </c>
    </row>
    <row r="73" customFormat="false" ht="15" hidden="false" customHeight="false" outlineLevel="0" collapsed="false">
      <c r="A73" s="7" t="s">
        <v>185</v>
      </c>
      <c r="B73" s="19" t="n">
        <v>12</v>
      </c>
      <c r="C73" s="9" t="s">
        <v>186</v>
      </c>
    </row>
    <row r="74" customFormat="false" ht="15" hidden="false" customHeight="false" outlineLevel="0" collapsed="false">
      <c r="A74" s="7" t="s">
        <v>187</v>
      </c>
      <c r="B74" s="20" t="n">
        <v>0.02</v>
      </c>
      <c r="C74" s="9" t="s">
        <v>58</v>
      </c>
    </row>
    <row r="75" customFormat="false" ht="15" hidden="false" customHeight="false" outlineLevel="0" collapsed="false">
      <c r="A75" s="7" t="s">
        <v>188</v>
      </c>
      <c r="B75" s="20" t="n">
        <v>0.03</v>
      </c>
      <c r="C75" s="9" t="s">
        <v>58</v>
      </c>
    </row>
    <row r="76" customFormat="false" ht="15" hidden="false" customHeight="false" outlineLevel="0" collapsed="false">
      <c r="A76" s="7" t="s">
        <v>189</v>
      </c>
      <c r="B76" s="19" t="n">
        <v>8</v>
      </c>
      <c r="C76" s="9" t="s">
        <v>58</v>
      </c>
    </row>
    <row r="77" customFormat="false" ht="15" hidden="false" customHeight="false" outlineLevel="0" collapsed="false">
      <c r="A77" s="7" t="s">
        <v>190</v>
      </c>
      <c r="B77" s="20" t="n">
        <v>0.04</v>
      </c>
      <c r="C77" s="9" t="s">
        <v>191</v>
      </c>
    </row>
    <row r="78" customFormat="false" ht="15" hidden="false" customHeight="false" outlineLevel="0" collapsed="false">
      <c r="A78" s="7" t="s">
        <v>192</v>
      </c>
      <c r="B78" s="20" t="n">
        <v>0.02</v>
      </c>
      <c r="C78" s="9" t="s">
        <v>193</v>
      </c>
    </row>
    <row r="79" customFormat="false" ht="15" hidden="false" customHeight="false" outlineLevel="0" collapsed="false">
      <c r="A79" s="7" t="s">
        <v>194</v>
      </c>
      <c r="B79" s="20" t="n">
        <v>0.1</v>
      </c>
      <c r="C79" s="9" t="s">
        <v>195</v>
      </c>
    </row>
    <row r="80" customFormat="false" ht="15" hidden="false" customHeight="false" outlineLevel="0" collapsed="false">
      <c r="A80" s="5" t="s">
        <v>196</v>
      </c>
      <c r="B80" s="6"/>
      <c r="C80" s="6"/>
    </row>
    <row r="81" customFormat="false" ht="15" hidden="false" customHeight="false" outlineLevel="0" collapsed="false">
      <c r="A81" s="7" t="s">
        <v>197</v>
      </c>
      <c r="B81" s="20" t="n">
        <v>0.015</v>
      </c>
      <c r="C81" s="9" t="s">
        <v>58</v>
      </c>
    </row>
    <row r="82" customFormat="false" ht="15" hidden="false" customHeight="false" outlineLevel="0" collapsed="false">
      <c r="A82" s="7" t="s">
        <v>198</v>
      </c>
      <c r="B82" s="20" t="n">
        <v>0.015</v>
      </c>
      <c r="C82" s="9" t="s">
        <v>58</v>
      </c>
    </row>
    <row r="83" customFormat="false" ht="15" hidden="false" customHeight="false" outlineLevel="0" collapsed="false">
      <c r="A83" s="7" t="s">
        <v>199</v>
      </c>
      <c r="B83" s="20" t="n">
        <v>0.02</v>
      </c>
      <c r="C83" s="9" t="s">
        <v>200</v>
      </c>
    </row>
    <row r="84" customFormat="false" ht="15" hidden="false" customHeight="false" outlineLevel="0" collapsed="false">
      <c r="A84" s="5" t="s">
        <v>201</v>
      </c>
      <c r="B84" s="6"/>
      <c r="C84" s="6"/>
    </row>
    <row r="85" customFormat="false" ht="15" hidden="false" customHeight="false" outlineLevel="0" collapsed="false">
      <c r="A85" s="7" t="s">
        <v>202</v>
      </c>
      <c r="B85" s="20" t="n">
        <v>0.35</v>
      </c>
      <c r="C85" s="9" t="s">
        <v>203</v>
      </c>
    </row>
    <row r="86" customFormat="false" ht="15" hidden="false" customHeight="false" outlineLevel="0" collapsed="false">
      <c r="A86" s="7" t="s">
        <v>204</v>
      </c>
      <c r="B86" s="20" t="n">
        <v>0.03</v>
      </c>
      <c r="C86" s="9" t="s">
        <v>205</v>
      </c>
    </row>
    <row r="87" customFormat="false" ht="15" hidden="false" customHeight="false" outlineLevel="0" collapsed="false">
      <c r="A87" s="7" t="s">
        <v>206</v>
      </c>
      <c r="B87" s="20" t="n">
        <v>0.05</v>
      </c>
      <c r="C87" s="9" t="s">
        <v>207</v>
      </c>
    </row>
    <row r="88" customFormat="false" ht="15" hidden="false" customHeight="false" outlineLevel="0" collapsed="false">
      <c r="A88" s="7" t="s">
        <v>208</v>
      </c>
      <c r="B88" s="20" t="n">
        <v>0.05</v>
      </c>
      <c r="C88" s="9" t="s">
        <v>209</v>
      </c>
    </row>
    <row r="90" customFormat="false" ht="15" hidden="false" customHeight="false" outlineLevel="0" collapsed="false">
      <c r="A90" s="16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7" min="6" style="0" width="18"/>
  </cols>
  <sheetData>
    <row r="1" customFormat="false" ht="19.7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15" hidden="false" customHeight="false" outlineLevel="0" collapsed="false">
      <c r="A4" s="3" t="s">
        <v>213</v>
      </c>
      <c r="B4" s="4" t="s">
        <v>214</v>
      </c>
      <c r="C4" s="4" t="s">
        <v>215</v>
      </c>
      <c r="D4" s="4" t="s">
        <v>216</v>
      </c>
      <c r="E4" s="4" t="s">
        <v>217</v>
      </c>
      <c r="F4" s="4"/>
      <c r="G4" s="4"/>
    </row>
    <row r="5" customFormat="false" ht="15" hidden="false" customHeight="false" outlineLevel="0" collapsed="false">
      <c r="A5" s="7" t="s">
        <v>218</v>
      </c>
      <c r="B5" s="8" t="n">
        <f aca="false">Annahmen!$B$10</f>
        <v>576</v>
      </c>
      <c r="C5" s="7" t="s">
        <v>219</v>
      </c>
      <c r="D5" s="28" t="n">
        <v>1</v>
      </c>
      <c r="E5" s="8" t="n">
        <f aca="false">Annahmen!$B$21</f>
        <v>510</v>
      </c>
    </row>
    <row r="6" customFormat="false" ht="15" hidden="false" customHeight="false" outlineLevel="0" collapsed="false">
      <c r="A6" s="7" t="s">
        <v>220</v>
      </c>
      <c r="B6" s="8" t="n">
        <f aca="false">Annahmen!$B$11</f>
        <v>576</v>
      </c>
      <c r="C6" s="7" t="s">
        <v>221</v>
      </c>
      <c r="D6" s="28" t="n">
        <f aca="false">2+Annahmen!$B$24</f>
        <v>7</v>
      </c>
      <c r="E6" s="28" t="n">
        <f aca="false">Annahmen!$B$23+Annahmen!$B$30+Annahmen!$B$32</f>
        <v>486</v>
      </c>
    </row>
    <row r="7" customFormat="false" ht="15" hidden="false" customHeight="false" outlineLevel="0" collapsed="false">
      <c r="A7" s="7" t="s">
        <v>222</v>
      </c>
      <c r="B7" s="8" t="n">
        <f aca="false">Annahmen!$B$12</f>
        <v>498</v>
      </c>
      <c r="C7" s="7" t="s">
        <v>223</v>
      </c>
      <c r="D7" s="8" t="n">
        <f aca="false">Annahmen!$B$26</f>
        <v>7</v>
      </c>
      <c r="E7" s="8" t="n">
        <f aca="false">Annahmen!$B$25</f>
        <v>334</v>
      </c>
    </row>
    <row r="8" customFormat="false" ht="15" hidden="false" customHeight="false" outlineLevel="0" collapsed="false">
      <c r="A8" s="29" t="s">
        <v>224</v>
      </c>
      <c r="B8" s="30" t="n">
        <f aca="false">SUM(B5:B7)</f>
        <v>1650</v>
      </c>
      <c r="C8" s="7"/>
      <c r="D8" s="30" t="n">
        <f aca="false">D5+D6+D7</f>
        <v>15</v>
      </c>
      <c r="E8" s="30" t="n">
        <f aca="false">SUM(E5:E7)</f>
        <v>1330</v>
      </c>
    </row>
    <row r="9" customFormat="false" ht="15" hidden="false" customHeight="false" outlineLevel="0" collapsed="false">
      <c r="A9" s="7" t="s">
        <v>225</v>
      </c>
      <c r="D9" s="28" t="n">
        <f aca="false">Annahmen!$B$24+Annahmen!$B$26</f>
        <v>12</v>
      </c>
      <c r="E9" s="28" t="n">
        <f aca="false">Annahmen!$B$23+Annahmen!$B$25</f>
        <v>655</v>
      </c>
    </row>
    <row r="11" customFormat="false" ht="15" hidden="false" customHeight="false" outlineLevel="0" collapsed="false">
      <c r="A11" s="3" t="s">
        <v>226</v>
      </c>
      <c r="B11" s="4" t="s">
        <v>213</v>
      </c>
      <c r="C11" s="4" t="s">
        <v>217</v>
      </c>
      <c r="D11" s="4" t="s">
        <v>215</v>
      </c>
      <c r="E11" s="4" t="s">
        <v>227</v>
      </c>
      <c r="F11" s="4" t="s">
        <v>228</v>
      </c>
      <c r="G11" s="4" t="s">
        <v>229</v>
      </c>
    </row>
    <row r="12" customFormat="false" ht="15" hidden="false" customHeight="false" outlineLevel="0" collapsed="false">
      <c r="A12" s="7" t="str">
        <f aca="false">"WE 1–"&amp;Annahmen!$B$24&amp;" im 1. OG ("&amp;Annahmen!$B$24&amp;" × "&amp;TEXT(Annahmen!$B$23/Annahmen!$B$24,"0.0")&amp;" m²)"</f>
        <v>WE 1–5 im 1. OG (5 × 64.2 m²)</v>
      </c>
      <c r="B12" s="7" t="s">
        <v>230</v>
      </c>
      <c r="C12" s="31" t="n">
        <f aca="false">Annahmen!$B$23</f>
        <v>321</v>
      </c>
      <c r="D12" s="7" t="s">
        <v>231</v>
      </c>
      <c r="E12" s="32" t="n">
        <f aca="false">Annahmen!$B$47</f>
        <v>11.1764705882353</v>
      </c>
      <c r="F12" s="33" t="n">
        <f aca="false">C12*E12</f>
        <v>3587.64705882353</v>
      </c>
      <c r="G12" s="33" t="n">
        <f aca="false">F12*12</f>
        <v>43051.7647058824</v>
      </c>
    </row>
    <row r="13" customFormat="false" ht="15" hidden="false" customHeight="false" outlineLevel="0" collapsed="false">
      <c r="A13" s="7" t="str">
        <f aca="false">"WE "&amp;(Annahmen!$B$24+1)&amp;"–"&amp;(Annahmen!$B$24+Annahmen!$B$26)&amp;" im Staffelgeschoss ("&amp;Annahmen!$B$26&amp;" × "&amp;TEXT(Annahmen!$B$25/Annahmen!$B$26,"0.0")&amp;" m²)"</f>
        <v>WE 6–12 im Staffelgeschoss (7 × 47.7 m²)</v>
      </c>
      <c r="B13" s="7" t="s">
        <v>232</v>
      </c>
      <c r="C13" s="31" t="n">
        <f aca="false">Annahmen!$B$25</f>
        <v>334</v>
      </c>
      <c r="D13" s="7" t="s">
        <v>231</v>
      </c>
      <c r="E13" s="32" t="n">
        <f aca="false">Annahmen!$B$47</f>
        <v>11.1764705882353</v>
      </c>
      <c r="F13" s="33" t="n">
        <f aca="false">C13*E13</f>
        <v>3732.94117647059</v>
      </c>
      <c r="G13" s="33" t="n">
        <f aca="false">F13*12</f>
        <v>44795.2941176471</v>
      </c>
    </row>
    <row r="14" customFormat="false" ht="15" hidden="true" customHeight="false" outlineLevel="0" collapsed="false"/>
    <row r="15" customFormat="false" ht="15" hidden="true" customHeight="false" outlineLevel="0" collapsed="false"/>
    <row r="16" customFormat="false" ht="15" hidden="true" customHeight="false" outlineLevel="0" collapsed="false"/>
    <row r="17" customFormat="false" ht="15" hidden="true" customHeight="false" outlineLevel="0" collapsed="false"/>
    <row r="18" customFormat="false" ht="15" hidden="true" customHeight="false" outlineLevel="0" collapsed="false"/>
    <row r="19" customFormat="false" ht="15" hidden="true" customHeight="false" outlineLevel="0" collapsed="false"/>
    <row r="20" customFormat="false" ht="15" hidden="false" customHeight="false" outlineLevel="0" collapsed="false">
      <c r="A20" s="29" t="s">
        <v>233</v>
      </c>
      <c r="C20" s="34" t="n">
        <f aca="false">SUM(C12:C19)</f>
        <v>655</v>
      </c>
      <c r="F20" s="35" t="n">
        <f aca="false">SUM(F12:F19)</f>
        <v>7320.58823529412</v>
      </c>
      <c r="G20" s="35" t="n">
        <f aca="false">SUM(G12:G19)</f>
        <v>87847.0588235294</v>
      </c>
    </row>
    <row r="21" customFormat="false" ht="15" hidden="false" customHeight="false" outlineLevel="0" collapsed="false">
      <c r="A21" s="29" t="s">
        <v>234</v>
      </c>
      <c r="F21" s="35" t="n">
        <f aca="false">F20*(Annahmen!$B$24+Annahmen!$B$26-Annahmen!$B$28)/(Annahmen!$B$24+Annahmen!$B$26)</f>
        <v>7320.58823529412</v>
      </c>
      <c r="G21" s="35" t="n">
        <f aca="false">F21*12</f>
        <v>87847.0588235294</v>
      </c>
    </row>
    <row r="22" customFormat="false" ht="15" hidden="false" customHeight="false" outlineLevel="0" collapsed="false">
      <c r="A22" s="29" t="s">
        <v>235</v>
      </c>
      <c r="C22" s="31" t="n">
        <f aca="false">Annahmen!$B$21</f>
        <v>510</v>
      </c>
      <c r="E22" s="36" t="n">
        <f aca="false">F22/C22</f>
        <v>18.7519607843137</v>
      </c>
      <c r="F22" s="35" t="n">
        <f aca="false">MAX(C22*Annahmen!$B$48,Annahmen!$B$51*Annahmen!$B$49)</f>
        <v>9563.5</v>
      </c>
      <c r="G22" s="35" t="n">
        <f aca="false">F22*12</f>
        <v>114762</v>
      </c>
    </row>
    <row r="23" customFormat="false" ht="15" hidden="false" customHeight="false" outlineLevel="0" collapsed="false">
      <c r="A23" s="29" t="s">
        <v>236</v>
      </c>
      <c r="B23" s="7" t="s">
        <v>230</v>
      </c>
      <c r="C23" s="31" t="n">
        <f aca="false">Annahmen!$B$30</f>
        <v>100</v>
      </c>
      <c r="D23" s="7" t="str">
        <f aca="false">Annahmen!$B$34&amp;" Jahre fest"</f>
        <v>10 Jahre fest</v>
      </c>
      <c r="E23" s="32" t="n">
        <f aca="false">Annahmen!$B$31</f>
        <v>9.5</v>
      </c>
      <c r="F23" s="35" t="n">
        <f aca="false">C23*E23</f>
        <v>950</v>
      </c>
      <c r="G23" s="35" t="n">
        <f aca="false">F23*12</f>
        <v>11400</v>
      </c>
    </row>
    <row r="24" customFormat="false" ht="15" hidden="false" customHeight="false" outlineLevel="0" collapsed="false">
      <c r="A24" s="29" t="s">
        <v>237</v>
      </c>
      <c r="B24" s="7" t="s">
        <v>230</v>
      </c>
      <c r="C24" s="31" t="n">
        <f aca="false">Annahmen!$B$32</f>
        <v>65</v>
      </c>
      <c r="D24" s="7" t="str">
        <f aca="false">Annahmen!$B$34&amp;" Jahre fest"</f>
        <v>10 Jahre fest</v>
      </c>
      <c r="E24" s="32" t="n">
        <f aca="false">Annahmen!$B$33</f>
        <v>10</v>
      </c>
      <c r="F24" s="35" t="n">
        <f aca="false">C24*E24</f>
        <v>650</v>
      </c>
      <c r="G24" s="35" t="n">
        <f aca="false">F24*12</f>
        <v>7800</v>
      </c>
    </row>
    <row r="25" customFormat="false" ht="15" hidden="false" customHeight="false" outlineLevel="0" collapsed="false">
      <c r="A25" s="29" t="s">
        <v>238</v>
      </c>
      <c r="C25" s="34" t="n">
        <f aca="false">C23+C24</f>
        <v>165</v>
      </c>
      <c r="F25" s="35" t="n">
        <f aca="false">F23+F24</f>
        <v>1600</v>
      </c>
      <c r="G25" s="35" t="n">
        <f aca="false">G23+G24</f>
        <v>19200</v>
      </c>
    </row>
    <row r="26" customFormat="false" ht="15" hidden="false" customHeight="false" outlineLevel="0" collapsed="false">
      <c r="A26" s="29" t="s">
        <v>239</v>
      </c>
      <c r="F26" s="35" t="n">
        <f aca="false">F21+F22+F25</f>
        <v>18484.0882352941</v>
      </c>
      <c r="G26" s="35" t="n">
        <f aca="false">G21+G22+G25</f>
        <v>221809.058823529</v>
      </c>
    </row>
    <row r="28" customFormat="false" ht="15" hidden="false" customHeight="false" outlineLevel="0" collapsed="false">
      <c r="A28" s="16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4" customFormat="false" ht="15" hidden="false" customHeight="false" outlineLevel="0" collapsed="false">
      <c r="A4" s="3" t="s">
        <v>243</v>
      </c>
      <c r="B4" s="4" t="s">
        <v>244</v>
      </c>
      <c r="C4" s="4" t="s">
        <v>245</v>
      </c>
      <c r="D4" s="4" t="s">
        <v>217</v>
      </c>
      <c r="E4" s="4"/>
      <c r="F4" s="4"/>
      <c r="G4" s="4"/>
      <c r="H4" s="4" t="s">
        <v>246</v>
      </c>
    </row>
    <row r="5" customFormat="false" ht="15" hidden="false" customHeight="false" outlineLevel="0" collapsed="false">
      <c r="A5" s="7" t="s">
        <v>247</v>
      </c>
      <c r="B5" s="8" t="n">
        <f aca="false">Annahmen!$B$37</f>
        <v>160</v>
      </c>
      <c r="C5" s="37" t="n">
        <f aca="false">Annahmen!$B$39</f>
        <v>1.9</v>
      </c>
      <c r="D5" s="28" t="n">
        <f aca="false">B5*C5</f>
        <v>304</v>
      </c>
      <c r="H5" s="9" t="s">
        <v>248</v>
      </c>
    </row>
    <row r="6" customFormat="false" ht="15" hidden="false" customHeight="false" outlineLevel="0" collapsed="false">
      <c r="A6" s="7" t="s">
        <v>249</v>
      </c>
      <c r="B6" s="8" t="n">
        <f aca="false">Annahmen!$B$38</f>
        <v>30</v>
      </c>
      <c r="C6" s="37" t="n">
        <f aca="false">Annahmen!$B$40</f>
        <v>1.4</v>
      </c>
      <c r="D6" s="28" t="n">
        <f aca="false">B6*C6</f>
        <v>42</v>
      </c>
      <c r="H6" s="9" t="s">
        <v>250</v>
      </c>
    </row>
    <row r="7" customFormat="false" ht="15" hidden="false" customHeight="false" outlineLevel="0" collapsed="false">
      <c r="A7" s="7" t="s">
        <v>251</v>
      </c>
      <c r="B7" s="28" t="n">
        <v>1</v>
      </c>
      <c r="C7" s="37" t="n">
        <f aca="false">Annahmen!$B$41</f>
        <v>25</v>
      </c>
      <c r="D7" s="28" t="n">
        <f aca="false">B7*C7</f>
        <v>25</v>
      </c>
      <c r="H7" s="9"/>
    </row>
    <row r="8" customFormat="false" ht="15" hidden="false" customHeight="false" outlineLevel="0" collapsed="false">
      <c r="A8" s="7" t="s">
        <v>252</v>
      </c>
      <c r="B8" s="28" t="n">
        <v>1</v>
      </c>
      <c r="C8" s="37" t="n">
        <f aca="false">Annahmen!$B$42</f>
        <v>55</v>
      </c>
      <c r="D8" s="28" t="n">
        <f aca="false">B8*C8</f>
        <v>55</v>
      </c>
      <c r="H8" s="9"/>
    </row>
    <row r="9" customFormat="false" ht="15" hidden="false" customHeight="false" outlineLevel="0" collapsed="false">
      <c r="A9" s="7" t="s">
        <v>253</v>
      </c>
      <c r="B9" s="28" t="n">
        <v>1</v>
      </c>
      <c r="C9" s="37" t="n">
        <f aca="false">Annahmen!$B$43</f>
        <v>25</v>
      </c>
      <c r="D9" s="28" t="n">
        <f aca="false">B9*C9</f>
        <v>25</v>
      </c>
      <c r="H9" s="9"/>
    </row>
    <row r="10" customFormat="false" ht="15" hidden="false" customHeight="false" outlineLevel="0" collapsed="false">
      <c r="A10" s="7" t="s">
        <v>254</v>
      </c>
      <c r="B10" s="28" t="n">
        <v>1</v>
      </c>
      <c r="C10" s="37" t="n">
        <f aca="false">Annahmen!$B$44</f>
        <v>22</v>
      </c>
      <c r="D10" s="28" t="n">
        <f aca="false">B10*C10</f>
        <v>22</v>
      </c>
      <c r="H10" s="9"/>
    </row>
    <row r="11" customFormat="false" ht="15" hidden="false" customHeight="false" outlineLevel="0" collapsed="false">
      <c r="A11" s="7" t="s">
        <v>255</v>
      </c>
      <c r="B11" s="28" t="n">
        <v>1</v>
      </c>
      <c r="C11" s="37" t="n">
        <f aca="false">Annahmen!$B$45</f>
        <v>37</v>
      </c>
      <c r="D11" s="28" t="n">
        <f aca="false">B11*C11</f>
        <v>37</v>
      </c>
      <c r="H11" s="9"/>
    </row>
    <row r="12" customFormat="false" ht="15" hidden="false" customHeight="false" outlineLevel="0" collapsed="false">
      <c r="A12" s="29" t="s">
        <v>256</v>
      </c>
      <c r="D12" s="38" t="n">
        <f aca="false">SUM(D5:D11)</f>
        <v>510</v>
      </c>
    </row>
    <row r="13" customFormat="false" ht="15" hidden="false" customHeight="false" outlineLevel="0" collapsed="false">
      <c r="A13" s="7" t="s">
        <v>257</v>
      </c>
      <c r="D13" s="8" t="n">
        <f aca="false">Annahmen!$B$21</f>
        <v>510</v>
      </c>
    </row>
    <row r="14" customFormat="false" ht="15" hidden="false" customHeight="false" outlineLevel="0" collapsed="false">
      <c r="A14" s="7" t="s">
        <v>258</v>
      </c>
      <c r="D14" s="39" t="n">
        <f aca="false">D12-D13</f>
        <v>0</v>
      </c>
    </row>
    <row r="15" customFormat="false" ht="15" hidden="false" customHeight="false" outlineLevel="0" collapsed="false">
      <c r="A15" s="7" t="s">
        <v>259</v>
      </c>
      <c r="D15" s="28" t="n">
        <f aca="false">B5+B6</f>
        <v>190</v>
      </c>
    </row>
    <row r="16" customFormat="false" ht="15" hidden="false" customHeight="false" outlineLevel="0" collapsed="false">
      <c r="A16" s="7" t="s">
        <v>260</v>
      </c>
      <c r="D16" s="40" t="n">
        <f aca="false">D13/D15</f>
        <v>2.68421052631579</v>
      </c>
      <c r="H16" s="9" t="s">
        <v>261</v>
      </c>
    </row>
    <row r="17" customFormat="false" ht="15" hidden="false" customHeight="false" outlineLevel="0" collapsed="false">
      <c r="A17" s="7" t="s">
        <v>262</v>
      </c>
      <c r="D17" s="33" t="n">
        <f aca="false">Annahmen!$B$51*12/D15</f>
        <v>6040.1052631579</v>
      </c>
      <c r="H17" s="9" t="s">
        <v>263</v>
      </c>
    </row>
    <row r="18" customFormat="false" ht="15" hidden="false" customHeight="false" outlineLevel="0" collapsed="false">
      <c r="A18" s="7" t="s">
        <v>264</v>
      </c>
      <c r="D18" s="41" t="n">
        <f aca="false">'Flächen und Mieten'!F22/Annahmen!$B$51</f>
        <v>0.1</v>
      </c>
      <c r="H18" s="9" t="s">
        <v>265</v>
      </c>
    </row>
    <row r="21" customFormat="false" ht="30" hidden="false" customHeight="true" outlineLevel="0" collapsed="false">
      <c r="A21" s="3" t="s">
        <v>266</v>
      </c>
      <c r="B21" s="4" t="s">
        <v>217</v>
      </c>
      <c r="C21" s="4" t="s">
        <v>267</v>
      </c>
      <c r="D21" s="4" t="s">
        <v>268</v>
      </c>
      <c r="E21" s="4" t="s">
        <v>269</v>
      </c>
      <c r="F21" s="4" t="s">
        <v>270</v>
      </c>
      <c r="G21" s="4" t="s">
        <v>271</v>
      </c>
      <c r="H21" s="4" t="s">
        <v>272</v>
      </c>
    </row>
    <row r="22" customFormat="false" ht="15" hidden="false" customHeight="false" outlineLevel="0" collapsed="false">
      <c r="A22" s="7" t="s">
        <v>273</v>
      </c>
      <c r="B22" s="8" t="n">
        <f aca="false">Annahmen!$B$30</f>
        <v>100</v>
      </c>
      <c r="C22" s="32" t="n">
        <f aca="false">Annahmen!$B$31</f>
        <v>9.5</v>
      </c>
      <c r="D22" s="33" t="n">
        <f aca="false">B22*C22</f>
        <v>950</v>
      </c>
      <c r="E22" s="33" t="n">
        <f aca="false">D22*12</f>
        <v>11400</v>
      </c>
      <c r="F22" s="8" t="n">
        <f aca="false">Annahmen!$B$34</f>
        <v>10</v>
      </c>
      <c r="G22" s="33" t="n">
        <f aca="false">E22*((1+Annahmen!$B$83)^F22-1)/Annahmen!$B$83</f>
        <v>124826.819397012</v>
      </c>
      <c r="H22" s="41" t="n">
        <f aca="false">E22/'Flächen und Mieten'!$G$26</f>
        <v>0.0513955564324801</v>
      </c>
    </row>
    <row r="23" customFormat="false" ht="15" hidden="false" customHeight="false" outlineLevel="0" collapsed="false">
      <c r="A23" s="7" t="s">
        <v>274</v>
      </c>
      <c r="B23" s="8" t="n">
        <f aca="false">Annahmen!$B$32</f>
        <v>65</v>
      </c>
      <c r="C23" s="32" t="n">
        <f aca="false">Annahmen!$B$33</f>
        <v>10</v>
      </c>
      <c r="D23" s="33" t="n">
        <f aca="false">B23*C23</f>
        <v>650</v>
      </c>
      <c r="E23" s="33" t="n">
        <f aca="false">D23*12</f>
        <v>7800</v>
      </c>
      <c r="F23" s="8" t="n">
        <f aca="false">Annahmen!$B$34</f>
        <v>10</v>
      </c>
      <c r="G23" s="33" t="n">
        <f aca="false">E23*((1+Annahmen!$B$83)^F23-1)/Annahmen!$B$83</f>
        <v>85407.8237979554</v>
      </c>
      <c r="H23" s="41" t="n">
        <f aca="false">E23/'Flächen und Mieten'!$G$26</f>
        <v>0.0351653807169601</v>
      </c>
    </row>
    <row r="24" customFormat="false" ht="15" hidden="false" customHeight="false" outlineLevel="0" collapsed="false">
      <c r="A24" s="29" t="s">
        <v>275</v>
      </c>
      <c r="B24" s="30" t="n">
        <f aca="false">SUM(B22:B23)</f>
        <v>165</v>
      </c>
      <c r="C24" s="42" t="n">
        <f aca="false">D24/B24</f>
        <v>9.6969696969697</v>
      </c>
      <c r="D24" s="35" t="n">
        <f aca="false">SUM(D22:D23)</f>
        <v>1600</v>
      </c>
      <c r="E24" s="35" t="n">
        <f aca="false">SUM(E22:E23)</f>
        <v>19200</v>
      </c>
      <c r="G24" s="35" t="n">
        <f aca="false">SUM(G22:G23)</f>
        <v>210234.643194967</v>
      </c>
      <c r="H24" s="43" t="n">
        <f aca="false">SUM(H22:H23)</f>
        <v>0.0865609371494402</v>
      </c>
    </row>
    <row r="26" customFormat="false" ht="15" hidden="false" customHeight="false" outlineLevel="0" collapsed="false">
      <c r="A26" s="44" t="s">
        <v>276</v>
      </c>
    </row>
    <row r="27" customFormat="false" ht="15" hidden="false" customHeight="false" outlineLevel="0" collapsed="false">
      <c r="A27" s="7" t="s">
        <v>277</v>
      </c>
      <c r="D27" s="33" t="n">
        <f aca="false">Tilgungsplan!N3*12</f>
        <v>206268.963454799</v>
      </c>
    </row>
    <row r="28" customFormat="false" ht="15" hidden="false" customHeight="false" outlineLevel="0" collapsed="false">
      <c r="A28" s="7" t="s">
        <v>278</v>
      </c>
      <c r="D28" s="33" t="n">
        <f aca="false">E24*(1-Annahmen!$B$50)</f>
        <v>17280</v>
      </c>
    </row>
    <row r="29" customFormat="false" ht="15" hidden="false" customHeight="false" outlineLevel="0" collapsed="false">
      <c r="A29" s="7" t="s">
        <v>279</v>
      </c>
      <c r="D29" s="41" t="n">
        <f aca="false">D28/D27</f>
        <v>0.0837741156525793</v>
      </c>
    </row>
    <row r="30" customFormat="false" ht="15" hidden="false" customHeight="false" outlineLevel="0" collapsed="false">
      <c r="A30" s="7" t="s">
        <v>280</v>
      </c>
      <c r="D30" s="33" t="n">
        <f aca="false">('Flächen und Mieten'!G21+E24)*(1-Annahmen!$B$50)</f>
        <v>96342.3529411765</v>
      </c>
    </row>
    <row r="31" customFormat="false" ht="15" hidden="false" customHeight="false" outlineLevel="0" collapsed="false">
      <c r="A31" s="7" t="s">
        <v>281</v>
      </c>
      <c r="D31" s="45" t="n">
        <f aca="false">D30/D27</f>
        <v>0.467071494070355</v>
      </c>
    </row>
    <row r="32" customFormat="false" ht="15" hidden="false" customHeight="false" outlineLevel="0" collapsed="false">
      <c r="A32" s="7" t="s">
        <v>282</v>
      </c>
      <c r="D32" s="31" t="n">
        <f aca="false">SUMPRODUCT(E22:E23,F22:F23)/E24</f>
        <v>10</v>
      </c>
    </row>
    <row r="34" customFormat="false" ht="15" hidden="false" customHeight="false" outlineLevel="0" collapsed="false">
      <c r="A34" s="44" t="s">
        <v>283</v>
      </c>
    </row>
    <row r="35" customFormat="false" ht="15" hidden="false" customHeight="false" outlineLevel="0" collapsed="false">
      <c r="A35" s="7" t="s">
        <v>284</v>
      </c>
      <c r="D35" s="31" t="n">
        <f aca="false">(Annahmen!$B$24+Annahmen!$B$26)*1.5</f>
        <v>18</v>
      </c>
    </row>
    <row r="36" customFormat="false" ht="15" hidden="false" customHeight="false" outlineLevel="0" collapsed="false">
      <c r="A36" s="7" t="s">
        <v>285</v>
      </c>
      <c r="D36" s="31" t="n">
        <f aca="false">(D5+D6+D7)/10</f>
        <v>37.1</v>
      </c>
    </row>
    <row r="37" customFormat="false" ht="15" hidden="false" customHeight="false" outlineLevel="0" collapsed="false">
      <c r="A37" s="7" t="s">
        <v>286</v>
      </c>
      <c r="D37" s="31" t="n">
        <f aca="false">B24/30</f>
        <v>5.5</v>
      </c>
    </row>
    <row r="38" customFormat="false" ht="15" hidden="false" customHeight="false" outlineLevel="0" collapsed="false">
      <c r="A38" s="29" t="s">
        <v>287</v>
      </c>
      <c r="D38" s="46" t="n">
        <f aca="false">SUM(D35:D37)</f>
        <v>60.6</v>
      </c>
      <c r="H38" s="9" t="s">
        <v>288</v>
      </c>
    </row>
    <row r="40" customFormat="false" ht="15" hidden="false" customHeight="false" outlineLevel="0" collapsed="false">
      <c r="A40" s="16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290</v>
      </c>
    </row>
    <row r="2" customFormat="false" ht="15" hidden="false" customHeight="false" outlineLevel="0" collapsed="false">
      <c r="A2" s="2" t="s">
        <v>291</v>
      </c>
    </row>
    <row r="4" customFormat="false" ht="15" hidden="false" customHeight="false" outlineLevel="0" collapsed="false">
      <c r="A4" s="3" t="s">
        <v>292</v>
      </c>
      <c r="B4" s="4" t="s">
        <v>293</v>
      </c>
      <c r="C4" s="4" t="s">
        <v>294</v>
      </c>
      <c r="D4" s="4" t="s">
        <v>295</v>
      </c>
    </row>
    <row r="5" customFormat="false" ht="15" hidden="false" customHeight="false" outlineLevel="0" collapsed="false">
      <c r="A5" s="7" t="s">
        <v>296</v>
      </c>
      <c r="B5" s="33" t="n">
        <f aca="false">Annahmen!$B$5*Annahmen!$B$6</f>
        <v>220800</v>
      </c>
      <c r="C5" s="41" t="n">
        <f aca="false">B5/$B$18</f>
        <v>0.0451083648567248</v>
      </c>
      <c r="D5" s="9" t="s">
        <v>297</v>
      </c>
    </row>
    <row r="6" customFormat="false" ht="15" hidden="false" customHeight="false" outlineLevel="0" collapsed="false">
      <c r="A6" s="7" t="s">
        <v>65</v>
      </c>
      <c r="B6" s="33" t="n">
        <f aca="false">B5*Annahmen!$B$7</f>
        <v>11040</v>
      </c>
      <c r="C6" s="41" t="n">
        <f aca="false">B6/$B$18</f>
        <v>0.00225541824283624</v>
      </c>
      <c r="D6" s="9"/>
    </row>
    <row r="7" customFormat="false" ht="15" hidden="false" customHeight="false" outlineLevel="0" collapsed="false">
      <c r="A7" s="7" t="s">
        <v>67</v>
      </c>
      <c r="B7" s="33" t="n">
        <f aca="false">B5*Annahmen!$B$8</f>
        <v>4416</v>
      </c>
      <c r="C7" s="41" t="n">
        <f aca="false">B7/$B$18</f>
        <v>0.000902167297134497</v>
      </c>
      <c r="D7" s="9"/>
    </row>
    <row r="8" customFormat="false" ht="15" hidden="false" customHeight="false" outlineLevel="0" collapsed="false">
      <c r="A8" s="29" t="s">
        <v>298</v>
      </c>
      <c r="B8" s="35" t="n">
        <f aca="false">SUM(B5:B7)</f>
        <v>236256</v>
      </c>
      <c r="C8" s="41" t="n">
        <f aca="false">B8/$B$18</f>
        <v>0.0482659503966956</v>
      </c>
      <c r="D8" s="9"/>
    </row>
    <row r="9" customFormat="false" ht="15" hidden="false" customHeight="false" outlineLevel="0" collapsed="false">
      <c r="A9" s="7" t="s">
        <v>299</v>
      </c>
      <c r="B9" s="33" t="n">
        <f aca="false">(Annahmen!$B$10+Annahmen!$B$11+Annahmen!$B$12)*Annahmen!$B$13</f>
        <v>3630000</v>
      </c>
      <c r="C9" s="41" t="n">
        <f aca="false">B9/$B$18</f>
        <v>0.741591324410829</v>
      </c>
      <c r="D9" s="9" t="str">
        <f aca="false">TEXT(Annahmen!$B$10+Annahmen!$B$11+Annahmen!$B$12,"#,##0")&amp;" m² × "&amp;TEXT(Annahmen!$B$13,"#,##0")&amp;" €"</f>
        <v>1,650 m² × 2,200 €</v>
      </c>
    </row>
    <row r="10" customFormat="false" ht="15" hidden="false" customHeight="false" outlineLevel="0" collapsed="false">
      <c r="A10" s="7" t="s">
        <v>300</v>
      </c>
      <c r="B10" s="33" t="n">
        <f aca="false">-Annahmen!$B$12*Annahmen!$B$14</f>
        <v>-199200</v>
      </c>
      <c r="C10" s="41" t="n">
        <f aca="false">B10/$B$18</f>
        <v>-0.0406955900337844</v>
      </c>
      <c r="D10" s="9" t="str">
        <f aca="false">TEXT(Annahmen!$B$12,"#,##0")&amp;" m² × "&amp;TEXT(Annahmen!$B$14,"#,##0")&amp;" €"</f>
        <v>498 m² × 400 €</v>
      </c>
    </row>
    <row r="11" customFormat="false" ht="15" hidden="false" customHeight="false" outlineLevel="0" collapsed="false">
      <c r="A11" s="7" t="s">
        <v>301</v>
      </c>
      <c r="B11" s="33" t="n">
        <f aca="false">Annahmen!$B$15*Annahmen!$B$16</f>
        <v>34650</v>
      </c>
      <c r="C11" s="41" t="n">
        <f aca="false">B11/$B$18</f>
        <v>0.00707882627846701</v>
      </c>
      <c r="D11" s="9" t="str">
        <f aca="false">TEXT(Annahmen!$B$15,"#,##0")&amp;" m² × "&amp;TEXT(Annahmen!$B$16,"#,##0")&amp;" €"</f>
        <v>77 m² × 450 €</v>
      </c>
    </row>
    <row r="12" customFormat="false" ht="15" hidden="false" customHeight="false" outlineLevel="0" collapsed="false">
      <c r="A12" s="29" t="s">
        <v>302</v>
      </c>
      <c r="B12" s="35" t="n">
        <f aca="false">SUM(B9:B11)</f>
        <v>3465450</v>
      </c>
      <c r="C12" s="41" t="n">
        <f aca="false">B12/$B$18</f>
        <v>0.707974560655512</v>
      </c>
      <c r="D12" s="9"/>
    </row>
    <row r="13" customFormat="false" ht="15" hidden="false" customHeight="false" outlineLevel="0" collapsed="false">
      <c r="A13" s="7" t="s">
        <v>82</v>
      </c>
      <c r="B13" s="33" t="n">
        <f aca="false">B12*Annahmen!$B$17</f>
        <v>519817.5</v>
      </c>
      <c r="C13" s="41" t="n">
        <f aca="false">B13/$B$18</f>
        <v>0.106196184098327</v>
      </c>
      <c r="D13" s="9" t="s">
        <v>303</v>
      </c>
    </row>
    <row r="14" customFormat="false" ht="15" hidden="false" customHeight="false" outlineLevel="0" collapsed="false">
      <c r="A14" s="7" t="s">
        <v>304</v>
      </c>
      <c r="B14" s="33" t="n">
        <f aca="false">(B12+B13)*Annahmen!$B$18</f>
        <v>119558.025</v>
      </c>
      <c r="C14" s="41" t="n">
        <f aca="false">B14/$B$18</f>
        <v>0.0244251223426152</v>
      </c>
      <c r="D14" s="9" t="s">
        <v>305</v>
      </c>
    </row>
    <row r="15" customFormat="false" ht="15" hidden="false" customHeight="false" outlineLevel="0" collapsed="false">
      <c r="A15" s="7" t="s">
        <v>306</v>
      </c>
      <c r="B15" s="33" t="n">
        <f aca="false">Annahmen!$B$19+(Annahmen!$B$30+Annahmen!$B$32)*Annahmen!$B$35+MAX(0,Annahmen!$B$24+Annahmen!$B$26-8)*Annahmen!$B$27</f>
        <v>274750</v>
      </c>
      <c r="C15" s="41" t="n">
        <f aca="false">B15/$B$18</f>
        <v>0.0561300871575414</v>
      </c>
      <c r="D15" s="9" t="s">
        <v>307</v>
      </c>
    </row>
    <row r="16" customFormat="false" ht="15" hidden="false" customHeight="false" outlineLevel="0" collapsed="false">
      <c r="A16" s="29" t="s">
        <v>308</v>
      </c>
      <c r="B16" s="35" t="n">
        <f aca="false">B8+B12+B13+B14+B15</f>
        <v>4615831.525</v>
      </c>
      <c r="C16" s="41" t="n">
        <f aca="false">B16/$B$18</f>
        <v>0.942991904650691</v>
      </c>
      <c r="D16" s="9"/>
    </row>
    <row r="17" customFormat="false" ht="15" hidden="false" customHeight="false" outlineLevel="0" collapsed="false">
      <c r="A17" s="7" t="s">
        <v>309</v>
      </c>
      <c r="B17" s="33" t="n">
        <f aca="false">Bauphase!G36</f>
        <v>279047.74409598</v>
      </c>
      <c r="C17" s="41" t="n">
        <f aca="false">B17/$B$18</f>
        <v>0.057008095349309</v>
      </c>
      <c r="D17" s="9" t="s">
        <v>310</v>
      </c>
    </row>
    <row r="18" customFormat="false" ht="15" hidden="false" customHeight="false" outlineLevel="0" collapsed="false">
      <c r="A18" s="29" t="s">
        <v>311</v>
      </c>
      <c r="B18" s="47" t="n">
        <f aca="false">B16+B17</f>
        <v>4894879.26909598</v>
      </c>
      <c r="C18" s="41" t="n">
        <f aca="false">B18/$B$18</f>
        <v>1</v>
      </c>
      <c r="D18" s="9"/>
    </row>
    <row r="19" customFormat="false" ht="15" hidden="false" customHeight="false" outlineLevel="0" collapsed="false">
      <c r="A19" s="7" t="s">
        <v>312</v>
      </c>
      <c r="B19" s="33" t="n">
        <f aca="false">B18/'Flächen und Mieten'!B8</f>
        <v>2966.59349642181</v>
      </c>
    </row>
    <row r="20" customFormat="false" ht="15" hidden="false" customHeight="false" outlineLevel="0" collapsed="false">
      <c r="A20" s="7" t="s">
        <v>313</v>
      </c>
      <c r="B20" s="33" t="n">
        <f aca="false">B18/'Flächen und Mieten'!D9</f>
        <v>407906.605757998</v>
      </c>
    </row>
    <row r="23" customFormat="false" ht="23.85" hidden="false" customHeight="false" outlineLevel="0" collapsed="false">
      <c r="A23" s="3" t="s">
        <v>314</v>
      </c>
      <c r="B23" s="4" t="s">
        <v>315</v>
      </c>
      <c r="C23" s="4" t="s">
        <v>294</v>
      </c>
      <c r="D23" s="4" t="s">
        <v>316</v>
      </c>
    </row>
    <row r="24" customFormat="false" ht="15" hidden="false" customHeight="false" outlineLevel="0" collapsed="false">
      <c r="A24" s="7" t="s">
        <v>317</v>
      </c>
      <c r="B24" s="33" t="n">
        <f aca="false">Bauphase!L33*Annahmen!$B$28/MAX(1,(Annahmen!$B$24+Annahmen!$B$26))</f>
        <v>0</v>
      </c>
      <c r="C24" s="41" t="n">
        <f aca="false">B24/$B$29</f>
        <v>0</v>
      </c>
      <c r="D24" s="12" t="n">
        <f aca="false">Annahmen!$B$58</f>
        <v>0.025</v>
      </c>
    </row>
    <row r="25" customFormat="false" ht="15" hidden="false" customHeight="false" outlineLevel="0" collapsed="false">
      <c r="A25" s="7" t="s">
        <v>318</v>
      </c>
      <c r="B25" s="33" t="n">
        <f aca="false">Bauphase!L33-B24</f>
        <v>1800000</v>
      </c>
      <c r="C25" s="41" t="n">
        <f aca="false">B25/$B$29</f>
        <v>0.367731235245039</v>
      </c>
      <c r="D25" s="12" t="n">
        <f aca="false">Annahmen!$B$58</f>
        <v>0.025</v>
      </c>
    </row>
    <row r="26" customFormat="false" ht="15" hidden="false" customHeight="false" outlineLevel="0" collapsed="false">
      <c r="A26" s="7" t="s">
        <v>319</v>
      </c>
      <c r="B26" s="33" t="n">
        <f aca="false">Bauphase!M33</f>
        <v>1147500</v>
      </c>
      <c r="C26" s="41" t="n">
        <f aca="false">B26/$B$29</f>
        <v>0.234428662468713</v>
      </c>
      <c r="D26" s="12" t="n">
        <f aca="false">Annahmen!$B$59</f>
        <v>0.03</v>
      </c>
    </row>
    <row r="27" customFormat="false" ht="15" hidden="false" customHeight="false" outlineLevel="0" collapsed="false">
      <c r="A27" s="7" t="s">
        <v>320</v>
      </c>
      <c r="B27" s="33" t="n">
        <f aca="false">Bauphase!N33</f>
        <v>1947379.26909598</v>
      </c>
      <c r="C27" s="41" t="n">
        <f aca="false">B27/$B$29</f>
        <v>0.397840102286248</v>
      </c>
      <c r="D27" s="12" t="n">
        <f aca="false">Annahmen!$B$60</f>
        <v>0.04</v>
      </c>
    </row>
    <row r="28" customFormat="false" ht="15" hidden="false" customHeight="false" outlineLevel="0" collapsed="false">
      <c r="A28" s="7" t="s">
        <v>321</v>
      </c>
      <c r="B28" s="10" t="n">
        <f aca="false">Annahmen!$B$55</f>
        <v>0</v>
      </c>
      <c r="C28" s="41" t="n">
        <f aca="false">B28/$B$29</f>
        <v>0</v>
      </c>
      <c r="D28" s="7"/>
    </row>
    <row r="29" customFormat="false" ht="15" hidden="false" customHeight="false" outlineLevel="0" collapsed="false">
      <c r="A29" s="29" t="s">
        <v>322</v>
      </c>
      <c r="B29" s="47" t="n">
        <f aca="false">SUM(B24:B28)</f>
        <v>4894879.26909598</v>
      </c>
      <c r="C29" s="41" t="n">
        <f aca="false">B29/$B$29</f>
        <v>1</v>
      </c>
    </row>
    <row r="30" customFormat="false" ht="15" hidden="false" customHeight="false" outlineLevel="0" collapsed="false">
      <c r="A30" s="29" t="s">
        <v>323</v>
      </c>
      <c r="B30" s="43" t="n">
        <f aca="false">(B24+B25+B26)/B29</f>
        <v>0.602159897713752</v>
      </c>
    </row>
    <row r="31" customFormat="false" ht="15" hidden="false" customHeight="false" outlineLevel="0" collapsed="false">
      <c r="A31" s="29" t="s">
        <v>324</v>
      </c>
      <c r="B31" s="48" t="n">
        <f aca="false">(B24*Annahmen!$B$58+B25*Annahmen!$B$58+B26*Annahmen!$B$59+B27*Annahmen!$B$60)/B29</f>
        <v>0.0321397448466373</v>
      </c>
    </row>
    <row r="33" customFormat="false" ht="15" hidden="false" customHeight="false" outlineLevel="0" collapsed="false">
      <c r="A33" s="44" t="s">
        <v>325</v>
      </c>
    </row>
    <row r="34" customFormat="false" ht="15" hidden="false" customHeight="false" outlineLevel="0" collapsed="false">
      <c r="A34" s="7" t="s">
        <v>326</v>
      </c>
      <c r="B34" s="33" t="n">
        <f aca="false">(Annahmen!$B$24+Annahmen!$B$26)*Annahmen!$B$56</f>
        <v>1800000</v>
      </c>
    </row>
    <row r="35" customFormat="false" ht="15" hidden="false" customHeight="false" outlineLevel="0" collapsed="false">
      <c r="A35" s="7" t="s">
        <v>327</v>
      </c>
      <c r="B35" s="33" t="n">
        <f aca="false">(Annahmen!$B$21+Annahmen!$B$30+Annahmen!$B$32)*Annahmen!$B$22*Annahmen!$B$57</f>
        <v>1147500</v>
      </c>
    </row>
    <row r="36" customFormat="false" ht="15" hidden="false" customHeight="false" outlineLevel="0" collapsed="false">
      <c r="A36" s="7" t="s">
        <v>328</v>
      </c>
      <c r="B36" s="35" t="n">
        <f aca="false">B34+B35</f>
        <v>2947500</v>
      </c>
    </row>
    <row r="37" customFormat="false" ht="15" hidden="false" customHeight="false" outlineLevel="0" collapsed="false">
      <c r="A37" s="16" t="s">
        <v>329</v>
      </c>
    </row>
    <row r="40" customFormat="false" ht="15" hidden="false" customHeight="false" outlineLevel="0" collapsed="false">
      <c r="A40" s="44" t="s">
        <v>330</v>
      </c>
    </row>
    <row r="41" customFormat="false" ht="15" hidden="false" customHeight="false" outlineLevel="0" collapsed="false">
      <c r="A41" s="7" t="s">
        <v>331</v>
      </c>
      <c r="B41" s="33" t="n">
        <f aca="false">B24+B25+B26</f>
        <v>2947500</v>
      </c>
    </row>
    <row r="42" customFormat="false" ht="15" hidden="false" customHeight="false" outlineLevel="0" collapsed="false">
      <c r="A42" s="7" t="s">
        <v>332</v>
      </c>
      <c r="B42" s="33" t="n">
        <f aca="false">(B24+B25)*(Annahmen!$B$60-Annahmen!$B$58)</f>
        <v>27000</v>
      </c>
    </row>
    <row r="43" customFormat="false" ht="15" hidden="false" customHeight="false" outlineLevel="0" collapsed="false">
      <c r="A43" s="7" t="s">
        <v>333</v>
      </c>
      <c r="B43" s="33" t="n">
        <f aca="false">B26*(Annahmen!$B$60-Annahmen!$B$59)</f>
        <v>11475</v>
      </c>
    </row>
    <row r="44" customFormat="false" ht="15" hidden="false" customHeight="false" outlineLevel="0" collapsed="false">
      <c r="A44" s="29" t="s">
        <v>27</v>
      </c>
      <c r="B44" s="47" t="n">
        <f aca="false">B42+B43</f>
        <v>38475</v>
      </c>
    </row>
    <row r="45" customFormat="false" ht="15" hidden="false" customHeight="false" outlineLevel="0" collapsed="false">
      <c r="A45" s="7" t="s">
        <v>334</v>
      </c>
      <c r="B45" s="33" t="n">
        <f aca="false">B44/12</f>
        <v>3206.25</v>
      </c>
    </row>
    <row r="46" customFormat="false" ht="15" hidden="false" customHeight="false" outlineLevel="0" collapsed="false">
      <c r="A46" s="16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11" min="7" style="0" width="13"/>
    <col collapsed="false" customWidth="true" hidden="false" outlineLevel="0" max="14" min="12" style="0" width="15"/>
  </cols>
  <sheetData>
    <row r="1" customFormat="false" ht="19.7" hidden="false" customHeight="false" outlineLevel="0" collapsed="false">
      <c r="A1" s="1" t="s">
        <v>336</v>
      </c>
    </row>
    <row r="2" customFormat="false" ht="15" hidden="false" customHeight="false" outlineLevel="0" collapsed="false">
      <c r="A2" s="2" t="s">
        <v>337</v>
      </c>
    </row>
    <row r="3" customFormat="false" ht="15" hidden="false" customHeight="false" outlineLevel="0" collapsed="false">
      <c r="A3" s="49" t="s">
        <v>338</v>
      </c>
      <c r="E3" s="41" t="n">
        <f aca="false">MIN(1,'Kosten und Finanzierung'!B34/'Kosten und Finanzierung'!B16)</f>
        <v>0.389962239793837</v>
      </c>
      <c r="F3" s="49" t="s">
        <v>339</v>
      </c>
      <c r="I3" s="41" t="n">
        <f aca="false">MIN(1-E3,'Kosten und Finanzierung'!B35/'Kosten und Finanzierung'!B16)</f>
        <v>0.248600927868571</v>
      </c>
      <c r="J3" s="49" t="s">
        <v>340</v>
      </c>
      <c r="L3" s="41" t="n">
        <f aca="false">MAX(0,1-E3-I3-'Kosten und Finanzierung'!B28/'Kosten und Finanzierung'!B16)</f>
        <v>0.361436832337593</v>
      </c>
    </row>
    <row r="5" customFormat="false" ht="42" hidden="false" customHeight="true" outlineLevel="0" collapsed="false">
      <c r="A5" s="3" t="s">
        <v>341</v>
      </c>
      <c r="B5" s="4" t="s">
        <v>342</v>
      </c>
      <c r="C5" s="4" t="s">
        <v>343</v>
      </c>
      <c r="D5" s="4" t="s">
        <v>344</v>
      </c>
      <c r="E5" s="4" t="s">
        <v>345</v>
      </c>
      <c r="F5" s="4" t="s">
        <v>346</v>
      </c>
      <c r="G5" s="4" t="s">
        <v>347</v>
      </c>
      <c r="H5" s="4" t="s">
        <v>348</v>
      </c>
      <c r="I5" s="4" t="s">
        <v>349</v>
      </c>
      <c r="J5" s="4" t="s">
        <v>350</v>
      </c>
      <c r="K5" s="4" t="s">
        <v>351</v>
      </c>
      <c r="L5" s="4" t="s">
        <v>352</v>
      </c>
      <c r="M5" s="4" t="s">
        <v>353</v>
      </c>
      <c r="N5" s="4" t="s">
        <v>354</v>
      </c>
    </row>
    <row r="6" customFormat="false" ht="15" hidden="false" customHeight="false" outlineLevel="0" collapsed="false">
      <c r="A6" s="28" t="n">
        <v>0</v>
      </c>
      <c r="B6" s="7" t="s">
        <v>60</v>
      </c>
      <c r="C6" s="33" t="n">
        <f aca="false">'Kosten und Finanzierung'!B8</f>
        <v>236256</v>
      </c>
      <c r="D6" s="33" t="n">
        <f aca="false">('Kosten und Finanzierung'!B16-'Kosten und Finanzierung'!B8)</f>
        <v>4379575.525</v>
      </c>
      <c r="E6" s="33" t="n">
        <f aca="false">C6*$E$3</f>
        <v>92130.9189247326</v>
      </c>
      <c r="F6" s="33" t="n">
        <f aca="false">C6*$I$3</f>
        <v>58733.4608145171</v>
      </c>
      <c r="G6" s="33" t="n">
        <v>0</v>
      </c>
      <c r="H6" s="33" t="n">
        <v>0</v>
      </c>
      <c r="I6" s="33" t="n">
        <v>0</v>
      </c>
      <c r="J6" s="33" t="n">
        <v>0</v>
      </c>
      <c r="K6" s="33" t="n">
        <f aca="false">C6*$L$3+G6+H6+I6+J6</f>
        <v>85391.6202607503</v>
      </c>
      <c r="L6" s="33" t="n">
        <f aca="false">E6</f>
        <v>92130.9189247326</v>
      </c>
      <c r="M6" s="33" t="n">
        <f aca="false">F6</f>
        <v>58733.4608145171</v>
      </c>
      <c r="N6" s="33" t="n">
        <f aca="false">K6</f>
        <v>85391.6202607503</v>
      </c>
    </row>
    <row r="7" customFormat="false" ht="15" hidden="false" customHeight="false" outlineLevel="0" collapsed="false">
      <c r="A7" s="28" t="n">
        <v>1</v>
      </c>
      <c r="B7" s="7" t="s">
        <v>355</v>
      </c>
      <c r="C7" s="33" t="n">
        <f aca="false">IF(A7&lt;=Annahmen!$B$62,('Kosten und Finanzierung'!B16-'Kosten und Finanzierung'!B8)/Annahmen!$B$62,0)</f>
        <v>291971.701666667</v>
      </c>
      <c r="D7" s="33" t="n">
        <f aca="false">IF(A7&lt;=Annahmen!$B$62,('Kosten und Finanzierung'!B16-'Kosten und Finanzierung'!B8)*(Annahmen!$B$62-(A7-1))/Annahmen!$B$62,0)</f>
        <v>4379575.525</v>
      </c>
      <c r="E7" s="33" t="n">
        <f aca="false">C7*$E$3</f>
        <v>113857.938738351</v>
      </c>
      <c r="F7" s="33" t="n">
        <f aca="false">C7*$I$3</f>
        <v>72584.4359456989</v>
      </c>
      <c r="G7" s="33" t="n">
        <f aca="false">L6*Annahmen!$B$58/12</f>
        <v>191.939414426526</v>
      </c>
      <c r="H7" s="33" t="n">
        <f aca="false">M6*Annahmen!$B$59/12</f>
        <v>146.833652036293</v>
      </c>
      <c r="I7" s="33" t="n">
        <f aca="false">N6*Annahmen!$B$60/12</f>
        <v>284.638734202501</v>
      </c>
      <c r="J7" s="33" t="n">
        <f aca="false">IF(AND(A7&gt;=Annahmen!$B$65,A7&lt;=Annahmen!$B$62),D7*Annahmen!$B$64/12,0)</f>
        <v>0</v>
      </c>
      <c r="K7" s="33" t="n">
        <f aca="false">C7*$L$3+G7+H7+I7+J7</f>
        <v>106152.738783282</v>
      </c>
      <c r="L7" s="33" t="n">
        <f aca="false">L6+E7</f>
        <v>205988.857663084</v>
      </c>
      <c r="M7" s="33" t="n">
        <f aca="false">M6+F7</f>
        <v>131317.896760216</v>
      </c>
      <c r="N7" s="33" t="n">
        <f aca="false">N6+K7</f>
        <v>191544.359044032</v>
      </c>
    </row>
    <row r="8" customFormat="false" ht="15" hidden="false" customHeight="false" outlineLevel="0" collapsed="false">
      <c r="A8" s="28" t="n">
        <v>2</v>
      </c>
      <c r="B8" s="7" t="s">
        <v>355</v>
      </c>
      <c r="C8" s="33" t="n">
        <f aca="false">IF(A8&lt;=Annahmen!$B$62,('Kosten und Finanzierung'!B16-'Kosten und Finanzierung'!B8)/Annahmen!$B$62,0)</f>
        <v>291971.701666667</v>
      </c>
      <c r="D8" s="33" t="n">
        <f aca="false">IF(A8&lt;=Annahmen!$B$62,('Kosten und Finanzierung'!B16-'Kosten und Finanzierung'!B8)*(Annahmen!$B$62-(A8-1))/Annahmen!$B$62,0)</f>
        <v>4087603.82333333</v>
      </c>
      <c r="E8" s="33" t="n">
        <f aca="false">C8*$E$3</f>
        <v>113857.938738351</v>
      </c>
      <c r="F8" s="33" t="n">
        <f aca="false">C8*$I$3</f>
        <v>72584.4359456989</v>
      </c>
      <c r="G8" s="33" t="n">
        <f aca="false">L7*Annahmen!$B$58/12</f>
        <v>429.143453464758</v>
      </c>
      <c r="H8" s="33" t="n">
        <f aca="false">M7*Annahmen!$B$59/12</f>
        <v>328.29474190054</v>
      </c>
      <c r="I8" s="33" t="n">
        <f aca="false">N7*Annahmen!$B$60/12</f>
        <v>638.481196813441</v>
      </c>
      <c r="J8" s="33" t="n">
        <f aca="false">IF(AND(A8&gt;=Annahmen!$B$65,A8&lt;=Annahmen!$B$62),D8*Annahmen!$B$64/12,0)</f>
        <v>0</v>
      </c>
      <c r="K8" s="33" t="n">
        <f aca="false">C8*$L$3+G8+H8+I8+J8</f>
        <v>106925.246374795</v>
      </c>
      <c r="L8" s="33" t="n">
        <f aca="false">L7+E8</f>
        <v>319846.796401435</v>
      </c>
      <c r="M8" s="33" t="n">
        <f aca="false">M7+F8</f>
        <v>203902.332705915</v>
      </c>
      <c r="N8" s="33" t="n">
        <f aca="false">N7+K8</f>
        <v>298469.605418828</v>
      </c>
    </row>
    <row r="9" customFormat="false" ht="15" hidden="false" customHeight="false" outlineLevel="0" collapsed="false">
      <c r="A9" s="28" t="n">
        <v>3</v>
      </c>
      <c r="B9" s="7" t="s">
        <v>355</v>
      </c>
      <c r="C9" s="33" t="n">
        <f aca="false">IF(A9&lt;=Annahmen!$B$62,('Kosten und Finanzierung'!B16-'Kosten und Finanzierung'!B8)/Annahmen!$B$62,0)</f>
        <v>291971.701666667</v>
      </c>
      <c r="D9" s="33" t="n">
        <f aca="false">IF(A9&lt;=Annahmen!$B$62,('Kosten und Finanzierung'!B16-'Kosten und Finanzierung'!B8)*(Annahmen!$B$62-(A9-1))/Annahmen!$B$62,0)</f>
        <v>3795632.12166667</v>
      </c>
      <c r="E9" s="33" t="n">
        <f aca="false">C9*$E$3</f>
        <v>113857.938738351</v>
      </c>
      <c r="F9" s="33" t="n">
        <f aca="false">C9*$I$3</f>
        <v>72584.4359456989</v>
      </c>
      <c r="G9" s="33" t="n">
        <f aca="false">L8*Annahmen!$B$58/12</f>
        <v>666.34749250299</v>
      </c>
      <c r="H9" s="33" t="n">
        <f aca="false">M8*Annahmen!$B$59/12</f>
        <v>509.755831764787</v>
      </c>
      <c r="I9" s="33" t="n">
        <f aca="false">N8*Annahmen!$B$60/12</f>
        <v>994.898684729426</v>
      </c>
      <c r="J9" s="33" t="n">
        <f aca="false">IF(AND(A9&gt;=Annahmen!$B$65,A9&lt;=Annahmen!$B$62),D9*Annahmen!$B$64/12,0)</f>
        <v>0</v>
      </c>
      <c r="K9" s="33" t="n">
        <f aca="false">C9*$L$3+G9+H9+I9+J9</f>
        <v>107700.328991614</v>
      </c>
      <c r="L9" s="33" t="n">
        <f aca="false">L8+E9</f>
        <v>433704.735139786</v>
      </c>
      <c r="M9" s="33" t="n">
        <f aca="false">M8+F9</f>
        <v>276486.768651614</v>
      </c>
      <c r="N9" s="33" t="n">
        <f aca="false">N8+K9</f>
        <v>406169.934410442</v>
      </c>
    </row>
    <row r="10" customFormat="false" ht="15" hidden="false" customHeight="false" outlineLevel="0" collapsed="false">
      <c r="A10" s="28" t="n">
        <v>4</v>
      </c>
      <c r="B10" s="7" t="s">
        <v>355</v>
      </c>
      <c r="C10" s="33" t="n">
        <f aca="false">IF(A10&lt;=Annahmen!$B$62,('Kosten und Finanzierung'!B16-'Kosten und Finanzierung'!B8)/Annahmen!$B$62,0)</f>
        <v>291971.701666667</v>
      </c>
      <c r="D10" s="33" t="n">
        <f aca="false">IF(A10&lt;=Annahmen!$B$62,('Kosten und Finanzierung'!B16-'Kosten und Finanzierung'!B8)*(Annahmen!$B$62-(A10-1))/Annahmen!$B$62,0)</f>
        <v>3503660.42</v>
      </c>
      <c r="E10" s="33" t="n">
        <f aca="false">C10*$E$3</f>
        <v>113857.938738351</v>
      </c>
      <c r="F10" s="33" t="n">
        <f aca="false">C10*$I$3</f>
        <v>72584.4359456989</v>
      </c>
      <c r="G10" s="33" t="n">
        <f aca="false">L9*Annahmen!$B$58/12</f>
        <v>903.551531541221</v>
      </c>
      <c r="H10" s="33" t="n">
        <f aca="false">M9*Annahmen!$B$59/12</f>
        <v>691.216921629034</v>
      </c>
      <c r="I10" s="33" t="n">
        <f aca="false">N9*Annahmen!$B$60/12</f>
        <v>1353.89978136814</v>
      </c>
      <c r="J10" s="33" t="n">
        <f aca="false">IF(AND(A10&gt;=Annahmen!$B$65,A10&lt;=Annahmen!$B$62),D10*Annahmen!$B$64/12,0)</f>
        <v>0</v>
      </c>
      <c r="K10" s="33" t="n">
        <f aca="false">C10*$L$3+G10+H10+I10+J10</f>
        <v>108477.995217155</v>
      </c>
      <c r="L10" s="33" t="n">
        <f aca="false">L9+E10</f>
        <v>547562.673878137</v>
      </c>
      <c r="M10" s="33" t="n">
        <f aca="false">M9+F10</f>
        <v>349071.204597313</v>
      </c>
      <c r="N10" s="33" t="n">
        <f aca="false">N9+K10</f>
        <v>514647.929627597</v>
      </c>
    </row>
    <row r="11" customFormat="false" ht="15" hidden="false" customHeight="false" outlineLevel="0" collapsed="false">
      <c r="A11" s="28" t="n">
        <v>5</v>
      </c>
      <c r="B11" s="7" t="s">
        <v>355</v>
      </c>
      <c r="C11" s="33" t="n">
        <f aca="false">IF(A11&lt;=Annahmen!$B$62,('Kosten und Finanzierung'!B16-'Kosten und Finanzierung'!B8)/Annahmen!$B$62,0)</f>
        <v>291971.701666667</v>
      </c>
      <c r="D11" s="33" t="n">
        <f aca="false">IF(A11&lt;=Annahmen!$B$62,('Kosten und Finanzierung'!B16-'Kosten und Finanzierung'!B8)*(Annahmen!$B$62-(A11-1))/Annahmen!$B$62,0)</f>
        <v>3211688.71833333</v>
      </c>
      <c r="E11" s="33" t="n">
        <f aca="false">C11*$E$3</f>
        <v>113857.938738351</v>
      </c>
      <c r="F11" s="33" t="n">
        <f aca="false">C11*$I$3</f>
        <v>72584.4359456989</v>
      </c>
      <c r="G11" s="33" t="n">
        <f aca="false">L10*Annahmen!$B$58/12</f>
        <v>1140.75557057945</v>
      </c>
      <c r="H11" s="33" t="n">
        <f aca="false">M10*Annahmen!$B$59/12</f>
        <v>872.678011493281</v>
      </c>
      <c r="I11" s="33" t="n">
        <f aca="false">N10*Annahmen!$B$60/12</f>
        <v>1715.49309875866</v>
      </c>
      <c r="J11" s="33" t="n">
        <f aca="false">IF(AND(A11&gt;=Annahmen!$B$65,A11&lt;=Annahmen!$B$62),D11*Annahmen!$B$64/12,0)</f>
        <v>0</v>
      </c>
      <c r="K11" s="33" t="n">
        <f aca="false">C11*$L$3+G11+H11+I11+J11</f>
        <v>109258.253663448</v>
      </c>
      <c r="L11" s="33" t="n">
        <f aca="false">L10+E11</f>
        <v>661420.612616489</v>
      </c>
      <c r="M11" s="33" t="n">
        <f aca="false">M10+F11</f>
        <v>421655.640543011</v>
      </c>
      <c r="N11" s="33" t="n">
        <f aca="false">N10+K11</f>
        <v>623906.183291045</v>
      </c>
    </row>
    <row r="12" customFormat="false" ht="15" hidden="false" customHeight="false" outlineLevel="0" collapsed="false">
      <c r="A12" s="28" t="n">
        <v>6</v>
      </c>
      <c r="B12" s="7" t="s">
        <v>355</v>
      </c>
      <c r="C12" s="33" t="n">
        <f aca="false">IF(A12&lt;=Annahmen!$B$62,('Kosten und Finanzierung'!B16-'Kosten und Finanzierung'!B8)/Annahmen!$B$62,0)</f>
        <v>291971.701666667</v>
      </c>
      <c r="D12" s="33" t="n">
        <f aca="false">IF(A12&lt;=Annahmen!$B$62,('Kosten und Finanzierung'!B16-'Kosten und Finanzierung'!B8)*(Annahmen!$B$62-(A12-1))/Annahmen!$B$62,0)</f>
        <v>2919717.01666667</v>
      </c>
      <c r="E12" s="33" t="n">
        <f aca="false">C12*$E$3</f>
        <v>113857.938738351</v>
      </c>
      <c r="F12" s="33" t="n">
        <f aca="false">C12*$I$3</f>
        <v>72584.4359456989</v>
      </c>
      <c r="G12" s="33" t="n">
        <f aca="false">L11*Annahmen!$B$58/12</f>
        <v>1377.95960961768</v>
      </c>
      <c r="H12" s="33" t="n">
        <f aca="false">M11*Annahmen!$B$59/12</f>
        <v>1054.13910135753</v>
      </c>
      <c r="I12" s="33" t="n">
        <f aca="false">N11*Annahmen!$B$60/12</f>
        <v>2079.68727763682</v>
      </c>
      <c r="J12" s="33" t="n">
        <f aca="false">IF(AND(A12&gt;=Annahmen!$B$65,A12&lt;=Annahmen!$B$62),D12*Annahmen!$B$64/12,0)</f>
        <v>0</v>
      </c>
      <c r="K12" s="33" t="n">
        <f aca="false">C12*$L$3+G12+H12+I12+J12</f>
        <v>110041.112971229</v>
      </c>
      <c r="L12" s="33" t="n">
        <f aca="false">L11+E12</f>
        <v>775278.55135484</v>
      </c>
      <c r="M12" s="33" t="n">
        <f aca="false">M11+F12</f>
        <v>494240.07648871</v>
      </c>
      <c r="N12" s="33" t="n">
        <f aca="false">N11+K12</f>
        <v>733947.296262273</v>
      </c>
    </row>
    <row r="13" customFormat="false" ht="15" hidden="false" customHeight="false" outlineLevel="0" collapsed="false">
      <c r="A13" s="28" t="n">
        <v>7</v>
      </c>
      <c r="B13" s="7" t="s">
        <v>355</v>
      </c>
      <c r="C13" s="33" t="n">
        <f aca="false">IF(A13&lt;=Annahmen!$B$62,('Kosten und Finanzierung'!B16-'Kosten und Finanzierung'!B8)/Annahmen!$B$62,0)</f>
        <v>291971.701666667</v>
      </c>
      <c r="D13" s="33" t="n">
        <f aca="false">IF(A13&lt;=Annahmen!$B$62,('Kosten und Finanzierung'!B16-'Kosten und Finanzierung'!B8)*(Annahmen!$B$62-(A13-1))/Annahmen!$B$62,0)</f>
        <v>2627745.315</v>
      </c>
      <c r="E13" s="33" t="n">
        <f aca="false">C13*$E$3</f>
        <v>113857.938738351</v>
      </c>
      <c r="F13" s="33" t="n">
        <f aca="false">C13*$I$3</f>
        <v>72584.4359456989</v>
      </c>
      <c r="G13" s="33" t="n">
        <f aca="false">L12*Annahmen!$B$58/12</f>
        <v>1615.16364865592</v>
      </c>
      <c r="H13" s="33" t="n">
        <f aca="false">M12*Annahmen!$B$59/12</f>
        <v>1235.60019122178</v>
      </c>
      <c r="I13" s="33" t="n">
        <f aca="false">N12*Annahmen!$B$60/12</f>
        <v>2446.49098754091</v>
      </c>
      <c r="J13" s="33" t="n">
        <f aca="false">IF(AND(A13&gt;=Annahmen!$B$65,A13&lt;=Annahmen!$B$62),D13*Annahmen!$B$64/12,0)</f>
        <v>6569.3632875</v>
      </c>
      <c r="K13" s="33" t="n">
        <f aca="false">C13*$L$3+G13+H13+I13+J13</f>
        <v>117395.945097535</v>
      </c>
      <c r="L13" s="33" t="n">
        <f aca="false">L12+E13</f>
        <v>889136.490093191</v>
      </c>
      <c r="M13" s="33" t="n">
        <f aca="false">M12+F13</f>
        <v>566824.512434409</v>
      </c>
      <c r="N13" s="33" t="n">
        <f aca="false">N12+K13</f>
        <v>851343.241359809</v>
      </c>
    </row>
    <row r="14" customFormat="false" ht="15" hidden="false" customHeight="false" outlineLevel="0" collapsed="false">
      <c r="A14" s="28" t="n">
        <v>8</v>
      </c>
      <c r="B14" s="7" t="s">
        <v>355</v>
      </c>
      <c r="C14" s="33" t="n">
        <f aca="false">IF(A14&lt;=Annahmen!$B$62,('Kosten und Finanzierung'!B16-'Kosten und Finanzierung'!B8)/Annahmen!$B$62,0)</f>
        <v>291971.701666667</v>
      </c>
      <c r="D14" s="33" t="n">
        <f aca="false">IF(A14&lt;=Annahmen!$B$62,('Kosten und Finanzierung'!B16-'Kosten und Finanzierung'!B8)*(Annahmen!$B$62-(A14-1))/Annahmen!$B$62,0)</f>
        <v>2335773.61333333</v>
      </c>
      <c r="E14" s="33" t="n">
        <f aca="false">C14*$E$3</f>
        <v>113857.938738351</v>
      </c>
      <c r="F14" s="33" t="n">
        <f aca="false">C14*$I$3</f>
        <v>72584.4359456989</v>
      </c>
      <c r="G14" s="33" t="n">
        <f aca="false">L13*Annahmen!$B$58/12</f>
        <v>1852.36768769415</v>
      </c>
      <c r="H14" s="33" t="n">
        <f aca="false">M13*Annahmen!$B$59/12</f>
        <v>1417.06128108602</v>
      </c>
      <c r="I14" s="33" t="n">
        <f aca="false">N13*Annahmen!$B$60/12</f>
        <v>2837.8108045327</v>
      </c>
      <c r="J14" s="33" t="n">
        <f aca="false">IF(AND(A14&gt;=Annahmen!$B$65,A14&lt;=Annahmen!$B$62),D14*Annahmen!$B$64/12,0)</f>
        <v>5839.43403333333</v>
      </c>
      <c r="K14" s="33" t="n">
        <f aca="false">C14*$L$3+G14+H14+I14+J14</f>
        <v>117476.000789263</v>
      </c>
      <c r="L14" s="33" t="n">
        <f aca="false">L13+E14</f>
        <v>1002994.42883154</v>
      </c>
      <c r="M14" s="33" t="n">
        <f aca="false">M13+F14</f>
        <v>639408.948380108</v>
      </c>
      <c r="N14" s="33" t="n">
        <f aca="false">N13+K14</f>
        <v>968819.242149072</v>
      </c>
    </row>
    <row r="15" customFormat="false" ht="15" hidden="false" customHeight="false" outlineLevel="0" collapsed="false">
      <c r="A15" s="28" t="n">
        <v>9</v>
      </c>
      <c r="B15" s="7" t="s">
        <v>355</v>
      </c>
      <c r="C15" s="33" t="n">
        <f aca="false">IF(A15&lt;=Annahmen!$B$62,('Kosten und Finanzierung'!B16-'Kosten und Finanzierung'!B8)/Annahmen!$B$62,0)</f>
        <v>291971.701666667</v>
      </c>
      <c r="D15" s="33" t="n">
        <f aca="false">IF(A15&lt;=Annahmen!$B$62,('Kosten und Finanzierung'!B16-'Kosten und Finanzierung'!B8)*(Annahmen!$B$62-(A15-1))/Annahmen!$B$62,0)</f>
        <v>2043801.91166667</v>
      </c>
      <c r="E15" s="33" t="n">
        <f aca="false">C15*$E$3</f>
        <v>113857.938738351</v>
      </c>
      <c r="F15" s="33" t="n">
        <f aca="false">C15*$I$3</f>
        <v>72584.4359456989</v>
      </c>
      <c r="G15" s="33" t="n">
        <f aca="false">L14*Annahmen!$B$58/12</f>
        <v>2089.57172673238</v>
      </c>
      <c r="H15" s="33" t="n">
        <f aca="false">M14*Annahmen!$B$59/12</f>
        <v>1598.52237095027</v>
      </c>
      <c r="I15" s="33" t="n">
        <f aca="false">N14*Annahmen!$B$60/12</f>
        <v>3229.39747383024</v>
      </c>
      <c r="J15" s="33" t="n">
        <f aca="false">IF(AND(A15&gt;=Annahmen!$B$65,A15&lt;=Annahmen!$B$62),D15*Annahmen!$B$64/12,0)</f>
        <v>5109.50477916667</v>
      </c>
      <c r="K15" s="33" t="n">
        <f aca="false">C15*$L$3+G15+H15+I15+J15</f>
        <v>117556.323333296</v>
      </c>
      <c r="L15" s="33" t="n">
        <f aca="false">L14+E15</f>
        <v>1116852.36756989</v>
      </c>
      <c r="M15" s="33" t="n">
        <f aca="false">M14+F15</f>
        <v>711993.384325807</v>
      </c>
      <c r="N15" s="33" t="n">
        <f aca="false">N14+K15</f>
        <v>1086375.56548237</v>
      </c>
    </row>
    <row r="16" customFormat="false" ht="15" hidden="false" customHeight="false" outlineLevel="0" collapsed="false">
      <c r="A16" s="28" t="n">
        <v>10</v>
      </c>
      <c r="B16" s="7" t="s">
        <v>355</v>
      </c>
      <c r="C16" s="33" t="n">
        <f aca="false">IF(A16&lt;=Annahmen!$B$62,('Kosten und Finanzierung'!B16-'Kosten und Finanzierung'!B8)/Annahmen!$B$62,0)</f>
        <v>291971.701666667</v>
      </c>
      <c r="D16" s="33" t="n">
        <f aca="false">IF(A16&lt;=Annahmen!$B$62,('Kosten und Finanzierung'!B16-'Kosten und Finanzierung'!B8)*(Annahmen!$B$62-(A16-1))/Annahmen!$B$62,0)</f>
        <v>1751830.21</v>
      </c>
      <c r="E16" s="33" t="n">
        <f aca="false">C16*$E$3</f>
        <v>113857.938738351</v>
      </c>
      <c r="F16" s="33" t="n">
        <f aca="false">C16*$I$3</f>
        <v>72584.4359456989</v>
      </c>
      <c r="G16" s="33" t="n">
        <f aca="false">L15*Annahmen!$B$58/12</f>
        <v>2326.77576577061</v>
      </c>
      <c r="H16" s="33" t="n">
        <f aca="false">M15*Annahmen!$B$59/12</f>
        <v>1779.98346081452</v>
      </c>
      <c r="I16" s="33" t="n">
        <f aca="false">N15*Annahmen!$B$60/12</f>
        <v>3621.25188494123</v>
      </c>
      <c r="J16" s="33" t="n">
        <f aca="false">IF(AND(A16&gt;=Annahmen!$B$65,A16&lt;=Annahmen!$B$62),D16*Annahmen!$B$64/12,0)</f>
        <v>4379.575525</v>
      </c>
      <c r="K16" s="33" t="n">
        <f aca="false">C16*$L$3+G16+H16+I16+J16</f>
        <v>117636.913619143</v>
      </c>
      <c r="L16" s="33" t="n">
        <f aca="false">L15+E16</f>
        <v>1230710.30630824</v>
      </c>
      <c r="M16" s="33" t="n">
        <f aca="false">M15+F16</f>
        <v>784577.820271506</v>
      </c>
      <c r="N16" s="33" t="n">
        <f aca="false">N15+K16</f>
        <v>1204012.47910151</v>
      </c>
    </row>
    <row r="17" customFormat="false" ht="15" hidden="false" customHeight="false" outlineLevel="0" collapsed="false">
      <c r="A17" s="28" t="n">
        <v>11</v>
      </c>
      <c r="B17" s="7" t="s">
        <v>355</v>
      </c>
      <c r="C17" s="33" t="n">
        <f aca="false">IF(A17&lt;=Annahmen!$B$62,('Kosten und Finanzierung'!B16-'Kosten und Finanzierung'!B8)/Annahmen!$B$62,0)</f>
        <v>291971.701666667</v>
      </c>
      <c r="D17" s="33" t="n">
        <f aca="false">IF(A17&lt;=Annahmen!$B$62,('Kosten und Finanzierung'!B16-'Kosten und Finanzierung'!B8)*(Annahmen!$B$62-(A17-1))/Annahmen!$B$62,0)</f>
        <v>1459858.50833333</v>
      </c>
      <c r="E17" s="33" t="n">
        <f aca="false">C17*$E$3</f>
        <v>113857.938738351</v>
      </c>
      <c r="F17" s="33" t="n">
        <f aca="false">C17*$I$3</f>
        <v>72584.4359456989</v>
      </c>
      <c r="G17" s="33" t="n">
        <f aca="false">L16*Annahmen!$B$58/12</f>
        <v>2563.97980480884</v>
      </c>
      <c r="H17" s="33" t="n">
        <f aca="false">M16*Annahmen!$B$59/12</f>
        <v>1961.44455067876</v>
      </c>
      <c r="I17" s="33" t="n">
        <f aca="false">N16*Annahmen!$B$60/12</f>
        <v>4013.37493033837</v>
      </c>
      <c r="J17" s="33" t="n">
        <f aca="false">IF(AND(A17&gt;=Annahmen!$B$65,A17&lt;=Annahmen!$B$62),D17*Annahmen!$B$64/12,0)</f>
        <v>3649.64627083333</v>
      </c>
      <c r="K17" s="33" t="n">
        <f aca="false">C17*$L$3+G17+H17+I17+J17</f>
        <v>117717.772539276</v>
      </c>
      <c r="L17" s="33" t="n">
        <f aca="false">L16+E17</f>
        <v>1344568.2450466</v>
      </c>
      <c r="M17" s="33" t="n">
        <f aca="false">M16+F17</f>
        <v>857162.256217205</v>
      </c>
      <c r="N17" s="33" t="n">
        <f aca="false">N16+K17</f>
        <v>1321730.25164079</v>
      </c>
    </row>
    <row r="18" customFormat="false" ht="15" hidden="false" customHeight="false" outlineLevel="0" collapsed="false">
      <c r="A18" s="28" t="n">
        <v>12</v>
      </c>
      <c r="B18" s="7" t="s">
        <v>355</v>
      </c>
      <c r="C18" s="33" t="n">
        <f aca="false">IF(A18&lt;=Annahmen!$B$62,('Kosten und Finanzierung'!B16-'Kosten und Finanzierung'!B8)/Annahmen!$B$62,0)</f>
        <v>291971.701666667</v>
      </c>
      <c r="D18" s="33" t="n">
        <f aca="false">IF(A18&lt;=Annahmen!$B$62,('Kosten und Finanzierung'!B16-'Kosten und Finanzierung'!B8)*(Annahmen!$B$62-(A18-1))/Annahmen!$B$62,0)</f>
        <v>1167886.80666667</v>
      </c>
      <c r="E18" s="33" t="n">
        <f aca="false">C18*$E$3</f>
        <v>113857.938738351</v>
      </c>
      <c r="F18" s="33" t="n">
        <f aca="false">C18*$I$3</f>
        <v>72584.4359456989</v>
      </c>
      <c r="G18" s="33" t="n">
        <f aca="false">L17*Annahmen!$B$58/12</f>
        <v>2801.18384384708</v>
      </c>
      <c r="H18" s="33" t="n">
        <f aca="false">M17*Annahmen!$B$59/12</f>
        <v>2142.90564054301</v>
      </c>
      <c r="I18" s="33" t="n">
        <f aca="false">N17*Annahmen!$B$60/12</f>
        <v>4405.76750546929</v>
      </c>
      <c r="J18" s="33" t="n">
        <f aca="false">IF(AND(A18&gt;=Annahmen!$B$65,A18&lt;=Annahmen!$B$62),D18*Annahmen!$B$64/12,0)</f>
        <v>2919.71701666667</v>
      </c>
      <c r="K18" s="33" t="n">
        <f aca="false">C18*$L$3+G18+H18+I18+J18</f>
        <v>117798.900989143</v>
      </c>
      <c r="L18" s="33" t="n">
        <f aca="false">L17+E18</f>
        <v>1458426.18378495</v>
      </c>
      <c r="M18" s="33" t="n">
        <f aca="false">M17+F18</f>
        <v>929746.692162904</v>
      </c>
      <c r="N18" s="33" t="n">
        <f aca="false">N17+K18</f>
        <v>1439529.15262993</v>
      </c>
    </row>
    <row r="19" customFormat="false" ht="15" hidden="false" customHeight="false" outlineLevel="0" collapsed="false">
      <c r="A19" s="28" t="n">
        <v>13</v>
      </c>
      <c r="B19" s="7" t="s">
        <v>355</v>
      </c>
      <c r="C19" s="33" t="n">
        <f aca="false">IF(A19&lt;=Annahmen!$B$62,('Kosten und Finanzierung'!B16-'Kosten und Finanzierung'!B8)/Annahmen!$B$62,0)</f>
        <v>291971.701666667</v>
      </c>
      <c r="D19" s="33" t="n">
        <f aca="false">IF(A19&lt;=Annahmen!$B$62,('Kosten und Finanzierung'!B16-'Kosten und Finanzierung'!B8)*(Annahmen!$B$62-(A19-1))/Annahmen!$B$62,0)</f>
        <v>875915.105</v>
      </c>
      <c r="E19" s="33" t="n">
        <f aca="false">C19*$E$3</f>
        <v>113857.938738351</v>
      </c>
      <c r="F19" s="33" t="n">
        <f aca="false">C19*$I$3</f>
        <v>72584.4359456989</v>
      </c>
      <c r="G19" s="33" t="n">
        <f aca="false">L18*Annahmen!$B$58/12</f>
        <v>3038.38788288531</v>
      </c>
      <c r="H19" s="33" t="n">
        <f aca="false">M18*Annahmen!$B$59/12</f>
        <v>2324.36673040726</v>
      </c>
      <c r="I19" s="33" t="n">
        <f aca="false">N18*Annahmen!$B$60/12</f>
        <v>4798.43050876643</v>
      </c>
      <c r="J19" s="33" t="n">
        <f aca="false">IF(AND(A19&gt;=Annahmen!$B$65,A19&lt;=Annahmen!$B$62),D19*Annahmen!$B$64/12,0)</f>
        <v>2189.7877625</v>
      </c>
      <c r="K19" s="33" t="n">
        <f aca="false">C19*$L$3+G19+H19+I19+J19</f>
        <v>117880.299867176</v>
      </c>
      <c r="L19" s="33" t="n">
        <f aca="false">L18+E19</f>
        <v>1572284.1225233</v>
      </c>
      <c r="M19" s="33" t="n">
        <f aca="false">M18+F19</f>
        <v>1002331.1281086</v>
      </c>
      <c r="N19" s="33" t="n">
        <f aca="false">N18+K19</f>
        <v>1557409.45249711</v>
      </c>
    </row>
    <row r="20" customFormat="false" ht="15" hidden="false" customHeight="false" outlineLevel="0" collapsed="false">
      <c r="A20" s="28" t="n">
        <v>14</v>
      </c>
      <c r="B20" s="7" t="s">
        <v>355</v>
      </c>
      <c r="C20" s="33" t="n">
        <f aca="false">IF(A20&lt;=Annahmen!$B$62,('Kosten und Finanzierung'!B16-'Kosten und Finanzierung'!B8)/Annahmen!$B$62,0)</f>
        <v>291971.701666667</v>
      </c>
      <c r="D20" s="33" t="n">
        <f aca="false">IF(A20&lt;=Annahmen!$B$62,('Kosten und Finanzierung'!B16-'Kosten und Finanzierung'!B8)*(Annahmen!$B$62-(A20-1))/Annahmen!$B$62,0)</f>
        <v>583943.403333333</v>
      </c>
      <c r="E20" s="33" t="n">
        <f aca="false">C20*$E$3</f>
        <v>113857.938738351</v>
      </c>
      <c r="F20" s="33" t="n">
        <f aca="false">C20*$I$3</f>
        <v>72584.4359456989</v>
      </c>
      <c r="G20" s="33" t="n">
        <f aca="false">L19*Annahmen!$B$58/12</f>
        <v>3275.59192192354</v>
      </c>
      <c r="H20" s="33" t="n">
        <f aca="false">M19*Annahmen!$B$59/12</f>
        <v>2505.82782027151</v>
      </c>
      <c r="I20" s="33" t="n">
        <f aca="false">N19*Annahmen!$B$60/12</f>
        <v>5191.36484165702</v>
      </c>
      <c r="J20" s="33" t="n">
        <f aca="false">IF(AND(A20&gt;=Annahmen!$B$65,A20&lt;=Annahmen!$B$62),D20*Annahmen!$B$64/12,0)</f>
        <v>1459.85850833333</v>
      </c>
      <c r="K20" s="33" t="n">
        <f aca="false">C20*$L$3+G20+H20+I20+J20</f>
        <v>117961.970074802</v>
      </c>
      <c r="L20" s="33" t="n">
        <f aca="false">L19+E20</f>
        <v>1686142.06126165</v>
      </c>
      <c r="M20" s="33" t="n">
        <f aca="false">M19+F20</f>
        <v>1074915.5640543</v>
      </c>
      <c r="N20" s="33" t="n">
        <f aca="false">N19+K20</f>
        <v>1675371.42257191</v>
      </c>
    </row>
    <row r="21" customFormat="false" ht="15" hidden="false" customHeight="false" outlineLevel="0" collapsed="false">
      <c r="A21" s="28" t="n">
        <v>15</v>
      </c>
      <c r="B21" s="7" t="s">
        <v>355</v>
      </c>
      <c r="C21" s="33" t="n">
        <f aca="false">IF(A21&lt;=Annahmen!$B$62,('Kosten und Finanzierung'!B16-'Kosten und Finanzierung'!B8)/Annahmen!$B$62,0)</f>
        <v>291971.701666667</v>
      </c>
      <c r="D21" s="33" t="n">
        <f aca="false">IF(A21&lt;=Annahmen!$B$62,('Kosten und Finanzierung'!B16-'Kosten und Finanzierung'!B8)*(Annahmen!$B$62-(A21-1))/Annahmen!$B$62,0)</f>
        <v>291971.701666667</v>
      </c>
      <c r="E21" s="33" t="n">
        <f aca="false">C21*$E$3</f>
        <v>113857.938738351</v>
      </c>
      <c r="F21" s="33" t="n">
        <f aca="false">C21*$I$3</f>
        <v>72584.4359456989</v>
      </c>
      <c r="G21" s="33" t="n">
        <f aca="false">L20*Annahmen!$B$58/12</f>
        <v>3512.79596096177</v>
      </c>
      <c r="H21" s="33" t="n">
        <f aca="false">M20*Annahmen!$B$59/12</f>
        <v>2687.28891013575</v>
      </c>
      <c r="I21" s="33" t="n">
        <f aca="false">N20*Annahmen!$B$60/12</f>
        <v>5584.57140857302</v>
      </c>
      <c r="J21" s="33" t="n">
        <f aca="false">IF(AND(A21&gt;=Annahmen!$B$65,A21&lt;=Annahmen!$B$62),D21*Annahmen!$B$64/12,0)</f>
        <v>729.929254166667</v>
      </c>
      <c r="K21" s="33" t="n">
        <f aca="false">C21*$L$3+G21+H21+I21+J21</f>
        <v>118043.912516454</v>
      </c>
      <c r="L21" s="33" t="n">
        <f aca="false">L20+E21</f>
        <v>1800000</v>
      </c>
      <c r="M21" s="33" t="n">
        <f aca="false">M20+F21</f>
        <v>1147500</v>
      </c>
      <c r="N21" s="33" t="n">
        <f aca="false">N20+K21</f>
        <v>1793415.33508836</v>
      </c>
    </row>
    <row r="22" customFormat="false" ht="15" hidden="false" customHeight="false" outlineLevel="0" collapsed="false">
      <c r="A22" s="28" t="n">
        <v>16</v>
      </c>
      <c r="B22" s="7" t="s">
        <v>356</v>
      </c>
      <c r="C22" s="33" t="n">
        <f aca="false">IF(A22&lt;=Annahmen!$B$62,('Kosten und Finanzierung'!B16-'Kosten und Finanzierung'!B8)/Annahmen!$B$62,0)</f>
        <v>0</v>
      </c>
      <c r="D22" s="33" t="n">
        <f aca="false">IF(A22&lt;=Annahmen!$B$62,('Kosten und Finanzierung'!B16-'Kosten und Finanzierung'!B8)*(Annahmen!$B$62-(A22-1))/Annahmen!$B$62,0)</f>
        <v>0</v>
      </c>
      <c r="E22" s="33" t="n">
        <f aca="false">C22*$E$3</f>
        <v>0</v>
      </c>
      <c r="F22" s="33" t="n">
        <f aca="false">C22*$I$3</f>
        <v>0</v>
      </c>
      <c r="G22" s="33" t="n">
        <f aca="false">L21*Annahmen!$B$58/12</f>
        <v>3750</v>
      </c>
      <c r="H22" s="33" t="n">
        <f aca="false">M21*Annahmen!$B$59/12</f>
        <v>2868.75</v>
      </c>
      <c r="I22" s="33" t="n">
        <f aca="false">N21*Annahmen!$B$60/12</f>
        <v>5978.05111696121</v>
      </c>
      <c r="J22" s="33" t="n">
        <f aca="false">IF(AND(A22&gt;=Annahmen!$B$65,A22&lt;=Annahmen!$B$62),D22*Annahmen!$B$64/12,0)</f>
        <v>0</v>
      </c>
      <c r="K22" s="33" t="n">
        <f aca="false">C22*$L$3+G22+H22+I22+J22</f>
        <v>12596.8011169612</v>
      </c>
      <c r="L22" s="33" t="n">
        <f aca="false">L21+E22</f>
        <v>1800000</v>
      </c>
      <c r="M22" s="33" t="n">
        <f aca="false">M21+F22</f>
        <v>1147500</v>
      </c>
      <c r="N22" s="33" t="n">
        <f aca="false">N21+K22</f>
        <v>1806012.13620532</v>
      </c>
    </row>
    <row r="23" customFormat="false" ht="15" hidden="false" customHeight="false" outlineLevel="0" collapsed="false">
      <c r="A23" s="28" t="n">
        <v>17</v>
      </c>
      <c r="B23" s="7" t="s">
        <v>356</v>
      </c>
      <c r="C23" s="33" t="n">
        <f aca="false">IF(A23&lt;=Annahmen!$B$62,('Kosten und Finanzierung'!B16-'Kosten und Finanzierung'!B8)/Annahmen!$B$62,0)</f>
        <v>0</v>
      </c>
      <c r="D23" s="33" t="n">
        <f aca="false">IF(A23&lt;=Annahmen!$B$62,('Kosten und Finanzierung'!B16-'Kosten und Finanzierung'!B8)*(Annahmen!$B$62-(A23-1))/Annahmen!$B$62,0)</f>
        <v>0</v>
      </c>
      <c r="E23" s="33" t="n">
        <f aca="false">C23*$E$3</f>
        <v>0</v>
      </c>
      <c r="F23" s="33" t="n">
        <f aca="false">C23*$I$3</f>
        <v>0</v>
      </c>
      <c r="G23" s="33" t="n">
        <f aca="false">L22*Annahmen!$B$58/12</f>
        <v>3750</v>
      </c>
      <c r="H23" s="33" t="n">
        <f aca="false">M22*Annahmen!$B$59/12</f>
        <v>2868.75</v>
      </c>
      <c r="I23" s="33" t="n">
        <f aca="false">N22*Annahmen!$B$60/12</f>
        <v>6020.04045401774</v>
      </c>
      <c r="J23" s="33" t="n">
        <f aca="false">IF(AND(A23&gt;=Annahmen!$B$65,A23&lt;=Annahmen!$B$62),D23*Annahmen!$B$64/12,0)</f>
        <v>0</v>
      </c>
      <c r="K23" s="33" t="n">
        <f aca="false">C23*$L$3+G23+H23+I23+J23</f>
        <v>12638.7904540177</v>
      </c>
      <c r="L23" s="33" t="n">
        <f aca="false">L22+E23</f>
        <v>1800000</v>
      </c>
      <c r="M23" s="33" t="n">
        <f aca="false">M22+F23</f>
        <v>1147500</v>
      </c>
      <c r="N23" s="33" t="n">
        <f aca="false">N22+K23</f>
        <v>1818650.92665934</v>
      </c>
    </row>
    <row r="24" customFormat="false" ht="15" hidden="false" customHeight="false" outlineLevel="0" collapsed="false">
      <c r="A24" s="28" t="n">
        <v>18</v>
      </c>
      <c r="B24" s="7" t="s">
        <v>356</v>
      </c>
      <c r="C24" s="33" t="n">
        <f aca="false">IF(A24&lt;=Annahmen!$B$62,('Kosten und Finanzierung'!B16-'Kosten und Finanzierung'!B8)/Annahmen!$B$62,0)</f>
        <v>0</v>
      </c>
      <c r="D24" s="33" t="n">
        <f aca="false">IF(A24&lt;=Annahmen!$B$62,('Kosten und Finanzierung'!B16-'Kosten und Finanzierung'!B8)*(Annahmen!$B$62-(A24-1))/Annahmen!$B$62,0)</f>
        <v>0</v>
      </c>
      <c r="E24" s="33" t="n">
        <f aca="false">C24*$E$3</f>
        <v>0</v>
      </c>
      <c r="F24" s="33" t="n">
        <f aca="false">C24*$I$3</f>
        <v>0</v>
      </c>
      <c r="G24" s="33" t="n">
        <f aca="false">L23*Annahmen!$B$58/12</f>
        <v>3750</v>
      </c>
      <c r="H24" s="33" t="n">
        <f aca="false">M23*Annahmen!$B$59/12</f>
        <v>2868.75</v>
      </c>
      <c r="I24" s="33" t="n">
        <f aca="false">N23*Annahmen!$B$60/12</f>
        <v>6062.16975553113</v>
      </c>
      <c r="J24" s="33" t="n">
        <f aca="false">IF(AND(A24&gt;=Annahmen!$B$65,A24&lt;=Annahmen!$B$62),D24*Annahmen!$B$64/12,0)</f>
        <v>0</v>
      </c>
      <c r="K24" s="33" t="n">
        <f aca="false">C24*$L$3+G24+H24+I24+J24</f>
        <v>12680.9197555311</v>
      </c>
      <c r="L24" s="33" t="n">
        <f aca="false">L23+E24</f>
        <v>1800000</v>
      </c>
      <c r="M24" s="33" t="n">
        <f aca="false">M23+F24</f>
        <v>1147500</v>
      </c>
      <c r="N24" s="33" t="n">
        <f aca="false">N23+K24</f>
        <v>1831331.84641487</v>
      </c>
    </row>
    <row r="25" customFormat="false" ht="15" hidden="false" customHeight="false" outlineLevel="0" collapsed="false">
      <c r="A25" s="28" t="n">
        <v>19</v>
      </c>
      <c r="B25" s="7" t="s">
        <v>356</v>
      </c>
      <c r="C25" s="33" t="n">
        <f aca="false">IF(A25&lt;=Annahmen!$B$62,('Kosten und Finanzierung'!B16-'Kosten und Finanzierung'!B8)/Annahmen!$B$62,0)</f>
        <v>0</v>
      </c>
      <c r="D25" s="33" t="n">
        <f aca="false">IF(A25&lt;=Annahmen!$B$62,('Kosten und Finanzierung'!B16-'Kosten und Finanzierung'!B8)*(Annahmen!$B$62-(A25-1))/Annahmen!$B$62,0)</f>
        <v>0</v>
      </c>
      <c r="E25" s="33" t="n">
        <f aca="false">C25*$E$3</f>
        <v>0</v>
      </c>
      <c r="F25" s="33" t="n">
        <f aca="false">C25*$I$3</f>
        <v>0</v>
      </c>
      <c r="G25" s="33" t="n">
        <f aca="false">L24*Annahmen!$B$58/12</f>
        <v>3750</v>
      </c>
      <c r="H25" s="33" t="n">
        <f aca="false">M24*Annahmen!$B$59/12</f>
        <v>2868.75</v>
      </c>
      <c r="I25" s="33" t="n">
        <f aca="false">N24*Annahmen!$B$60/12</f>
        <v>6104.43948804957</v>
      </c>
      <c r="J25" s="33" t="n">
        <f aca="false">IF(AND(A25&gt;=Annahmen!$B$65,A25&lt;=Annahmen!$B$62),D25*Annahmen!$B$64/12,0)</f>
        <v>0</v>
      </c>
      <c r="K25" s="33" t="n">
        <f aca="false">C25*$L$3+G25+H25+I25+J25</f>
        <v>12723.1894880496</v>
      </c>
      <c r="L25" s="33" t="n">
        <f aca="false">L24+E25</f>
        <v>1800000</v>
      </c>
      <c r="M25" s="33" t="n">
        <f aca="false">M24+F25</f>
        <v>1147500</v>
      </c>
      <c r="N25" s="33" t="n">
        <f aca="false">N24+K25</f>
        <v>1844055.03590292</v>
      </c>
    </row>
    <row r="26" customFormat="false" ht="15" hidden="false" customHeight="false" outlineLevel="0" collapsed="false">
      <c r="A26" s="28" t="n">
        <v>20</v>
      </c>
      <c r="B26" s="7" t="s">
        <v>356</v>
      </c>
      <c r="C26" s="33" t="n">
        <f aca="false">IF(A26&lt;=Annahmen!$B$62,('Kosten und Finanzierung'!B16-'Kosten und Finanzierung'!B8)/Annahmen!$B$62,0)</f>
        <v>0</v>
      </c>
      <c r="D26" s="33" t="n">
        <f aca="false">IF(A26&lt;=Annahmen!$B$62,('Kosten und Finanzierung'!B16-'Kosten und Finanzierung'!B8)*(Annahmen!$B$62-(A26-1))/Annahmen!$B$62,0)</f>
        <v>0</v>
      </c>
      <c r="E26" s="33" t="n">
        <f aca="false">C26*$E$3</f>
        <v>0</v>
      </c>
      <c r="F26" s="33" t="n">
        <f aca="false">C26*$I$3</f>
        <v>0</v>
      </c>
      <c r="G26" s="33" t="n">
        <f aca="false">L25*Annahmen!$B$58/12</f>
        <v>3750</v>
      </c>
      <c r="H26" s="33" t="n">
        <f aca="false">M25*Annahmen!$B$59/12</f>
        <v>2868.75</v>
      </c>
      <c r="I26" s="33" t="n">
        <f aca="false">N25*Annahmen!$B$60/12</f>
        <v>6146.8501196764</v>
      </c>
      <c r="J26" s="33" t="n">
        <f aca="false">IF(AND(A26&gt;=Annahmen!$B$65,A26&lt;=Annahmen!$B$62),D26*Annahmen!$B$64/12,0)</f>
        <v>0</v>
      </c>
      <c r="K26" s="33" t="n">
        <f aca="false">C26*$L$3+G26+H26+I26+J26</f>
        <v>12765.6001196764</v>
      </c>
      <c r="L26" s="33" t="n">
        <f aca="false">L25+E26</f>
        <v>1800000</v>
      </c>
      <c r="M26" s="33" t="n">
        <f aca="false">M25+F26</f>
        <v>1147500</v>
      </c>
      <c r="N26" s="33" t="n">
        <f aca="false">N25+K26</f>
        <v>1856820.6360226</v>
      </c>
    </row>
    <row r="27" customFormat="false" ht="15" hidden="false" customHeight="false" outlineLevel="0" collapsed="false">
      <c r="A27" s="28" t="n">
        <v>21</v>
      </c>
      <c r="B27" s="7" t="s">
        <v>356</v>
      </c>
      <c r="C27" s="33" t="n">
        <f aca="false">IF(A27&lt;=Annahmen!$B$62,('Kosten und Finanzierung'!B16-'Kosten und Finanzierung'!B8)/Annahmen!$B$62,0)</f>
        <v>0</v>
      </c>
      <c r="D27" s="33" t="n">
        <f aca="false">IF(A27&lt;=Annahmen!$B$62,('Kosten und Finanzierung'!B16-'Kosten und Finanzierung'!B8)*(Annahmen!$B$62-(A27-1))/Annahmen!$B$62,0)</f>
        <v>0</v>
      </c>
      <c r="E27" s="33" t="n">
        <f aca="false">C27*$E$3</f>
        <v>0</v>
      </c>
      <c r="F27" s="33" t="n">
        <f aca="false">C27*$I$3</f>
        <v>0</v>
      </c>
      <c r="G27" s="33" t="n">
        <f aca="false">L26*Annahmen!$B$58/12</f>
        <v>3750</v>
      </c>
      <c r="H27" s="33" t="n">
        <f aca="false">M26*Annahmen!$B$59/12</f>
        <v>2868.75</v>
      </c>
      <c r="I27" s="33" t="n">
        <f aca="false">N26*Annahmen!$B$60/12</f>
        <v>6189.40212007533</v>
      </c>
      <c r="J27" s="33" t="n">
        <f aca="false">IF(AND(A27&gt;=Annahmen!$B$65,A27&lt;=Annahmen!$B$62),D27*Annahmen!$B$64/12,0)</f>
        <v>0</v>
      </c>
      <c r="K27" s="33" t="n">
        <f aca="false">C27*$L$3+G27+H27+I27+J27</f>
        <v>12808.1521200753</v>
      </c>
      <c r="L27" s="33" t="n">
        <f aca="false">L26+E27</f>
        <v>1800000</v>
      </c>
      <c r="M27" s="33" t="n">
        <f aca="false">M26+F27</f>
        <v>1147500</v>
      </c>
      <c r="N27" s="33" t="n">
        <f aca="false">N26+K27</f>
        <v>1869628.78814267</v>
      </c>
    </row>
    <row r="28" customFormat="false" ht="15" hidden="false" customHeight="false" outlineLevel="0" collapsed="false">
      <c r="A28" s="28" t="n">
        <v>22</v>
      </c>
      <c r="B28" s="7" t="s">
        <v>356</v>
      </c>
      <c r="C28" s="33" t="n">
        <f aca="false">IF(A28&lt;=Annahmen!$B$62,('Kosten und Finanzierung'!B16-'Kosten und Finanzierung'!B8)/Annahmen!$B$62,0)</f>
        <v>0</v>
      </c>
      <c r="D28" s="33" t="n">
        <f aca="false">IF(A28&lt;=Annahmen!$B$62,('Kosten und Finanzierung'!B16-'Kosten und Finanzierung'!B8)*(Annahmen!$B$62-(A28-1))/Annahmen!$B$62,0)</f>
        <v>0</v>
      </c>
      <c r="E28" s="33" t="n">
        <f aca="false">C28*$E$3</f>
        <v>0</v>
      </c>
      <c r="F28" s="33" t="n">
        <f aca="false">C28*$I$3</f>
        <v>0</v>
      </c>
      <c r="G28" s="33" t="n">
        <f aca="false">L27*Annahmen!$B$58/12</f>
        <v>3750</v>
      </c>
      <c r="H28" s="33" t="n">
        <f aca="false">M27*Annahmen!$B$59/12</f>
        <v>2868.75</v>
      </c>
      <c r="I28" s="33" t="n">
        <f aca="false">N27*Annahmen!$B$60/12</f>
        <v>6232.09596047558</v>
      </c>
      <c r="J28" s="33" t="n">
        <f aca="false">IF(AND(A28&gt;=Annahmen!$B$65,A28&lt;=Annahmen!$B$62),D28*Annahmen!$B$64/12,0)</f>
        <v>0</v>
      </c>
      <c r="K28" s="33" t="n">
        <f aca="false">C28*$L$3+G28+H28+I28+J28</f>
        <v>12850.8459604756</v>
      </c>
      <c r="L28" s="33" t="n">
        <f aca="false">L27+E28</f>
        <v>1800000</v>
      </c>
      <c r="M28" s="33" t="n">
        <f aca="false">M27+F28</f>
        <v>1147500</v>
      </c>
      <c r="N28" s="33" t="n">
        <f aca="false">N27+K28</f>
        <v>1882479.63410315</v>
      </c>
    </row>
    <row r="29" customFormat="false" ht="15" hidden="false" customHeight="false" outlineLevel="0" collapsed="false">
      <c r="A29" s="28" t="n">
        <v>23</v>
      </c>
      <c r="B29" s="7" t="s">
        <v>356</v>
      </c>
      <c r="C29" s="33" t="n">
        <f aca="false">IF(A29&lt;=Annahmen!$B$62,('Kosten und Finanzierung'!B16-'Kosten und Finanzierung'!B8)/Annahmen!$B$62,0)</f>
        <v>0</v>
      </c>
      <c r="D29" s="33" t="n">
        <f aca="false">IF(A29&lt;=Annahmen!$B$62,('Kosten und Finanzierung'!B16-'Kosten und Finanzierung'!B8)*(Annahmen!$B$62-(A29-1))/Annahmen!$B$62,0)</f>
        <v>0</v>
      </c>
      <c r="E29" s="33" t="n">
        <f aca="false">C29*$E$3</f>
        <v>0</v>
      </c>
      <c r="F29" s="33" t="n">
        <f aca="false">C29*$I$3</f>
        <v>0</v>
      </c>
      <c r="G29" s="33" t="n">
        <f aca="false">L28*Annahmen!$B$58/12</f>
        <v>3750</v>
      </c>
      <c r="H29" s="33" t="n">
        <f aca="false">M28*Annahmen!$B$59/12</f>
        <v>2868.75</v>
      </c>
      <c r="I29" s="33" t="n">
        <f aca="false">N28*Annahmen!$B$60/12</f>
        <v>6274.93211367716</v>
      </c>
      <c r="J29" s="33" t="n">
        <f aca="false">IF(AND(A29&gt;=Annahmen!$B$65,A29&lt;=Annahmen!$B$62),D29*Annahmen!$B$64/12,0)</f>
        <v>0</v>
      </c>
      <c r="K29" s="33" t="n">
        <f aca="false">C29*$L$3+G29+H29+I29+J29</f>
        <v>12893.6821136772</v>
      </c>
      <c r="L29" s="33" t="n">
        <f aca="false">L28+E29</f>
        <v>1800000</v>
      </c>
      <c r="M29" s="33" t="n">
        <f aca="false">M28+F29</f>
        <v>1147500</v>
      </c>
      <c r="N29" s="33" t="n">
        <f aca="false">N28+K29</f>
        <v>1895373.31621683</v>
      </c>
    </row>
    <row r="30" customFormat="false" ht="15" hidden="false" customHeight="false" outlineLevel="0" collapsed="false">
      <c r="A30" s="28" t="n">
        <v>24</v>
      </c>
      <c r="B30" s="7" t="s">
        <v>356</v>
      </c>
      <c r="C30" s="33" t="n">
        <f aca="false">IF(A30&lt;=Annahmen!$B$62,('Kosten und Finanzierung'!B16-'Kosten und Finanzierung'!B8)/Annahmen!$B$62,0)</f>
        <v>0</v>
      </c>
      <c r="D30" s="33" t="n">
        <f aca="false">IF(A30&lt;=Annahmen!$B$62,('Kosten und Finanzierung'!B16-'Kosten und Finanzierung'!B8)*(Annahmen!$B$62-(A30-1))/Annahmen!$B$62,0)</f>
        <v>0</v>
      </c>
      <c r="E30" s="33" t="n">
        <f aca="false">C30*$E$3</f>
        <v>0</v>
      </c>
      <c r="F30" s="33" t="n">
        <f aca="false">C30*$I$3</f>
        <v>0</v>
      </c>
      <c r="G30" s="33" t="n">
        <f aca="false">L29*Annahmen!$B$58/12</f>
        <v>3750</v>
      </c>
      <c r="H30" s="33" t="n">
        <f aca="false">M29*Annahmen!$B$59/12</f>
        <v>2868.75</v>
      </c>
      <c r="I30" s="33" t="n">
        <f aca="false">N29*Annahmen!$B$60/12</f>
        <v>6317.91105405609</v>
      </c>
      <c r="J30" s="33" t="n">
        <f aca="false">IF(AND(A30&gt;=Annahmen!$B$65,A30&lt;=Annahmen!$B$62),D30*Annahmen!$B$64/12,0)</f>
        <v>0</v>
      </c>
      <c r="K30" s="33" t="n">
        <f aca="false">C30*$L$3+G30+H30+I30+J30</f>
        <v>12936.6610540561</v>
      </c>
      <c r="L30" s="33" t="n">
        <f aca="false">L29+E30</f>
        <v>1800000</v>
      </c>
      <c r="M30" s="33" t="n">
        <f aca="false">M29+F30</f>
        <v>1147500</v>
      </c>
      <c r="N30" s="33" t="n">
        <f aca="false">N29+K30</f>
        <v>1908309.97727088</v>
      </c>
    </row>
    <row r="31" customFormat="false" ht="15" hidden="false" customHeight="false" outlineLevel="0" collapsed="false">
      <c r="A31" s="28" t="n">
        <v>25</v>
      </c>
      <c r="B31" s="7" t="s">
        <v>356</v>
      </c>
      <c r="C31" s="33" t="n">
        <f aca="false">IF(A31&lt;=Annahmen!$B$62,('Kosten und Finanzierung'!B16-'Kosten und Finanzierung'!B8)/Annahmen!$B$62,0)</f>
        <v>0</v>
      </c>
      <c r="D31" s="33" t="n">
        <f aca="false">IF(A31&lt;=Annahmen!$B$62,('Kosten und Finanzierung'!B16-'Kosten und Finanzierung'!B8)*(Annahmen!$B$62-(A31-1))/Annahmen!$B$62,0)</f>
        <v>0</v>
      </c>
      <c r="E31" s="33" t="n">
        <f aca="false">C31*$E$3</f>
        <v>0</v>
      </c>
      <c r="F31" s="33" t="n">
        <f aca="false">C31*$I$3</f>
        <v>0</v>
      </c>
      <c r="G31" s="33" t="n">
        <f aca="false">L30*Annahmen!$B$58/12</f>
        <v>3750</v>
      </c>
      <c r="H31" s="33" t="n">
        <f aca="false">M30*Annahmen!$B$59/12</f>
        <v>2868.75</v>
      </c>
      <c r="I31" s="33" t="n">
        <f aca="false">N30*Annahmen!$B$60/12</f>
        <v>6361.03325756961</v>
      </c>
      <c r="J31" s="33" t="n">
        <f aca="false">IF(AND(A31&gt;=Annahmen!$B$65,A31&lt;=Annahmen!$B$62),D31*Annahmen!$B$64/12,0)</f>
        <v>0</v>
      </c>
      <c r="K31" s="33" t="n">
        <f aca="false">C31*$L$3+G31+H31+I31+J31</f>
        <v>12979.7832575696</v>
      </c>
      <c r="L31" s="33" t="n">
        <f aca="false">L30+E31</f>
        <v>1800000</v>
      </c>
      <c r="M31" s="33" t="n">
        <f aca="false">M30+F31</f>
        <v>1147500</v>
      </c>
      <c r="N31" s="33" t="n">
        <f aca="false">N30+K31</f>
        <v>1921289.76052845</v>
      </c>
    </row>
    <row r="32" customFormat="false" ht="15" hidden="false" customHeight="false" outlineLevel="0" collapsed="false">
      <c r="A32" s="28" t="n">
        <v>26</v>
      </c>
      <c r="B32" s="7" t="s">
        <v>356</v>
      </c>
      <c r="C32" s="33" t="n">
        <f aca="false">IF(A32&lt;=Annahmen!$B$62,('Kosten und Finanzierung'!B16-'Kosten und Finanzierung'!B8)/Annahmen!$B$62,0)</f>
        <v>0</v>
      </c>
      <c r="D32" s="33" t="n">
        <f aca="false">IF(A32&lt;=Annahmen!$B$62,('Kosten und Finanzierung'!B16-'Kosten und Finanzierung'!B8)*(Annahmen!$B$62-(A32-1))/Annahmen!$B$62,0)</f>
        <v>0</v>
      </c>
      <c r="E32" s="33" t="n">
        <f aca="false">C32*$E$3</f>
        <v>0</v>
      </c>
      <c r="F32" s="33" t="n">
        <f aca="false">C32*$I$3</f>
        <v>0</v>
      </c>
      <c r="G32" s="33" t="n">
        <f aca="false">L31*Annahmen!$B$58/12</f>
        <v>3750</v>
      </c>
      <c r="H32" s="33" t="n">
        <f aca="false">M31*Annahmen!$B$59/12</f>
        <v>2868.75</v>
      </c>
      <c r="I32" s="33" t="n">
        <f aca="false">N31*Annahmen!$B$60/12</f>
        <v>6404.29920176151</v>
      </c>
      <c r="J32" s="33" t="n">
        <f aca="false">IF(AND(A32&gt;=Annahmen!$B$65,A32&lt;=Annahmen!$B$62),D32*Annahmen!$B$64/12,0)</f>
        <v>0</v>
      </c>
      <c r="K32" s="33" t="n">
        <f aca="false">C32*$L$3+G32+H32+I32+J32</f>
        <v>13023.0492017615</v>
      </c>
      <c r="L32" s="33" t="n">
        <f aca="false">L31+E32</f>
        <v>1800000</v>
      </c>
      <c r="M32" s="33" t="n">
        <f aca="false">M31+F32</f>
        <v>1147500</v>
      </c>
      <c r="N32" s="33" t="n">
        <f aca="false">N31+K32</f>
        <v>1934312.80973021</v>
      </c>
    </row>
    <row r="33" customFormat="false" ht="15" hidden="false" customHeight="false" outlineLevel="0" collapsed="false">
      <c r="A33" s="28" t="n">
        <v>27</v>
      </c>
      <c r="B33" s="29" t="s">
        <v>357</v>
      </c>
      <c r="C33" s="33" t="n">
        <f aca="false">IF(A33&lt;=Annahmen!$B$62,('Kosten und Finanzierung'!B16-'Kosten und Finanzierung'!B8)/Annahmen!$B$62,0)</f>
        <v>0</v>
      </c>
      <c r="D33" s="33" t="n">
        <f aca="false">IF(A33&lt;=Annahmen!$B$62,('Kosten und Finanzierung'!B16-'Kosten und Finanzierung'!B8)*(Annahmen!$B$62-(A33-1))/Annahmen!$B$62,0)</f>
        <v>0</v>
      </c>
      <c r="E33" s="33" t="n">
        <f aca="false">C33*$E$3</f>
        <v>0</v>
      </c>
      <c r="F33" s="33" t="n">
        <f aca="false">C33*$I$3</f>
        <v>0</v>
      </c>
      <c r="G33" s="33" t="n">
        <f aca="false">L32*Annahmen!$B$58/12</f>
        <v>3750</v>
      </c>
      <c r="H33" s="33" t="n">
        <f aca="false">M32*Annahmen!$B$59/12</f>
        <v>2868.75</v>
      </c>
      <c r="I33" s="33" t="n">
        <f aca="false">N32*Annahmen!$B$60/12</f>
        <v>6447.70936576738</v>
      </c>
      <c r="J33" s="33" t="n">
        <f aca="false">IF(AND(A33&gt;=Annahmen!$B$65,A33&lt;=Annahmen!$B$62),D33*Annahmen!$B$64/12,0)</f>
        <v>0</v>
      </c>
      <c r="K33" s="33" t="n">
        <f aca="false">C33*$L$3+G33+H33+I33+J33</f>
        <v>13066.4593657674</v>
      </c>
      <c r="L33" s="33" t="n">
        <f aca="false">L32+E33</f>
        <v>1800000</v>
      </c>
      <c r="M33" s="33" t="n">
        <f aca="false">M32+F33</f>
        <v>1147500</v>
      </c>
      <c r="N33" s="33" t="n">
        <f aca="false">N32+K33</f>
        <v>1947379.26909598</v>
      </c>
    </row>
    <row r="34" customFormat="false" ht="15" hidden="false" customHeight="false" outlineLevel="0" collapsed="false">
      <c r="A34" s="29" t="s">
        <v>224</v>
      </c>
      <c r="B34" s="29" t="s">
        <v>358</v>
      </c>
      <c r="C34" s="35" t="n">
        <f aca="false">SUM(C6:C33)</f>
        <v>4615831.525</v>
      </c>
      <c r="E34" s="35" t="n">
        <f aca="false">SUM(E6:E33)</f>
        <v>1800000</v>
      </c>
      <c r="F34" s="35" t="n">
        <f aca="false">SUM(F6:F33)</f>
        <v>1147500</v>
      </c>
      <c r="G34" s="35" t="n">
        <f aca="false">SUM(G6:G33)</f>
        <v>72785.5153154122</v>
      </c>
      <c r="H34" s="35" t="n">
        <f aca="false">SUM(H6:H33)</f>
        <v>55680.9192162904</v>
      </c>
      <c r="I34" s="35" t="n">
        <f aca="false">SUM(I6:I33)</f>
        <v>117734.493126777</v>
      </c>
      <c r="J34" s="35" t="n">
        <f aca="false">SUM(J6:J33)</f>
        <v>32846.8164375</v>
      </c>
      <c r="K34" s="35" t="n">
        <f aca="false">SUM(K6:K33)</f>
        <v>1947379.26909598</v>
      </c>
    </row>
    <row r="36" customFormat="false" ht="15" hidden="false" customHeight="false" outlineLevel="0" collapsed="false">
      <c r="A36" s="44" t="s">
        <v>359</v>
      </c>
      <c r="G36" s="35" t="n">
        <f aca="false">SUM(G34:J34)</f>
        <v>279047.74409598</v>
      </c>
    </row>
    <row r="37" customFormat="false" ht="15" hidden="false" customHeight="false" outlineLevel="0" collapsed="false">
      <c r="A37" s="49" t="s">
        <v>360</v>
      </c>
      <c r="G37" s="33" t="n">
        <f aca="false">ROUND(L33+M33+N33+'Kosten und Finanzierung'!B28-C34-G36,2)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6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361</v>
      </c>
    </row>
    <row r="2" customFormat="false" ht="15" hidden="false" customHeight="false" outlineLevel="0" collapsed="false">
      <c r="A2" s="2" t="s">
        <v>362</v>
      </c>
    </row>
    <row r="4" customFormat="false" ht="30" hidden="false" customHeight="true" outlineLevel="0" collapsed="false">
      <c r="A4" s="3" t="s">
        <v>363</v>
      </c>
      <c r="B4" s="4" t="s">
        <v>364</v>
      </c>
      <c r="C4" s="4" t="s">
        <v>365</v>
      </c>
      <c r="D4" s="4" t="s">
        <v>366</v>
      </c>
      <c r="E4" s="4" t="s">
        <v>367</v>
      </c>
      <c r="F4" s="4" t="s">
        <v>368</v>
      </c>
      <c r="G4" s="4" t="s">
        <v>369</v>
      </c>
    </row>
    <row r="5" customFormat="false" ht="15" hidden="false" customHeight="false" outlineLevel="0" collapsed="false">
      <c r="A5" s="28" t="n">
        <v>1</v>
      </c>
      <c r="B5" s="33" t="n">
        <f aca="false">SUMIFS(Tilgungsplan!$L$7:$L$426,Tilgungsplan!$B$7:$B$426,A5)</f>
        <v>156592.361889169</v>
      </c>
      <c r="C5" s="33" t="n">
        <f aca="false">SUMIFS(Tilgungsplan!$M$7:$M$426,Tilgungsplan!$B$7:$B$426,A5)</f>
        <v>49676.6015656301</v>
      </c>
      <c r="D5" s="33" t="n">
        <f aca="false">B5+C5</f>
        <v>206268.963454799</v>
      </c>
      <c r="E5" s="33" t="n">
        <f aca="false">INDEX(Tilgungsplan!$O$7:$O$426,A5*12)</f>
        <v>4845202.66753035</v>
      </c>
      <c r="F5" s="33" t="n">
        <f aca="false">INDEX(Tilgungsplan!$E$7:$E$426,A5*12)+INDEX(Tilgungsplan!$H$7:$H$426,A5*12)</f>
        <v>2917658.20745262</v>
      </c>
      <c r="G5" s="7" t="s">
        <v>370</v>
      </c>
    </row>
    <row r="6" customFormat="false" ht="15" hidden="false" customHeight="false" outlineLevel="0" collapsed="false">
      <c r="A6" s="28" t="n">
        <v>2</v>
      </c>
      <c r="B6" s="33" t="n">
        <f aca="false">SUMIFS(Tilgungsplan!$L$7:$L$426,Tilgungsplan!$B$7:$B$426,A6)</f>
        <v>154969.954414124</v>
      </c>
      <c r="C6" s="33" t="n">
        <f aca="false">SUMIFS(Tilgungsplan!$M$7:$M$426,Tilgungsplan!$B$7:$B$426,A6)</f>
        <v>51299.0090406755</v>
      </c>
      <c r="D6" s="33" t="n">
        <f aca="false">B6+C6</f>
        <v>206268.963454799</v>
      </c>
      <c r="E6" s="33" t="n">
        <f aca="false">INDEX(Tilgungsplan!$O$7:$O$426,A6*12)</f>
        <v>4793903.65848968</v>
      </c>
      <c r="F6" s="33" t="n">
        <f aca="false">INDEX(Tilgungsplan!$E$7:$E$426,A6*12)+INDEX(Tilgungsplan!$H$7:$H$426,A6*12)</f>
        <v>2887002.10815311</v>
      </c>
      <c r="G6" s="7" t="s">
        <v>370</v>
      </c>
    </row>
    <row r="7" customFormat="false" ht="15" hidden="false" customHeight="false" outlineLevel="0" collapsed="false">
      <c r="A7" s="28" t="n">
        <v>3</v>
      </c>
      <c r="B7" s="33" t="n">
        <f aca="false">SUMIFS(Tilgungsplan!$L$7:$L$426,Tilgungsplan!$B$7:$B$426,A7)</f>
        <v>153292.216678132</v>
      </c>
      <c r="C7" s="33" t="n">
        <f aca="false">SUMIFS(Tilgungsplan!$M$7:$M$426,Tilgungsplan!$B$7:$B$426,A7)</f>
        <v>52976.7467766667</v>
      </c>
      <c r="D7" s="33" t="n">
        <f aca="false">B7+C7</f>
        <v>206268.963454799</v>
      </c>
      <c r="E7" s="33" t="n">
        <f aca="false">INDEX(Tilgungsplan!$O$7:$O$426,A7*12)</f>
        <v>4740926.91171301</v>
      </c>
      <c r="F7" s="33" t="n">
        <f aca="false">INDEX(Tilgungsplan!$E$7:$E$426,A7*12)+INDEX(Tilgungsplan!$H$7:$H$426,A7*12)</f>
        <v>2855509.29511082</v>
      </c>
      <c r="G7" s="7" t="s">
        <v>370</v>
      </c>
    </row>
    <row r="8" customFormat="false" ht="15" hidden="false" customHeight="false" outlineLevel="0" collapsed="false">
      <c r="A8" s="28" t="n">
        <v>4</v>
      </c>
      <c r="B8" s="33" t="n">
        <f aca="false">SUMIFS(Tilgungsplan!$L$7:$L$426,Tilgungsplan!$B$7:$B$426,A8)</f>
        <v>151557.18551054</v>
      </c>
      <c r="C8" s="33" t="n">
        <f aca="false">SUMIFS(Tilgungsplan!$M$7:$M$426,Tilgungsplan!$B$7:$B$426,A8)</f>
        <v>54711.7779442586</v>
      </c>
      <c r="D8" s="33" t="n">
        <f aca="false">B8+C8</f>
        <v>206268.963454799</v>
      </c>
      <c r="E8" s="33" t="n">
        <f aca="false">INDEX(Tilgungsplan!$O$7:$O$426,A8*12)</f>
        <v>4686215.13376875</v>
      </c>
      <c r="F8" s="33" t="n">
        <f aca="false">INDEX(Tilgungsplan!$E$7:$E$426,A8*12)+INDEX(Tilgungsplan!$H$7:$H$426,A8*12)</f>
        <v>2823156.73950926</v>
      </c>
      <c r="G8" s="7" t="s">
        <v>370</v>
      </c>
    </row>
    <row r="9" customFormat="false" ht="15" hidden="false" customHeight="false" outlineLevel="0" collapsed="false">
      <c r="A9" s="28" t="n">
        <v>5</v>
      </c>
      <c r="B9" s="33" t="n">
        <f aca="false">SUMIFS(Tilgungsplan!$L$7:$L$426,Tilgungsplan!$B$7:$B$426,A9)</f>
        <v>149762.825688636</v>
      </c>
      <c r="C9" s="33" t="n">
        <f aca="false">SUMIFS(Tilgungsplan!$M$7:$M$426,Tilgungsplan!$B$7:$B$426,A9)</f>
        <v>56506.1377661636</v>
      </c>
      <c r="D9" s="33" t="n">
        <f aca="false">B9+C9</f>
        <v>206268.963454799</v>
      </c>
      <c r="E9" s="33" t="n">
        <f aca="false">INDEX(Tilgungsplan!$O$7:$O$426,A9*12)</f>
        <v>4629708.99600259</v>
      </c>
      <c r="F9" s="33" t="n">
        <f aca="false">INDEX(Tilgungsplan!$E$7:$E$426,A9*12)+INDEX(Tilgungsplan!$H$7:$H$426,A9*12)</f>
        <v>2789920.77330253</v>
      </c>
      <c r="G9" s="7" t="s">
        <v>370</v>
      </c>
    </row>
    <row r="10" customFormat="false" ht="15" hidden="false" customHeight="false" outlineLevel="0" collapsed="false">
      <c r="A10" s="28" t="n">
        <v>6</v>
      </c>
      <c r="B10" s="33" t="n">
        <f aca="false">SUMIFS(Tilgungsplan!$L$7:$L$426,Tilgungsplan!$B$7:$B$426,A10)</f>
        <v>147907.027220019</v>
      </c>
      <c r="C10" s="33" t="n">
        <f aca="false">SUMIFS(Tilgungsplan!$M$7:$M$426,Tilgungsplan!$B$7:$B$426,A10)</f>
        <v>58361.9362347798</v>
      </c>
      <c r="D10" s="33" t="n">
        <f aca="false">B10+C10</f>
        <v>206268.963454799</v>
      </c>
      <c r="E10" s="33" t="n">
        <f aca="false">INDEX(Tilgungsplan!$O$7:$O$426,A10*12)</f>
        <v>4571347.05976781</v>
      </c>
      <c r="F10" s="33" t="n">
        <f aca="false">INDEX(Tilgungsplan!$E$7:$E$426,A10*12)+INDEX(Tilgungsplan!$H$7:$H$426,A10*12)</f>
        <v>2755777.07132052</v>
      </c>
      <c r="G10" s="7" t="s">
        <v>370</v>
      </c>
    </row>
    <row r="11" customFormat="false" ht="15" hidden="false" customHeight="false" outlineLevel="0" collapsed="false">
      <c r="A11" s="28" t="n">
        <v>7</v>
      </c>
      <c r="B11" s="33" t="n">
        <f aca="false">SUMIFS(Tilgungsplan!$L$7:$L$426,Tilgungsplan!$B$7:$B$426,A11)</f>
        <v>145987.602520296</v>
      </c>
      <c r="C11" s="33" t="n">
        <f aca="false">SUMIFS(Tilgungsplan!$M$7:$M$426,Tilgungsplan!$B$7:$B$426,A11)</f>
        <v>60281.3609345028</v>
      </c>
      <c r="D11" s="33" t="n">
        <f aca="false">B11+C11</f>
        <v>206268.963454799</v>
      </c>
      <c r="E11" s="33" t="n">
        <f aca="false">INDEX(Tilgungsplan!$O$7:$O$426,A11*12)</f>
        <v>4511065.6988333</v>
      </c>
      <c r="F11" s="33" t="n">
        <f aca="false">INDEX(Tilgungsplan!$E$7:$E$426,A11*12)+INDEX(Tilgungsplan!$H$7:$H$426,A11*12)</f>
        <v>2720700.63286904</v>
      </c>
      <c r="G11" s="7" t="s">
        <v>370</v>
      </c>
    </row>
    <row r="12" customFormat="false" ht="15" hidden="false" customHeight="false" outlineLevel="0" collapsed="false">
      <c r="A12" s="28" t="n">
        <v>8</v>
      </c>
      <c r="B12" s="33" t="n">
        <f aca="false">SUMIFS(Tilgungsplan!$L$7:$L$426,Tilgungsplan!$B$7:$B$426,A12)</f>
        <v>144002.283481982</v>
      </c>
      <c r="C12" s="33" t="n">
        <f aca="false">SUMIFS(Tilgungsplan!$M$7:$M$426,Tilgungsplan!$B$7:$B$426,A12)</f>
        <v>62266.6799728171</v>
      </c>
      <c r="D12" s="33" t="n">
        <f aca="false">B12+C12</f>
        <v>206268.963454799</v>
      </c>
      <c r="E12" s="33" t="n">
        <f aca="false">INDEX(Tilgungsplan!$O$7:$O$426,A12*12)</f>
        <v>4448799.01886049</v>
      </c>
      <c r="F12" s="33" t="n">
        <f aca="false">INDEX(Tilgungsplan!$E$7:$E$426,A12*12)+INDEX(Tilgungsplan!$H$7:$H$426,A12*12)</f>
        <v>2684665.76281038</v>
      </c>
      <c r="G12" s="7" t="s">
        <v>370</v>
      </c>
    </row>
    <row r="13" customFormat="false" ht="15" hidden="false" customHeight="false" outlineLevel="0" collapsed="false">
      <c r="A13" s="28" t="n">
        <v>9</v>
      </c>
      <c r="B13" s="33" t="n">
        <f aca="false">SUMIFS(Tilgungsplan!$L$7:$L$426,Tilgungsplan!$B$7:$B$426,A13)</f>
        <v>141948.718430375</v>
      </c>
      <c r="C13" s="33" t="n">
        <f aca="false">SUMIFS(Tilgungsplan!$M$7:$M$426,Tilgungsplan!$B$7:$B$426,A13)</f>
        <v>64320.2450244245</v>
      </c>
      <c r="D13" s="33" t="n">
        <f aca="false">B13+C13</f>
        <v>206268.963454799</v>
      </c>
      <c r="E13" s="33" t="n">
        <f aca="false">INDEX(Tilgungsplan!$O$7:$O$426,A13*12)</f>
        <v>4384478.77383606</v>
      </c>
      <c r="F13" s="33" t="n">
        <f aca="false">INDEX(Tilgungsplan!$E$7:$E$426,A13*12)+INDEX(Tilgungsplan!$H$7:$H$426,A13*12)</f>
        <v>2647646.05210959</v>
      </c>
      <c r="G13" s="7" t="s">
        <v>370</v>
      </c>
    </row>
    <row r="14" customFormat="false" ht="15" hidden="false" customHeight="false" outlineLevel="0" collapsed="false">
      <c r="A14" s="28" t="n">
        <v>10</v>
      </c>
      <c r="B14" s="33" t="n">
        <f aca="false">SUMIFS(Tilgungsplan!$L$7:$L$426,Tilgungsplan!$B$7:$B$426,A14)</f>
        <v>139824.46896196</v>
      </c>
      <c r="C14" s="33" t="n">
        <f aca="false">SUMIFS(Tilgungsplan!$M$7:$M$426,Tilgungsplan!$B$7:$B$426,A14)</f>
        <v>66444.4944928389</v>
      </c>
      <c r="D14" s="33" t="n">
        <f aca="false">B14+C14</f>
        <v>206268.963454799</v>
      </c>
      <c r="E14" s="33" t="n">
        <f aca="false">INDEX(Tilgungsplan!$O$7:$O$426,A14*12)</f>
        <v>4318034.27934322</v>
      </c>
      <c r="F14" s="33" t="n">
        <f aca="false">INDEX(Tilgungsplan!$E$7:$E$426,A14*12)+INDEX(Tilgungsplan!$H$7:$H$426,A14*12)</f>
        <v>2609614.35783126</v>
      </c>
      <c r="G14" s="7" t="s">
        <v>370</v>
      </c>
    </row>
    <row r="15" customFormat="false" ht="15" hidden="false" customHeight="false" outlineLevel="0" collapsed="false">
      <c r="A15" s="28" t="n">
        <v>11</v>
      </c>
      <c r="B15" s="33" t="n">
        <f aca="false">SUMIFS(Tilgungsplan!$L$7:$L$426,Tilgungsplan!$B$7:$B$426,A15)</f>
        <v>137627.006660752</v>
      </c>
      <c r="C15" s="33" t="n">
        <f aca="false">SUMIFS(Tilgungsplan!$M$7:$M$426,Tilgungsplan!$B$7:$B$426,A15)</f>
        <v>68641.9567940467</v>
      </c>
      <c r="D15" s="33" t="n">
        <f aca="false">B15+C15</f>
        <v>206268.963454799</v>
      </c>
      <c r="E15" s="33" t="n">
        <f aca="false">INDEX(Tilgungsplan!$O$7:$O$426,A15*12)</f>
        <v>4249392.32254918</v>
      </c>
      <c r="F15" s="33" t="n">
        <f aca="false">INDEX(Tilgungsplan!$E$7:$E$426,A15*12)+INDEX(Tilgungsplan!$H$7:$H$426,A15*12)</f>
        <v>2570542.78257114</v>
      </c>
      <c r="G15" s="7" t="s">
        <v>371</v>
      </c>
    </row>
    <row r="16" customFormat="false" ht="15" hidden="false" customHeight="false" outlineLevel="0" collapsed="false">
      <c r="A16" s="28" t="n">
        <v>12</v>
      </c>
      <c r="B16" s="33" t="n">
        <f aca="false">SUMIFS(Tilgungsplan!$L$7:$L$426,Tilgungsplan!$B$7:$B$426,A16)</f>
        <v>135353.709687779</v>
      </c>
      <c r="C16" s="33" t="n">
        <f aca="false">SUMIFS(Tilgungsplan!$M$7:$M$426,Tilgungsplan!$B$7:$B$426,A16)</f>
        <v>70915.2537670203</v>
      </c>
      <c r="D16" s="33" t="n">
        <f aca="false">B16+C16</f>
        <v>206268.963454799</v>
      </c>
      <c r="E16" s="33" t="n">
        <f aca="false">INDEX(Tilgungsplan!$O$7:$O$426,A16*12)</f>
        <v>4178477.06878216</v>
      </c>
      <c r="F16" s="33" t="n">
        <f aca="false">INDEX(Tilgungsplan!$E$7:$E$426,A16*12)+INDEX(Tilgungsplan!$H$7:$H$426,A16*12)</f>
        <v>2530402.65330646</v>
      </c>
      <c r="G16" s="7" t="s">
        <v>371</v>
      </c>
    </row>
    <row r="17" customFormat="false" ht="15" hidden="false" customHeight="false" outlineLevel="0" collapsed="false">
      <c r="A17" s="28" t="n">
        <v>13</v>
      </c>
      <c r="B17" s="33" t="n">
        <f aca="false">SUMIFS(Tilgungsplan!$L$7:$L$426,Tilgungsplan!$B$7:$B$426,A17)</f>
        <v>133001.859238742</v>
      </c>
      <c r="C17" s="33" t="n">
        <f aca="false">SUMIFS(Tilgungsplan!$M$7:$M$426,Tilgungsplan!$B$7:$B$426,A17)</f>
        <v>73267.1042160571</v>
      </c>
      <c r="D17" s="33" t="n">
        <f aca="false">B17+C17</f>
        <v>206268.963454799</v>
      </c>
      <c r="E17" s="33" t="n">
        <f aca="false">INDEX(Tilgungsplan!$O$7:$O$426,A17*12)</f>
        <v>4105209.9645661</v>
      </c>
      <c r="F17" s="33" t="n">
        <f aca="false">INDEX(Tilgungsplan!$E$7:$E$426,A17*12)+INDEX(Tilgungsplan!$H$7:$H$426,A17*12)</f>
        <v>2489164.49964852</v>
      </c>
      <c r="G17" s="7" t="s">
        <v>371</v>
      </c>
    </row>
    <row r="18" customFormat="false" ht="15" hidden="false" customHeight="false" outlineLevel="0" collapsed="false">
      <c r="A18" s="28" t="n">
        <v>14</v>
      </c>
      <c r="B18" s="33" t="n">
        <f aca="false">SUMIFS(Tilgungsplan!$L$7:$L$426,Tilgungsplan!$B$7:$B$426,A18)</f>
        <v>130568.635864683</v>
      </c>
      <c r="C18" s="33" t="n">
        <f aca="false">SUMIFS(Tilgungsplan!$M$7:$M$426,Tilgungsplan!$B$7:$B$426,A18)</f>
        <v>75700.3275901165</v>
      </c>
      <c r="D18" s="33" t="n">
        <f aca="false">B18+C18</f>
        <v>206268.963454799</v>
      </c>
      <c r="E18" s="33" t="n">
        <f aca="false">INDEX(Tilgungsplan!$O$7:$O$426,A18*12)</f>
        <v>4029509.63697598</v>
      </c>
      <c r="F18" s="33" t="n">
        <f aca="false">INDEX(Tilgungsplan!$E$7:$E$426,A18*12)+INDEX(Tilgungsplan!$H$7:$H$426,A18*12)</f>
        <v>2446798.03148037</v>
      </c>
      <c r="G18" s="7" t="s">
        <v>371</v>
      </c>
    </row>
    <row r="19" customFormat="false" ht="15" hidden="false" customHeight="false" outlineLevel="0" collapsed="false">
      <c r="A19" s="28" t="n">
        <v>15</v>
      </c>
      <c r="B19" s="33" t="n">
        <f aca="false">SUMIFS(Tilgungsplan!$L$7:$L$426,Tilgungsplan!$B$7:$B$426,A19)</f>
        <v>128051.115650269</v>
      </c>
      <c r="C19" s="33" t="n">
        <f aca="false">SUMIFS(Tilgungsplan!$M$7:$M$426,Tilgungsplan!$B$7:$B$426,A19)</f>
        <v>78217.8478045303</v>
      </c>
      <c r="D19" s="33" t="n">
        <f aca="false">B19+C19</f>
        <v>206268.963454799</v>
      </c>
      <c r="E19" s="33" t="n">
        <f aca="false">INDEX(Tilgungsplan!$O$7:$O$426,A19*12)</f>
        <v>3951291.78917145</v>
      </c>
      <c r="F19" s="33" t="n">
        <f aca="false">INDEX(Tilgungsplan!$E$7:$E$426,A19*12)+INDEX(Tilgungsplan!$H$7:$H$426,A19*12)</f>
        <v>2403272.11596211</v>
      </c>
      <c r="G19" s="7" t="s">
        <v>371</v>
      </c>
    </row>
    <row r="20" customFormat="false" ht="15" hidden="false" customHeight="false" outlineLevel="0" collapsed="false">
      <c r="A20" s="28" t="n">
        <v>16</v>
      </c>
      <c r="B20" s="33" t="n">
        <f aca="false">SUMIFS(Tilgungsplan!$L$7:$L$426,Tilgungsplan!$B$7:$B$426,A20)</f>
        <v>125446.266244121</v>
      </c>
      <c r="C20" s="33" t="n">
        <f aca="false">SUMIFS(Tilgungsplan!$M$7:$M$426,Tilgungsplan!$B$7:$B$426,A20)</f>
        <v>80822.6972106783</v>
      </c>
      <c r="D20" s="33" t="n">
        <f aca="false">B20+C20</f>
        <v>206268.963454799</v>
      </c>
      <c r="E20" s="33" t="n">
        <f aca="false">INDEX(Tilgungsplan!$O$7:$O$426,A20*12)</f>
        <v>3870469.09196078</v>
      </c>
      <c r="F20" s="33" t="n">
        <f aca="false">INDEX(Tilgungsplan!$E$7:$E$426,A20*12)+INDEX(Tilgungsplan!$H$7:$H$426,A20*12)</f>
        <v>2358554.75388593</v>
      </c>
      <c r="G20" s="7" t="s">
        <v>371</v>
      </c>
    </row>
    <row r="21" customFormat="false" ht="15" hidden="false" customHeight="false" outlineLevel="0" collapsed="false">
      <c r="A21" s="28" t="n">
        <v>17</v>
      </c>
      <c r="B21" s="33" t="n">
        <f aca="false">SUMIFS(Tilgungsplan!$L$7:$L$426,Tilgungsplan!$B$7:$B$426,A21)</f>
        <v>122750.942735361</v>
      </c>
      <c r="C21" s="33" t="n">
        <f aca="false">SUMIFS(Tilgungsplan!$M$7:$M$426,Tilgungsplan!$B$7:$B$426,A21)</f>
        <v>83518.0207194383</v>
      </c>
      <c r="D21" s="33" t="n">
        <f aca="false">B21+C21</f>
        <v>206268.963454799</v>
      </c>
      <c r="E21" s="33" t="n">
        <f aca="false">INDEX(Tilgungsplan!$O$7:$O$426,A21*12)</f>
        <v>3786951.07124134</v>
      </c>
      <c r="F21" s="33" t="n">
        <f aca="false">INDEX(Tilgungsplan!$E$7:$E$426,A21*12)+INDEX(Tilgungsplan!$H$7:$H$426,A21*12)</f>
        <v>2312613.055362</v>
      </c>
      <c r="G21" s="7" t="s">
        <v>371</v>
      </c>
    </row>
    <row r="22" customFormat="false" ht="15" hidden="false" customHeight="false" outlineLevel="0" collapsed="false">
      <c r="A22" s="28" t="n">
        <v>18</v>
      </c>
      <c r="B22" s="33" t="n">
        <f aca="false">SUMIFS(Tilgungsplan!$L$7:$L$426,Tilgungsplan!$B$7:$B$426,A22)</f>
        <v>119961.883370345</v>
      </c>
      <c r="C22" s="33" t="n">
        <f aca="false">SUMIFS(Tilgungsplan!$M$7:$M$426,Tilgungsplan!$B$7:$B$426,A22)</f>
        <v>86307.0800844545</v>
      </c>
      <c r="D22" s="33" t="n">
        <f aca="false">B22+C22</f>
        <v>206268.963454799</v>
      </c>
      <c r="E22" s="33" t="n">
        <f aca="false">INDEX(Tilgungsplan!$O$7:$O$426,A22*12)</f>
        <v>3700643.99115688</v>
      </c>
      <c r="F22" s="33" t="n">
        <f aca="false">INDEX(Tilgungsplan!$E$7:$E$426,A22*12)+INDEX(Tilgungsplan!$H$7:$H$426,A22*12)</f>
        <v>2265413.21481654</v>
      </c>
      <c r="G22" s="7" t="s">
        <v>371</v>
      </c>
    </row>
    <row r="23" customFormat="false" ht="15" hidden="false" customHeight="false" outlineLevel="0" collapsed="false">
      <c r="A23" s="28" t="n">
        <v>19</v>
      </c>
      <c r="B23" s="33" t="n">
        <f aca="false">SUMIFS(Tilgungsplan!$L$7:$L$426,Tilgungsplan!$B$7:$B$426,A23)</f>
        <v>117075.705103294</v>
      </c>
      <c r="C23" s="33" t="n">
        <f aca="false">SUMIFS(Tilgungsplan!$M$7:$M$426,Tilgungsplan!$B$7:$B$426,A23)</f>
        <v>89193.2583515054</v>
      </c>
      <c r="D23" s="33" t="n">
        <f aca="false">B23+C23</f>
        <v>206268.963454799</v>
      </c>
      <c r="E23" s="33" t="n">
        <f aca="false">INDEX(Tilgungsplan!$O$7:$O$426,A23*12)</f>
        <v>3611450.73280538</v>
      </c>
      <c r="F23" s="33" t="n">
        <f aca="false">INDEX(Tilgungsplan!$E$7:$E$426,A23*12)+INDEX(Tilgungsplan!$H$7:$H$426,A23*12)</f>
        <v>2216920.48528219</v>
      </c>
      <c r="G23" s="7" t="s">
        <v>371</v>
      </c>
    </row>
    <row r="24" customFormat="false" ht="15" hidden="false" customHeight="false" outlineLevel="0" collapsed="false">
      <c r="A24" s="28" t="n">
        <v>20</v>
      </c>
      <c r="B24" s="33" t="n">
        <f aca="false">SUMIFS(Tilgungsplan!$L$7:$L$426,Tilgungsplan!$B$7:$B$426,A24)</f>
        <v>114088.898974295</v>
      </c>
      <c r="C24" s="33" t="n">
        <f aca="false">SUMIFS(Tilgungsplan!$M$7:$M$426,Tilgungsplan!$B$7:$B$426,A24)</f>
        <v>92180.0644805039</v>
      </c>
      <c r="D24" s="33" t="n">
        <f aca="false">B24+C24</f>
        <v>206268.963454799</v>
      </c>
      <c r="E24" s="33" t="n">
        <f aca="false">INDEX(Tilgungsplan!$O$7:$O$426,A24*12)</f>
        <v>3519270.66832487</v>
      </c>
      <c r="F24" s="33" t="n">
        <f aca="false">INDEX(Tilgungsplan!$E$7:$E$426,A24*12)+INDEX(Tilgungsplan!$H$7:$H$426,A24*12)</f>
        <v>2167099.15196051</v>
      </c>
      <c r="G24" s="7" t="s">
        <v>371</v>
      </c>
    </row>
    <row r="25" customFormat="false" ht="15" hidden="false" customHeight="false" outlineLevel="0" collapsed="false">
      <c r="A25" s="28" t="n">
        <v>21</v>
      </c>
      <c r="B25" s="33" t="n">
        <f aca="false">SUMIFS(Tilgungsplan!$L$7:$L$426,Tilgungsplan!$B$7:$B$426,A25)</f>
        <v>110997.82530788</v>
      </c>
      <c r="C25" s="33" t="n">
        <f aca="false">SUMIFS(Tilgungsplan!$M$7:$M$426,Tilgungsplan!$B$7:$B$426,A25)</f>
        <v>95271.138146919</v>
      </c>
      <c r="D25" s="33" t="n">
        <f aca="false">B25+C25</f>
        <v>206268.963454799</v>
      </c>
      <c r="E25" s="33" t="n">
        <f aca="false">INDEX(Tilgungsplan!$O$7:$O$426,A25*12)</f>
        <v>3423999.53017795</v>
      </c>
      <c r="F25" s="33" t="n">
        <f aca="false">INDEX(Tilgungsplan!$E$7:$E$426,A25*12)+INDEX(Tilgungsplan!$H$7:$H$426,A25*12)</f>
        <v>2115912.50503594</v>
      </c>
      <c r="G25" s="7" t="s">
        <v>371</v>
      </c>
    </row>
    <row r="26" customFormat="false" ht="15" hidden="false" customHeight="false" outlineLevel="0" collapsed="false">
      <c r="A26" s="28" t="n">
        <v>22</v>
      </c>
      <c r="B26" s="33" t="n">
        <f aca="false">SUMIFS(Tilgungsplan!$L$7:$L$426,Tilgungsplan!$B$7:$B$426,A26)</f>
        <v>107798.708725117</v>
      </c>
      <c r="C26" s="33" t="n">
        <f aca="false">SUMIFS(Tilgungsplan!$M$7:$M$426,Tilgungsplan!$B$7:$B$426,A26)</f>
        <v>98470.2547296817</v>
      </c>
      <c r="D26" s="33" t="n">
        <f aca="false">B26+C26</f>
        <v>206268.963454799</v>
      </c>
      <c r="E26" s="33" t="n">
        <f aca="false">INDEX(Tilgungsplan!$O$7:$O$426,A26*12)</f>
        <v>3325529.27544827</v>
      </c>
      <c r="F26" s="33" t="n">
        <f aca="false">INDEX(Tilgungsplan!$E$7:$E$426,A26*12)+INDEX(Tilgungsplan!$H$7:$H$426,A26*12)</f>
        <v>2063322.81171984</v>
      </c>
      <c r="G26" s="7" t="s">
        <v>371</v>
      </c>
    </row>
    <row r="27" customFormat="false" ht="15" hidden="false" customHeight="false" outlineLevel="0" collapsed="false">
      <c r="A27" s="28" t="n">
        <v>23</v>
      </c>
      <c r="B27" s="33" t="n">
        <f aca="false">SUMIFS(Tilgungsplan!$L$7:$L$426,Tilgungsplan!$B$7:$B$426,A27)</f>
        <v>104487.632961884</v>
      </c>
      <c r="C27" s="33" t="n">
        <f aca="false">SUMIFS(Tilgungsplan!$M$7:$M$426,Tilgungsplan!$B$7:$B$426,A27)</f>
        <v>101781.330492915</v>
      </c>
      <c r="D27" s="33" t="n">
        <f aca="false">B27+C27</f>
        <v>206268.963454799</v>
      </c>
      <c r="E27" s="33" t="n">
        <f aca="false">INDEX(Tilgungsplan!$O$7:$O$426,A27*12)</f>
        <v>3223747.94495536</v>
      </c>
      <c r="F27" s="33" t="n">
        <f aca="false">INDEX(Tilgungsplan!$E$7:$E$426,A27*12)+INDEX(Tilgungsplan!$H$7:$H$426,A27*12)</f>
        <v>2009291.28750253</v>
      </c>
      <c r="G27" s="7" t="s">
        <v>371</v>
      </c>
    </row>
    <row r="28" customFormat="false" ht="15" hidden="false" customHeight="false" outlineLevel="0" collapsed="false">
      <c r="A28" s="28" t="n">
        <v>24</v>
      </c>
      <c r="B28" s="33" t="n">
        <f aca="false">SUMIFS(Tilgungsplan!$L$7:$L$426,Tilgungsplan!$B$7:$B$426,A28)</f>
        <v>101060.535485674</v>
      </c>
      <c r="C28" s="33" t="n">
        <f aca="false">SUMIFS(Tilgungsplan!$M$7:$M$426,Tilgungsplan!$B$7:$B$426,A28)</f>
        <v>105208.427969125</v>
      </c>
      <c r="D28" s="33" t="n">
        <f aca="false">B28+C28</f>
        <v>206268.963454799</v>
      </c>
      <c r="E28" s="33" t="n">
        <f aca="false">INDEX(Tilgungsplan!$O$7:$O$426,A28*12)</f>
        <v>3118539.51698623</v>
      </c>
      <c r="F28" s="33" t="n">
        <f aca="false">INDEX(Tilgungsplan!$E$7:$E$426,A28*12)+INDEX(Tilgungsplan!$H$7:$H$426,A28*12)</f>
        <v>1953778.06659079</v>
      </c>
      <c r="G28" s="7" t="s">
        <v>371</v>
      </c>
    </row>
    <row r="29" customFormat="false" ht="15" hidden="false" customHeight="false" outlineLevel="0" collapsed="false">
      <c r="A29" s="28" t="n">
        <v>25</v>
      </c>
      <c r="B29" s="33" t="n">
        <f aca="false">SUMIFS(Tilgungsplan!$L$7:$L$426,Tilgungsplan!$B$7:$B$426,A29)</f>
        <v>97513.2019030195</v>
      </c>
      <c r="C29" s="33" t="n">
        <f aca="false">SUMIFS(Tilgungsplan!$M$7:$M$426,Tilgungsplan!$B$7:$B$426,A29)</f>
        <v>108755.76155178</v>
      </c>
      <c r="D29" s="33" t="n">
        <f aca="false">B29+C29</f>
        <v>206268.963454799</v>
      </c>
      <c r="E29" s="33" t="n">
        <f aca="false">INDEX(Tilgungsplan!$O$7:$O$426,A29*12)</f>
        <v>3009783.75543445</v>
      </c>
      <c r="F29" s="33" t="n">
        <f aca="false">INDEX(Tilgungsplan!$E$7:$E$426,A29*12)+INDEX(Tilgungsplan!$H$7:$H$426,A29*12)</f>
        <v>1896742.17150764</v>
      </c>
      <c r="G29" s="7" t="s">
        <v>371</v>
      </c>
    </row>
    <row r="30" customFormat="false" ht="15" hidden="false" customHeight="false" outlineLevel="0" collapsed="false">
      <c r="A30" s="28" t="n">
        <v>26</v>
      </c>
      <c r="B30" s="33" t="n">
        <f aca="false">SUMIFS(Tilgungsplan!$L$7:$L$426,Tilgungsplan!$B$7:$B$426,A30)</f>
        <v>93841.2601492521</v>
      </c>
      <c r="C30" s="33" t="n">
        <f aca="false">SUMIFS(Tilgungsplan!$M$7:$M$426,Tilgungsplan!$B$7:$B$426,A30)</f>
        <v>112427.703305547</v>
      </c>
      <c r="D30" s="33" t="n">
        <f aca="false">B30+C30</f>
        <v>206268.963454799</v>
      </c>
      <c r="E30" s="33" t="n">
        <f aca="false">INDEX(Tilgungsplan!$O$7:$O$426,A30*12)</f>
        <v>2897356.05212891</v>
      </c>
      <c r="F30" s="33" t="n">
        <f aca="false">INDEX(Tilgungsplan!$E$7:$E$426,A30*12)+INDEX(Tilgungsplan!$H$7:$H$426,A30*12)</f>
        <v>1838141.48183025</v>
      </c>
      <c r="G30" s="7" t="s">
        <v>371</v>
      </c>
    </row>
    <row r="31" customFormat="false" ht="15" hidden="false" customHeight="false" outlineLevel="0" collapsed="false">
      <c r="A31" s="28" t="n">
        <v>27</v>
      </c>
      <c r="B31" s="33" t="n">
        <f aca="false">SUMIFS(Tilgungsplan!$L$7:$L$426,Tilgungsplan!$B$7:$B$426,A31)</f>
        <v>90040.1744520476</v>
      </c>
      <c r="C31" s="33" t="n">
        <f aca="false">SUMIFS(Tilgungsplan!$M$7:$M$426,Tilgungsplan!$B$7:$B$426,A31)</f>
        <v>116228.789002752</v>
      </c>
      <c r="D31" s="33" t="n">
        <f aca="false">B31+C31</f>
        <v>206268.963454799</v>
      </c>
      <c r="E31" s="33" t="n">
        <f aca="false">INDEX(Tilgungsplan!$O$7:$O$426,A31*12)</f>
        <v>2781127.26312616</v>
      </c>
      <c r="F31" s="33" t="n">
        <f aca="false">INDEX(Tilgungsplan!$E$7:$E$426,A31*12)+INDEX(Tilgungsplan!$H$7:$H$426,A31*12)</f>
        <v>1777932.70204164</v>
      </c>
      <c r="G31" s="7" t="s">
        <v>371</v>
      </c>
    </row>
    <row r="32" customFormat="false" ht="15" hidden="false" customHeight="false" outlineLevel="0" collapsed="false">
      <c r="A32" s="28" t="n">
        <v>28</v>
      </c>
      <c r="B32" s="33" t="n">
        <f aca="false">SUMIFS(Tilgungsplan!$L$7:$L$426,Tilgungsplan!$B$7:$B$426,A32)</f>
        <v>86105.2390598113</v>
      </c>
      <c r="C32" s="33" t="n">
        <f aca="false">SUMIFS(Tilgungsplan!$M$7:$M$426,Tilgungsplan!$B$7:$B$426,A32)</f>
        <v>120163.724394988</v>
      </c>
      <c r="D32" s="33" t="n">
        <f aca="false">B32+C32</f>
        <v>206268.963454799</v>
      </c>
      <c r="E32" s="33" t="n">
        <f aca="false">INDEX(Tilgungsplan!$O$7:$O$426,A32*12)</f>
        <v>2660963.53873117</v>
      </c>
      <c r="F32" s="33" t="n">
        <f aca="false">INDEX(Tilgungsplan!$E$7:$E$426,A32*12)+INDEX(Tilgungsplan!$H$7:$H$426,A32*12)</f>
        <v>1716071.32847056</v>
      </c>
      <c r="G32" s="7" t="s">
        <v>371</v>
      </c>
    </row>
    <row r="33" customFormat="false" ht="15" hidden="false" customHeight="false" outlineLevel="0" collapsed="false">
      <c r="A33" s="28" t="n">
        <v>29</v>
      </c>
      <c r="B33" s="33" t="n">
        <f aca="false">SUMIFS(Tilgungsplan!$L$7:$L$426,Tilgungsplan!$B$7:$B$426,A33)</f>
        <v>82031.5717256385</v>
      </c>
      <c r="C33" s="33" t="n">
        <f aca="false">SUMIFS(Tilgungsplan!$M$7:$M$426,Tilgungsplan!$B$7:$B$426,A33)</f>
        <v>124237.391729161</v>
      </c>
      <c r="D33" s="33" t="n">
        <f aca="false">B33+C33</f>
        <v>206268.963454799</v>
      </c>
      <c r="E33" s="33" t="n">
        <f aca="false">INDEX(Tilgungsplan!$O$7:$O$426,A33*12)</f>
        <v>2536726.14700201</v>
      </c>
      <c r="F33" s="33" t="n">
        <f aca="false">INDEX(Tilgungsplan!$E$7:$E$426,A33*12)+INDEX(Tilgungsplan!$H$7:$H$426,A33*12)</f>
        <v>1652511.61529372</v>
      </c>
      <c r="G33" s="7" t="s">
        <v>371</v>
      </c>
    </row>
    <row r="34" customFormat="false" ht="15" hidden="false" customHeight="false" outlineLevel="0" collapsed="false">
      <c r="A34" s="28" t="n">
        <v>30</v>
      </c>
      <c r="B34" s="33" t="n">
        <f aca="false">SUMIFS(Tilgungsplan!$L$7:$L$426,Tilgungsplan!$B$7:$B$426,A34)</f>
        <v>77814.106937197</v>
      </c>
      <c r="C34" s="33" t="n">
        <f aca="false">SUMIFS(Tilgungsplan!$M$7:$M$426,Tilgungsplan!$B$7:$B$426,A34)</f>
        <v>128454.856517602</v>
      </c>
      <c r="D34" s="33" t="n">
        <f aca="false">B34+C34</f>
        <v>206268.963454799</v>
      </c>
      <c r="E34" s="33" t="n">
        <f aca="false">INDEX(Tilgungsplan!$O$7:$O$426,A34*12)</f>
        <v>2408271.29048441</v>
      </c>
      <c r="F34" s="33" t="n">
        <f aca="false">INDEX(Tilgungsplan!$E$7:$E$426,A34*12)+INDEX(Tilgungsplan!$H$7:$H$426,A34*12)</f>
        <v>1587206.53957345</v>
      </c>
      <c r="G34" s="7" t="s">
        <v>371</v>
      </c>
    </row>
    <row r="35" customFormat="false" ht="15" hidden="false" customHeight="false" outlineLevel="0" collapsed="false">
      <c r="A35" s="28" t="n">
        <v>31</v>
      </c>
      <c r="B35" s="33" t="n">
        <f aca="false">SUMIFS(Tilgungsplan!$L$7:$L$426,Tilgungsplan!$B$7:$B$426,A35)</f>
        <v>73447.5888825035</v>
      </c>
      <c r="C35" s="33" t="n">
        <f aca="false">SUMIFS(Tilgungsplan!$M$7:$M$426,Tilgungsplan!$B$7:$B$426,A35)</f>
        <v>132821.374572296</v>
      </c>
      <c r="D35" s="33" t="n">
        <f aca="false">B35+C35</f>
        <v>206268.963454799</v>
      </c>
      <c r="E35" s="33" t="n">
        <f aca="false">INDEX(Tilgungsplan!$O$7:$O$426,A35*12)</f>
        <v>2275449.91591211</v>
      </c>
      <c r="F35" s="33" t="n">
        <f aca="false">INDEX(Tilgungsplan!$E$7:$E$426,A35*12)+INDEX(Tilgungsplan!$H$7:$H$426,A35*12)</f>
        <v>1520107.76530322</v>
      </c>
      <c r="G35" s="7" t="s">
        <v>371</v>
      </c>
    </row>
    <row r="36" customFormat="false" ht="15" hidden="false" customHeight="false" outlineLevel="0" collapsed="false">
      <c r="A36" s="28" t="n">
        <v>32</v>
      </c>
      <c r="B36" s="33" t="n">
        <f aca="false">SUMIFS(Tilgungsplan!$L$7:$L$426,Tilgungsplan!$B$7:$B$426,A36)</f>
        <v>68926.5641411612</v>
      </c>
      <c r="C36" s="33" t="n">
        <f aca="false">SUMIFS(Tilgungsplan!$M$7:$M$426,Tilgungsplan!$B$7:$B$426,A36)</f>
        <v>137342.399313638</v>
      </c>
      <c r="D36" s="33" t="n">
        <f aca="false">B36+C36</f>
        <v>206268.963454799</v>
      </c>
      <c r="E36" s="33" t="n">
        <f aca="false">INDEX(Tilgungsplan!$O$7:$O$426,A36*12)</f>
        <v>2138107.51659847</v>
      </c>
      <c r="F36" s="33" t="n">
        <f aca="false">INDEX(Tilgungsplan!$E$7:$E$426,A36*12)+INDEX(Tilgungsplan!$H$7:$H$426,A36*12)</f>
        <v>1451165.60643265</v>
      </c>
      <c r="G36" s="7" t="s">
        <v>371</v>
      </c>
    </row>
    <row r="37" customFormat="false" ht="15" hidden="false" customHeight="false" outlineLevel="0" collapsed="false">
      <c r="A37" s="28" t="n">
        <v>33</v>
      </c>
      <c r="B37" s="33" t="n">
        <f aca="false">SUMIFS(Tilgungsplan!$L$7:$L$426,Tilgungsplan!$B$7:$B$426,A37)</f>
        <v>64245.3740902131</v>
      </c>
      <c r="C37" s="33" t="n">
        <f aca="false">SUMIFS(Tilgungsplan!$M$7:$M$426,Tilgungsplan!$B$7:$B$426,A37)</f>
        <v>142023.589364586</v>
      </c>
      <c r="D37" s="33" t="n">
        <f aca="false">B37+C37</f>
        <v>206268.963454799</v>
      </c>
      <c r="E37" s="33" t="n">
        <f aca="false">INDEX(Tilgungsplan!$O$7:$O$426,A37*12)</f>
        <v>1996083.92723389</v>
      </c>
      <c r="F37" s="33" t="n">
        <f aca="false">INDEX(Tilgungsplan!$E$7:$E$426,A37*12)+INDEX(Tilgungsplan!$H$7:$H$426,A37*12)</f>
        <v>1380328.98884287</v>
      </c>
      <c r="G37" s="7" t="s">
        <v>371</v>
      </c>
    </row>
    <row r="38" customFormat="false" ht="15" hidden="false" customHeight="false" outlineLevel="0" collapsed="false">
      <c r="A38" s="28" t="n">
        <v>34</v>
      </c>
      <c r="B38" s="33" t="n">
        <f aca="false">SUMIFS(Tilgungsplan!$L$7:$L$426,Tilgungsplan!$B$7:$B$426,A38)</f>
        <v>59398.1470133317</v>
      </c>
      <c r="C38" s="33" t="n">
        <f aca="false">SUMIFS(Tilgungsplan!$M$7:$M$426,Tilgungsplan!$B$7:$B$426,A38)</f>
        <v>146870.816441467</v>
      </c>
      <c r="D38" s="33" t="n">
        <f aca="false">B38+C38</f>
        <v>206268.963454799</v>
      </c>
      <c r="E38" s="33" t="n">
        <f aca="false">INDEX(Tilgungsplan!$O$7:$O$426,A38*12)</f>
        <v>1849213.11079242</v>
      </c>
      <c r="F38" s="33" t="n">
        <f aca="false">INDEX(Tilgungsplan!$E$7:$E$426,A38*12)+INDEX(Tilgungsplan!$H$7:$H$426,A38*12)</f>
        <v>1307545.4112421</v>
      </c>
      <c r="G38" s="7" t="s">
        <v>371</v>
      </c>
    </row>
    <row r="39" customFormat="false" ht="15" hidden="false" customHeight="false" outlineLevel="0" collapsed="false">
      <c r="A39" s="28" t="n">
        <v>35</v>
      </c>
      <c r="B39" s="33" t="n">
        <f aca="false">SUMIFS(Tilgungsplan!$L$7:$L$426,Tilgungsplan!$B$7:$B$426,A39)</f>
        <v>54378.7899016164</v>
      </c>
      <c r="C39" s="33" t="n">
        <f aca="false">SUMIFS(Tilgungsplan!$M$7:$M$426,Tilgungsplan!$B$7:$B$426,A39)</f>
        <v>151890.173553183</v>
      </c>
      <c r="D39" s="33" t="n">
        <f aca="false">B39+C39</f>
        <v>206268.963454799</v>
      </c>
      <c r="E39" s="33" t="n">
        <f aca="false">INDEX(Tilgungsplan!$O$7:$O$426,A39*12)</f>
        <v>1697322.93723924</v>
      </c>
      <c r="F39" s="33" t="n">
        <f aca="false">INDEX(Tilgungsplan!$E$7:$E$426,A39*12)+INDEX(Tilgungsplan!$H$7:$H$426,A39*12)</f>
        <v>1232760.90495065</v>
      </c>
      <c r="G39" s="7" t="s">
        <v>371</v>
      </c>
    </row>
    <row r="41" customFormat="false" ht="15" hidden="false" customHeight="false" outlineLevel="0" collapsed="false">
      <c r="A41" s="29" t="s">
        <v>224</v>
      </c>
      <c r="B41" s="35" t="n">
        <f aca="false">SUM(B5:B39)</f>
        <v>4021857.38906122</v>
      </c>
      <c r="C41" s="35" t="n">
        <f aca="false">SUM(C5:C39)</f>
        <v>3197556.33185675</v>
      </c>
      <c r="D41" s="35" t="n">
        <f aca="false">SUM(D5:D39)</f>
        <v>7219413.72091797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O4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15"/>
    <col collapsed="false" customWidth="true" hidden="false" outlineLevel="0" max="14" min="12" style="0" width="14"/>
    <col collapsed="false" customWidth="true" hidden="false" outlineLevel="0" max="15" min="15" style="0" width="16"/>
  </cols>
  <sheetData>
    <row r="1" customFormat="false" ht="19.7" hidden="false" customHeight="false" outlineLevel="0" collapsed="false">
      <c r="A1" s="1" t="s">
        <v>372</v>
      </c>
    </row>
    <row r="2" customFormat="false" ht="15" hidden="false" customHeight="false" outlineLevel="0" collapsed="false">
      <c r="A2" s="2" t="s">
        <v>373</v>
      </c>
      <c r="C2" s="44" t="s">
        <v>374</v>
      </c>
      <c r="F2" s="44" t="s">
        <v>375</v>
      </c>
      <c r="I2" s="44" t="s">
        <v>376</v>
      </c>
      <c r="N2" s="44" t="s">
        <v>224</v>
      </c>
    </row>
    <row r="3" customFormat="false" ht="15" hidden="false" customHeight="false" outlineLevel="0" collapsed="false">
      <c r="A3" s="44" t="s">
        <v>377</v>
      </c>
      <c r="C3" s="35" t="n">
        <f aca="false">E6*(Annahmen!$B$58+Annahmen!$B$61)/12</f>
        <v>5250</v>
      </c>
      <c r="F3" s="35" t="n">
        <f aca="false">H6*(Annahmen!$B$59+Annahmen!$B$61)/12</f>
        <v>3825</v>
      </c>
      <c r="I3" s="35" t="n">
        <f aca="false">K6*(Annahmen!$B$60+Annahmen!$B$61)/12</f>
        <v>8114.08028789992</v>
      </c>
      <c r="N3" s="47" t="n">
        <f aca="false">C3+F3+I3</f>
        <v>17189.0802878999</v>
      </c>
    </row>
    <row r="5" customFormat="false" ht="42" hidden="false" customHeight="true" outlineLevel="0" collapsed="false">
      <c r="A5" s="3" t="s">
        <v>341</v>
      </c>
      <c r="B5" s="4" t="s">
        <v>363</v>
      </c>
      <c r="C5" s="4" t="s">
        <v>378</v>
      </c>
      <c r="D5" s="4" t="s">
        <v>379</v>
      </c>
      <c r="E5" s="4" t="s">
        <v>380</v>
      </c>
      <c r="F5" s="4" t="s">
        <v>381</v>
      </c>
      <c r="G5" s="4" t="s">
        <v>382</v>
      </c>
      <c r="H5" s="4" t="s">
        <v>383</v>
      </c>
      <c r="I5" s="4" t="s">
        <v>384</v>
      </c>
      <c r="J5" s="4" t="s">
        <v>385</v>
      </c>
      <c r="K5" s="4" t="s">
        <v>386</v>
      </c>
      <c r="L5" s="4" t="s">
        <v>387</v>
      </c>
      <c r="M5" s="4" t="s">
        <v>388</v>
      </c>
      <c r="N5" s="4" t="s">
        <v>389</v>
      </c>
      <c r="O5" s="4" t="s">
        <v>390</v>
      </c>
    </row>
    <row r="6" customFormat="false" ht="15" hidden="false" customHeight="false" outlineLevel="0" collapsed="false">
      <c r="A6" s="28" t="n">
        <v>0</v>
      </c>
      <c r="B6" s="28" t="n">
        <v>0</v>
      </c>
      <c r="E6" s="33" t="n">
        <f aca="false">Bauphase!L33</f>
        <v>1800000</v>
      </c>
      <c r="H6" s="33" t="n">
        <f aca="false">Bauphase!M33</f>
        <v>1147500</v>
      </c>
      <c r="K6" s="33" t="n">
        <f aca="false">Bauphase!N33</f>
        <v>1947379.26909598</v>
      </c>
      <c r="O6" s="33" t="n">
        <f aca="false">E6+H6+K6</f>
        <v>4894879.26909598</v>
      </c>
    </row>
    <row r="7" customFormat="false" ht="15" hidden="false" customHeight="false" outlineLevel="0" collapsed="false">
      <c r="A7" s="49" t="n">
        <v>1</v>
      </c>
      <c r="B7" s="49" t="n">
        <f aca="false">ROUNDUP(A7/12,0)</f>
        <v>1</v>
      </c>
      <c r="C7" s="50" t="n">
        <f aca="false">E6*Annahmen!$B$58/12</f>
        <v>3750</v>
      </c>
      <c r="D7" s="50" t="n">
        <f aca="false">MIN($C$3-C7,E6)</f>
        <v>1500</v>
      </c>
      <c r="E7" s="50" t="n">
        <f aca="false">E6-D7</f>
        <v>1798500</v>
      </c>
      <c r="F7" s="50" t="n">
        <f aca="false">H6*Annahmen!$B$59/12</f>
        <v>2868.75</v>
      </c>
      <c r="G7" s="50" t="n">
        <f aca="false">MIN($F$3-F7,H6)</f>
        <v>956.250000000001</v>
      </c>
      <c r="H7" s="50" t="n">
        <f aca="false">H6-G7</f>
        <v>1146543.75</v>
      </c>
      <c r="I7" s="50" t="n">
        <f aca="false">K6*Annahmen!$B$60/12</f>
        <v>6491.26423031994</v>
      </c>
      <c r="J7" s="50" t="n">
        <f aca="false">MIN($I$3-I7,K6)</f>
        <v>1622.81605757998</v>
      </c>
      <c r="K7" s="50" t="n">
        <f aca="false">K6-J7</f>
        <v>1945756.4530384</v>
      </c>
      <c r="L7" s="50" t="n">
        <f aca="false">C7+F7+I7</f>
        <v>13110.0142303199</v>
      </c>
      <c r="M7" s="50" t="n">
        <f aca="false">D7+G7+J7</f>
        <v>4079.06605757999</v>
      </c>
      <c r="N7" s="50" t="n">
        <f aca="false">L7+M7</f>
        <v>17189.0802878999</v>
      </c>
      <c r="O7" s="50" t="n">
        <f aca="false">E7+H7+K7</f>
        <v>4890800.2030384</v>
      </c>
    </row>
    <row r="8" customFormat="false" ht="15" hidden="false" customHeight="false" outlineLevel="0" collapsed="false">
      <c r="A8" s="49" t="n">
        <v>2</v>
      </c>
      <c r="B8" s="49" t="n">
        <f aca="false">ROUNDUP(A8/12,0)</f>
        <v>1</v>
      </c>
      <c r="C8" s="50" t="n">
        <f aca="false">E7*Annahmen!$B$58/12</f>
        <v>3746.875</v>
      </c>
      <c r="D8" s="50" t="n">
        <f aca="false">MIN($C$3-C8,E7)</f>
        <v>1503.125</v>
      </c>
      <c r="E8" s="50" t="n">
        <f aca="false">E7-D8</f>
        <v>1796996.875</v>
      </c>
      <c r="F8" s="50" t="n">
        <f aca="false">H7*Annahmen!$B$59/12</f>
        <v>2866.359375</v>
      </c>
      <c r="G8" s="50" t="n">
        <f aca="false">MIN($F$3-F8,H7)</f>
        <v>958.640625000001</v>
      </c>
      <c r="H8" s="50" t="n">
        <f aca="false">H7-G8</f>
        <v>1145585.109375</v>
      </c>
      <c r="I8" s="50" t="n">
        <f aca="false">K7*Annahmen!$B$60/12</f>
        <v>6485.85484346134</v>
      </c>
      <c r="J8" s="50" t="n">
        <f aca="false">MIN($I$3-I8,K7)</f>
        <v>1628.22544443858</v>
      </c>
      <c r="K8" s="50" t="n">
        <f aca="false">K7-J8</f>
        <v>1944128.22759396</v>
      </c>
      <c r="L8" s="50" t="n">
        <f aca="false">C8+F8+I8</f>
        <v>13099.0892184613</v>
      </c>
      <c r="M8" s="50" t="n">
        <f aca="false">D8+G8+J8</f>
        <v>4089.99106943859</v>
      </c>
      <c r="N8" s="50" t="n">
        <f aca="false">L8+M8</f>
        <v>17189.0802878999</v>
      </c>
      <c r="O8" s="50" t="n">
        <f aca="false">E8+H8+K8</f>
        <v>4886710.21196896</v>
      </c>
    </row>
    <row r="9" customFormat="false" ht="15" hidden="false" customHeight="false" outlineLevel="0" collapsed="false">
      <c r="A9" s="49" t="n">
        <v>3</v>
      </c>
      <c r="B9" s="49" t="n">
        <f aca="false">ROUNDUP(A9/12,0)</f>
        <v>1</v>
      </c>
      <c r="C9" s="50" t="n">
        <f aca="false">E8*Annahmen!$B$58/12</f>
        <v>3743.74348958334</v>
      </c>
      <c r="D9" s="50" t="n">
        <f aca="false">MIN($C$3-C9,E8)</f>
        <v>1506.25651041667</v>
      </c>
      <c r="E9" s="50" t="n">
        <f aca="false">E8-D9</f>
        <v>1795490.61848958</v>
      </c>
      <c r="F9" s="50" t="n">
        <f aca="false">H8*Annahmen!$B$59/12</f>
        <v>2863.9627734375</v>
      </c>
      <c r="G9" s="50" t="n">
        <f aca="false">MIN($F$3-F9,H8)</f>
        <v>961.037226562501</v>
      </c>
      <c r="H9" s="50" t="n">
        <f aca="false">H8-G9</f>
        <v>1144624.07214844</v>
      </c>
      <c r="I9" s="50" t="n">
        <f aca="false">K8*Annahmen!$B$60/12</f>
        <v>6480.42742531321</v>
      </c>
      <c r="J9" s="50" t="n">
        <f aca="false">MIN($I$3-I9,K8)</f>
        <v>1633.65286258671</v>
      </c>
      <c r="K9" s="50" t="n">
        <f aca="false">K8-J9</f>
        <v>1942494.57473138</v>
      </c>
      <c r="L9" s="50" t="n">
        <f aca="false">C9+F9+I9</f>
        <v>13088.133688334</v>
      </c>
      <c r="M9" s="50" t="n">
        <f aca="false">D9+G9+J9</f>
        <v>4100.94659956588</v>
      </c>
      <c r="N9" s="50" t="n">
        <f aca="false">L9+M9</f>
        <v>17189.0802878999</v>
      </c>
      <c r="O9" s="50" t="n">
        <f aca="false">E9+H9+K9</f>
        <v>4882609.2653694</v>
      </c>
    </row>
    <row r="10" customFormat="false" ht="15" hidden="false" customHeight="false" outlineLevel="0" collapsed="false">
      <c r="A10" s="49" t="n">
        <v>4</v>
      </c>
      <c r="B10" s="49" t="n">
        <f aca="false">ROUNDUP(A10/12,0)</f>
        <v>1</v>
      </c>
      <c r="C10" s="50" t="n">
        <f aca="false">E9*Annahmen!$B$58/12</f>
        <v>3740.60545518663</v>
      </c>
      <c r="D10" s="50" t="n">
        <f aca="false">MIN($C$3-C10,E9)</f>
        <v>1509.39454481337</v>
      </c>
      <c r="E10" s="50" t="n">
        <f aca="false">E9-D10</f>
        <v>1793981.22394477</v>
      </c>
      <c r="F10" s="50" t="n">
        <f aca="false">H9*Annahmen!$B$59/12</f>
        <v>2861.56018037109</v>
      </c>
      <c r="G10" s="50" t="n">
        <f aca="false">MIN($F$3-F10,H9)</f>
        <v>963.439819628907</v>
      </c>
      <c r="H10" s="50" t="n">
        <f aca="false">H9-G10</f>
        <v>1143660.63232881</v>
      </c>
      <c r="I10" s="50" t="n">
        <f aca="false">K9*Annahmen!$B$60/12</f>
        <v>6474.98191577125</v>
      </c>
      <c r="J10" s="50" t="n">
        <f aca="false">MIN($I$3-I10,K9)</f>
        <v>1639.09837212867</v>
      </c>
      <c r="K10" s="50" t="n">
        <f aca="false">K9-J10</f>
        <v>1940855.47635925</v>
      </c>
      <c r="L10" s="50" t="n">
        <f aca="false">C10+F10+I10</f>
        <v>13077.147551329</v>
      </c>
      <c r="M10" s="50" t="n">
        <f aca="false">D10+G10+J10</f>
        <v>4111.93273657095</v>
      </c>
      <c r="N10" s="50" t="n">
        <f aca="false">L10+M10</f>
        <v>17189.0802878999</v>
      </c>
      <c r="O10" s="50" t="n">
        <f aca="false">E10+H10+K10</f>
        <v>4878497.33263283</v>
      </c>
    </row>
    <row r="11" customFormat="false" ht="15" hidden="false" customHeight="false" outlineLevel="0" collapsed="false">
      <c r="A11" s="49" t="n">
        <v>5</v>
      </c>
      <c r="B11" s="49" t="n">
        <f aca="false">ROUNDUP(A11/12,0)</f>
        <v>1</v>
      </c>
      <c r="C11" s="50" t="n">
        <f aca="false">E10*Annahmen!$B$58/12</f>
        <v>3737.46088321827</v>
      </c>
      <c r="D11" s="50" t="n">
        <f aca="false">MIN($C$3-C11,E10)</f>
        <v>1512.53911678173</v>
      </c>
      <c r="E11" s="50" t="n">
        <f aca="false">E10-D11</f>
        <v>1792468.68482799</v>
      </c>
      <c r="F11" s="50" t="n">
        <f aca="false">H10*Annahmen!$B$59/12</f>
        <v>2859.15158082202</v>
      </c>
      <c r="G11" s="50" t="n">
        <f aca="false">MIN($F$3-F11,H10)</f>
        <v>965.848419177979</v>
      </c>
      <c r="H11" s="50" t="n">
        <f aca="false">H10-G11</f>
        <v>1142694.78390963</v>
      </c>
      <c r="I11" s="50" t="n">
        <f aca="false">K10*Annahmen!$B$60/12</f>
        <v>6469.51825453082</v>
      </c>
      <c r="J11" s="50" t="n">
        <f aca="false">MIN($I$3-I11,K10)</f>
        <v>1644.5620333691</v>
      </c>
      <c r="K11" s="50" t="n">
        <f aca="false">K10-J11</f>
        <v>1939210.91432588</v>
      </c>
      <c r="L11" s="50" t="n">
        <f aca="false">C11+F11+I11</f>
        <v>13066.1307185711</v>
      </c>
      <c r="M11" s="50" t="n">
        <f aca="false">D11+G11+J11</f>
        <v>4122.94956932881</v>
      </c>
      <c r="N11" s="50" t="n">
        <f aca="false">L11+M11</f>
        <v>17189.0802878999</v>
      </c>
      <c r="O11" s="50" t="n">
        <f aca="false">E11+H11+K11</f>
        <v>4874374.3830635</v>
      </c>
    </row>
    <row r="12" customFormat="false" ht="15" hidden="false" customHeight="false" outlineLevel="0" collapsed="false">
      <c r="A12" s="49" t="n">
        <v>6</v>
      </c>
      <c r="B12" s="49" t="n">
        <f aca="false">ROUNDUP(A12/12,0)</f>
        <v>1</v>
      </c>
      <c r="C12" s="50" t="n">
        <f aca="false">E11*Annahmen!$B$58/12</f>
        <v>3734.30976005831</v>
      </c>
      <c r="D12" s="50" t="n">
        <f aca="false">MIN($C$3-C12,E11)</f>
        <v>1515.69023994169</v>
      </c>
      <c r="E12" s="50" t="n">
        <f aca="false">E11-D12</f>
        <v>1790952.99458805</v>
      </c>
      <c r="F12" s="50" t="n">
        <f aca="false">H11*Annahmen!$B$59/12</f>
        <v>2856.73695977408</v>
      </c>
      <c r="G12" s="50" t="n">
        <f aca="false">MIN($F$3-F12,H11)</f>
        <v>968.263040225924</v>
      </c>
      <c r="H12" s="50" t="n">
        <f aca="false">H11-G12</f>
        <v>1141726.52086941</v>
      </c>
      <c r="I12" s="50" t="n">
        <f aca="false">K11*Annahmen!$B$60/12</f>
        <v>6464.03638108626</v>
      </c>
      <c r="J12" s="50" t="n">
        <f aca="false">MIN($I$3-I12,K11)</f>
        <v>1650.04390681366</v>
      </c>
      <c r="K12" s="50" t="n">
        <f aca="false">K11-J12</f>
        <v>1937560.87041906</v>
      </c>
      <c r="L12" s="50" t="n">
        <f aca="false">C12+F12+I12</f>
        <v>13055.0831009186</v>
      </c>
      <c r="M12" s="50" t="n">
        <f aca="false">D12+G12+J12</f>
        <v>4133.99718698128</v>
      </c>
      <c r="N12" s="50" t="n">
        <f aca="false">L12+M12</f>
        <v>17189.0802878999</v>
      </c>
      <c r="O12" s="50" t="n">
        <f aca="false">E12+H12+K12</f>
        <v>4870240.38587652</v>
      </c>
    </row>
    <row r="13" customFormat="false" ht="15" hidden="false" customHeight="false" outlineLevel="0" collapsed="false">
      <c r="A13" s="49" t="n">
        <v>7</v>
      </c>
      <c r="B13" s="49" t="n">
        <f aca="false">ROUNDUP(A13/12,0)</f>
        <v>1</v>
      </c>
      <c r="C13" s="50" t="n">
        <f aca="false">E12*Annahmen!$B$58/12</f>
        <v>3731.15207205843</v>
      </c>
      <c r="D13" s="50" t="n">
        <f aca="false">MIN($C$3-C13,E12)</f>
        <v>1518.84792794157</v>
      </c>
      <c r="E13" s="50" t="n">
        <f aca="false">E12-D13</f>
        <v>1789434.14666011</v>
      </c>
      <c r="F13" s="50" t="n">
        <f aca="false">H12*Annahmen!$B$59/12</f>
        <v>2854.31630217351</v>
      </c>
      <c r="G13" s="50" t="n">
        <f aca="false">MIN($F$3-F13,H12)</f>
        <v>970.683697826489</v>
      </c>
      <c r="H13" s="50" t="n">
        <f aca="false">H12-G13</f>
        <v>1140755.83717158</v>
      </c>
      <c r="I13" s="50" t="n">
        <f aca="false">K12*Annahmen!$B$60/12</f>
        <v>6458.53623473021</v>
      </c>
      <c r="J13" s="50" t="n">
        <f aca="false">MIN($I$3-I13,K12)</f>
        <v>1655.54405316971</v>
      </c>
      <c r="K13" s="50" t="n">
        <f aca="false">K12-J13</f>
        <v>1935905.32636589</v>
      </c>
      <c r="L13" s="50" t="n">
        <f aca="false">C13+F13+I13</f>
        <v>13044.0046089622</v>
      </c>
      <c r="M13" s="50" t="n">
        <f aca="false">D13+G13+J13</f>
        <v>4145.07567893777</v>
      </c>
      <c r="N13" s="50" t="n">
        <f aca="false">L13+M13</f>
        <v>17189.0802878999</v>
      </c>
      <c r="O13" s="50" t="n">
        <f aca="false">E13+H13+K13</f>
        <v>4866095.31019758</v>
      </c>
    </row>
    <row r="14" customFormat="false" ht="15" hidden="false" customHeight="false" outlineLevel="0" collapsed="false">
      <c r="A14" s="49" t="n">
        <v>8</v>
      </c>
      <c r="B14" s="49" t="n">
        <f aca="false">ROUNDUP(A14/12,0)</f>
        <v>1</v>
      </c>
      <c r="C14" s="50" t="n">
        <f aca="false">E13*Annahmen!$B$58/12</f>
        <v>3727.98780554189</v>
      </c>
      <c r="D14" s="50" t="n">
        <f aca="false">MIN($C$3-C14,E13)</f>
        <v>1522.01219445812</v>
      </c>
      <c r="E14" s="50" t="n">
        <f aca="false">E13-D14</f>
        <v>1787912.13446565</v>
      </c>
      <c r="F14" s="50" t="n">
        <f aca="false">H13*Annahmen!$B$59/12</f>
        <v>2851.88959292895</v>
      </c>
      <c r="G14" s="50" t="n">
        <f aca="false">MIN($F$3-F14,H13)</f>
        <v>973.110407071055</v>
      </c>
      <c r="H14" s="50" t="n">
        <f aca="false">H13-G14</f>
        <v>1139782.72676451</v>
      </c>
      <c r="I14" s="50" t="n">
        <f aca="false">K13*Annahmen!$B$60/12</f>
        <v>6453.01775455298</v>
      </c>
      <c r="J14" s="50" t="n">
        <f aca="false">MIN($I$3-I14,K13)</f>
        <v>1661.06253334694</v>
      </c>
      <c r="K14" s="50" t="n">
        <f aca="false">K13-J14</f>
        <v>1934244.26383255</v>
      </c>
      <c r="L14" s="50" t="n">
        <f aca="false">C14+F14+I14</f>
        <v>13032.8951530238</v>
      </c>
      <c r="M14" s="50" t="n">
        <f aca="false">D14+G14+J14</f>
        <v>4156.18513487611</v>
      </c>
      <c r="N14" s="50" t="n">
        <f aca="false">L14+M14</f>
        <v>17189.0802878999</v>
      </c>
      <c r="O14" s="50" t="n">
        <f aca="false">E14+H14+K14</f>
        <v>4861939.1250627</v>
      </c>
    </row>
    <row r="15" customFormat="false" ht="15" hidden="false" customHeight="false" outlineLevel="0" collapsed="false">
      <c r="A15" s="49" t="n">
        <v>9</v>
      </c>
      <c r="B15" s="49" t="n">
        <f aca="false">ROUNDUP(A15/12,0)</f>
        <v>1</v>
      </c>
      <c r="C15" s="50" t="n">
        <f aca="false">E14*Annahmen!$B$58/12</f>
        <v>3724.81694680343</v>
      </c>
      <c r="D15" s="50" t="n">
        <f aca="false">MIN($C$3-C15,E14)</f>
        <v>1525.18305319657</v>
      </c>
      <c r="E15" s="50" t="n">
        <f aca="false">E14-D15</f>
        <v>1786386.95141245</v>
      </c>
      <c r="F15" s="50" t="n">
        <f aca="false">H14*Annahmen!$B$59/12</f>
        <v>2849.45681691127</v>
      </c>
      <c r="G15" s="50" t="n">
        <f aca="false">MIN($F$3-F15,H14)</f>
        <v>975.543183088732</v>
      </c>
      <c r="H15" s="50" t="n">
        <f aca="false">H14-G15</f>
        <v>1138807.18358142</v>
      </c>
      <c r="I15" s="50" t="n">
        <f aca="false">K14*Annahmen!$B$60/12</f>
        <v>6447.48087944182</v>
      </c>
      <c r="J15" s="50" t="n">
        <f aca="false">MIN($I$3-I15,K14)</f>
        <v>1666.5994084581</v>
      </c>
      <c r="K15" s="50" t="n">
        <f aca="false">K14-J15</f>
        <v>1932577.66442409</v>
      </c>
      <c r="L15" s="50" t="n">
        <f aca="false">C15+F15+I15</f>
        <v>13021.7546431565</v>
      </c>
      <c r="M15" s="50" t="n">
        <f aca="false">D15+G15+J15</f>
        <v>4167.3256447434</v>
      </c>
      <c r="N15" s="50" t="n">
        <f aca="false">L15+M15</f>
        <v>17189.0802878999</v>
      </c>
      <c r="O15" s="50" t="n">
        <f aca="false">E15+H15+K15</f>
        <v>4857771.79941796</v>
      </c>
    </row>
    <row r="16" customFormat="false" ht="15" hidden="false" customHeight="false" outlineLevel="0" collapsed="false">
      <c r="A16" s="49" t="n">
        <v>10</v>
      </c>
      <c r="B16" s="49" t="n">
        <f aca="false">ROUNDUP(A16/12,0)</f>
        <v>1</v>
      </c>
      <c r="C16" s="50" t="n">
        <f aca="false">E15*Annahmen!$B$58/12</f>
        <v>3721.63948210927</v>
      </c>
      <c r="D16" s="50" t="n">
        <f aca="false">MIN($C$3-C16,E15)</f>
        <v>1528.36051789073</v>
      </c>
      <c r="E16" s="50" t="n">
        <f aca="false">E15-D16</f>
        <v>1784858.59089456</v>
      </c>
      <c r="F16" s="50" t="n">
        <f aca="false">H15*Annahmen!$B$59/12</f>
        <v>2847.01795895355</v>
      </c>
      <c r="G16" s="50" t="n">
        <f aca="false">MIN($F$3-F16,H15)</f>
        <v>977.982041046455</v>
      </c>
      <c r="H16" s="50" t="n">
        <f aca="false">H15-G16</f>
        <v>1137829.20154037</v>
      </c>
      <c r="I16" s="50" t="n">
        <f aca="false">K15*Annahmen!$B$60/12</f>
        <v>6441.9255480803</v>
      </c>
      <c r="J16" s="50" t="n">
        <f aca="false">MIN($I$3-I16,K15)</f>
        <v>1672.15473981962</v>
      </c>
      <c r="K16" s="50" t="n">
        <f aca="false">K15-J16</f>
        <v>1930905.50968427</v>
      </c>
      <c r="L16" s="50" t="n">
        <f aca="false">C16+F16+I16</f>
        <v>13010.5829891431</v>
      </c>
      <c r="M16" s="50" t="n">
        <f aca="false">D16+G16+J16</f>
        <v>4178.49729875681</v>
      </c>
      <c r="N16" s="50" t="n">
        <f aca="false">L16+M16</f>
        <v>17189.0802878999</v>
      </c>
      <c r="O16" s="50" t="n">
        <f aca="false">E16+H16+K16</f>
        <v>4853593.3021192</v>
      </c>
    </row>
    <row r="17" customFormat="false" ht="15" hidden="false" customHeight="false" outlineLevel="0" collapsed="false">
      <c r="A17" s="49" t="n">
        <v>11</v>
      </c>
      <c r="B17" s="49" t="n">
        <f aca="false">ROUNDUP(A17/12,0)</f>
        <v>1</v>
      </c>
      <c r="C17" s="50" t="n">
        <f aca="false">E16*Annahmen!$B$58/12</f>
        <v>3718.455397697</v>
      </c>
      <c r="D17" s="50" t="n">
        <f aca="false">MIN($C$3-C17,E16)</f>
        <v>1531.544602303</v>
      </c>
      <c r="E17" s="50" t="n">
        <f aca="false">E16-D17</f>
        <v>1783327.04629226</v>
      </c>
      <c r="F17" s="50" t="n">
        <f aca="false">H16*Annahmen!$B$59/12</f>
        <v>2844.57300385093</v>
      </c>
      <c r="G17" s="50" t="n">
        <f aca="false">MIN($F$3-F17,H16)</f>
        <v>980.42699614907</v>
      </c>
      <c r="H17" s="50" t="n">
        <f aca="false">H16-G17</f>
        <v>1136848.77454422</v>
      </c>
      <c r="I17" s="50" t="n">
        <f aca="false">K16*Annahmen!$B$60/12</f>
        <v>6436.35169894757</v>
      </c>
      <c r="J17" s="50" t="n">
        <f aca="false">MIN($I$3-I17,K16)</f>
        <v>1677.72858895235</v>
      </c>
      <c r="K17" s="50" t="n">
        <f aca="false">K16-J17</f>
        <v>1929227.78109532</v>
      </c>
      <c r="L17" s="50" t="n">
        <f aca="false">C17+F17+I17</f>
        <v>12999.3801004955</v>
      </c>
      <c r="M17" s="50" t="n">
        <f aca="false">D17+G17+J17</f>
        <v>4189.70018740443</v>
      </c>
      <c r="N17" s="50" t="n">
        <f aca="false">L17+M17</f>
        <v>17189.0802878999</v>
      </c>
      <c r="O17" s="50" t="n">
        <f aca="false">E17+H17+K17</f>
        <v>4849403.6019318</v>
      </c>
    </row>
    <row r="18" customFormat="false" ht="15" hidden="false" customHeight="false" outlineLevel="0" collapsed="false">
      <c r="A18" s="49" t="n">
        <v>12</v>
      </c>
      <c r="B18" s="49" t="n">
        <f aca="false">ROUNDUP(A18/12,0)</f>
        <v>1</v>
      </c>
      <c r="C18" s="50" t="n">
        <f aca="false">E17*Annahmen!$B$58/12</f>
        <v>3715.26467977554</v>
      </c>
      <c r="D18" s="50" t="n">
        <f aca="false">MIN($C$3-C18,E17)</f>
        <v>1534.73532022447</v>
      </c>
      <c r="E18" s="50" t="n">
        <f aca="false">E17-D18</f>
        <v>1781792.31097203</v>
      </c>
      <c r="F18" s="50" t="n">
        <f aca="false">H17*Annahmen!$B$59/12</f>
        <v>2842.12193636056</v>
      </c>
      <c r="G18" s="50" t="n">
        <f aca="false">MIN($F$3-F18,H17)</f>
        <v>982.878063639444</v>
      </c>
      <c r="H18" s="50" t="n">
        <f aca="false">H17-G18</f>
        <v>1135865.89648058</v>
      </c>
      <c r="I18" s="50" t="n">
        <f aca="false">K17*Annahmen!$B$60/12</f>
        <v>6430.75927031772</v>
      </c>
      <c r="J18" s="50" t="n">
        <f aca="false">MIN($I$3-I18,K17)</f>
        <v>1683.3210175822</v>
      </c>
      <c r="K18" s="50" t="n">
        <f aca="false">K17-J18</f>
        <v>1927544.46007773</v>
      </c>
      <c r="L18" s="50" t="n">
        <f aca="false">C18+F18+I18</f>
        <v>12988.1458864538</v>
      </c>
      <c r="M18" s="50" t="n">
        <f aca="false">D18+G18+J18</f>
        <v>4200.93440144611</v>
      </c>
      <c r="N18" s="50" t="n">
        <f aca="false">L18+M18</f>
        <v>17189.0802878999</v>
      </c>
      <c r="O18" s="50" t="n">
        <f aca="false">E18+H18+K18</f>
        <v>4845202.66753035</v>
      </c>
    </row>
    <row r="19" customFormat="false" ht="15" hidden="false" customHeight="false" outlineLevel="0" collapsed="false">
      <c r="A19" s="49" t="n">
        <v>13</v>
      </c>
      <c r="B19" s="49" t="n">
        <f aca="false">ROUNDUP(A19/12,0)</f>
        <v>2</v>
      </c>
      <c r="C19" s="50" t="n">
        <f aca="false">E18*Annahmen!$B$58/12</f>
        <v>3712.06731452507</v>
      </c>
      <c r="D19" s="50" t="n">
        <f aca="false">MIN($C$3-C19,E18)</f>
        <v>1537.93268547493</v>
      </c>
      <c r="E19" s="50" t="n">
        <f aca="false">E18-D19</f>
        <v>1780254.37828656</v>
      </c>
      <c r="F19" s="50" t="n">
        <f aca="false">H18*Annahmen!$B$59/12</f>
        <v>2839.66474120146</v>
      </c>
      <c r="G19" s="50" t="n">
        <f aca="false">MIN($F$3-F19,H18)</f>
        <v>985.335258798541</v>
      </c>
      <c r="H19" s="50" t="n">
        <f aca="false">H18-G19</f>
        <v>1134880.56122179</v>
      </c>
      <c r="I19" s="50" t="n">
        <f aca="false">K18*Annahmen!$B$60/12</f>
        <v>6425.14820025912</v>
      </c>
      <c r="J19" s="50" t="n">
        <f aca="false">MIN($I$3-I19,K18)</f>
        <v>1688.9320876408</v>
      </c>
      <c r="K19" s="50" t="n">
        <f aca="false">K18-J19</f>
        <v>1925855.52799009</v>
      </c>
      <c r="L19" s="50" t="n">
        <f aca="false">C19+F19+I19</f>
        <v>12976.8802559856</v>
      </c>
      <c r="M19" s="50" t="n">
        <f aca="false">D19+G19+J19</f>
        <v>4212.20003191428</v>
      </c>
      <c r="N19" s="50" t="n">
        <f aca="false">L19+M19</f>
        <v>17189.0802878999</v>
      </c>
      <c r="O19" s="50" t="n">
        <f aca="false">E19+H19+K19</f>
        <v>4840990.46749844</v>
      </c>
    </row>
    <row r="20" customFormat="false" ht="15" hidden="false" customHeight="false" outlineLevel="0" collapsed="false">
      <c r="A20" s="49" t="n">
        <v>14</v>
      </c>
      <c r="B20" s="49" t="n">
        <f aca="false">ROUNDUP(A20/12,0)</f>
        <v>2</v>
      </c>
      <c r="C20" s="50" t="n">
        <f aca="false">E19*Annahmen!$B$58/12</f>
        <v>3708.863288097</v>
      </c>
      <c r="D20" s="50" t="n">
        <f aca="false">MIN($C$3-C20,E19)</f>
        <v>1541.13671190301</v>
      </c>
      <c r="E20" s="50" t="n">
        <f aca="false">E19-D20</f>
        <v>1778713.24157466</v>
      </c>
      <c r="F20" s="50" t="n">
        <f aca="false">H19*Annahmen!$B$59/12</f>
        <v>2837.20140305446</v>
      </c>
      <c r="G20" s="50" t="n">
        <f aca="false">MIN($F$3-F20,H19)</f>
        <v>987.798596945538</v>
      </c>
      <c r="H20" s="50" t="n">
        <f aca="false">H19-G20</f>
        <v>1133892.76262484</v>
      </c>
      <c r="I20" s="50" t="n">
        <f aca="false">K19*Annahmen!$B$60/12</f>
        <v>6419.51842663365</v>
      </c>
      <c r="J20" s="50" t="n">
        <f aca="false">MIN($I$3-I20,K19)</f>
        <v>1694.56186126627</v>
      </c>
      <c r="K20" s="50" t="n">
        <f aca="false">K19-J20</f>
        <v>1924160.96612883</v>
      </c>
      <c r="L20" s="50" t="n">
        <f aca="false">C20+F20+I20</f>
        <v>12965.5831177851</v>
      </c>
      <c r="M20" s="50" t="n">
        <f aca="false">D20+G20+J20</f>
        <v>4223.49717011482</v>
      </c>
      <c r="N20" s="50" t="n">
        <f aca="false">L20+M20</f>
        <v>17189.0802878999</v>
      </c>
      <c r="O20" s="50" t="n">
        <f aca="false">E20+H20+K20</f>
        <v>4836766.97032832</v>
      </c>
    </row>
    <row r="21" customFormat="false" ht="15" hidden="false" customHeight="false" outlineLevel="0" collapsed="false">
      <c r="A21" s="49" t="n">
        <v>15</v>
      </c>
      <c r="B21" s="49" t="n">
        <f aca="false">ROUNDUP(A21/12,0)</f>
        <v>2</v>
      </c>
      <c r="C21" s="50" t="n">
        <f aca="false">E20*Annahmen!$B$58/12</f>
        <v>3705.65258661387</v>
      </c>
      <c r="D21" s="50" t="n">
        <f aca="false">MIN($C$3-C21,E20)</f>
        <v>1544.34741338614</v>
      </c>
      <c r="E21" s="50" t="n">
        <f aca="false">E20-D21</f>
        <v>1777168.89416127</v>
      </c>
      <c r="F21" s="50" t="n">
        <f aca="false">H20*Annahmen!$B$59/12</f>
        <v>2834.7319065621</v>
      </c>
      <c r="G21" s="50" t="n">
        <f aca="false">MIN($F$3-F21,H20)</f>
        <v>990.268093437902</v>
      </c>
      <c r="H21" s="50" t="n">
        <f aca="false">H20-G21</f>
        <v>1132902.4945314</v>
      </c>
      <c r="I21" s="50" t="n">
        <f aca="false">K20*Annahmen!$B$60/12</f>
        <v>6413.86988709609</v>
      </c>
      <c r="J21" s="50" t="n">
        <f aca="false">MIN($I$3-I21,K20)</f>
        <v>1700.21040080383</v>
      </c>
      <c r="K21" s="50" t="n">
        <f aca="false">K20-J21</f>
        <v>1922460.75572802</v>
      </c>
      <c r="L21" s="50" t="n">
        <f aca="false">C21+F21+I21</f>
        <v>12954.2543802721</v>
      </c>
      <c r="M21" s="50" t="n">
        <f aca="false">D21+G21+J21</f>
        <v>4234.82590762787</v>
      </c>
      <c r="N21" s="50" t="n">
        <f aca="false">L21+M21</f>
        <v>17189.0802878999</v>
      </c>
      <c r="O21" s="50" t="n">
        <f aca="false">E21+H21+K21</f>
        <v>4832532.1444207</v>
      </c>
    </row>
    <row r="22" customFormat="false" ht="15" hidden="false" customHeight="false" outlineLevel="0" collapsed="false">
      <c r="A22" s="49" t="n">
        <v>16</v>
      </c>
      <c r="B22" s="49" t="n">
        <f aca="false">ROUNDUP(A22/12,0)</f>
        <v>2</v>
      </c>
      <c r="C22" s="50" t="n">
        <f aca="false">E21*Annahmen!$B$58/12</f>
        <v>3702.43519616931</v>
      </c>
      <c r="D22" s="50" t="n">
        <f aca="false">MIN($C$3-C22,E21)</f>
        <v>1547.56480383069</v>
      </c>
      <c r="E22" s="50" t="n">
        <f aca="false">E21-D22</f>
        <v>1775621.32935744</v>
      </c>
      <c r="F22" s="50" t="n">
        <f aca="false">H21*Annahmen!$B$59/12</f>
        <v>2832.25623632851</v>
      </c>
      <c r="G22" s="50" t="n">
        <f aca="false">MIN($F$3-F22,H21)</f>
        <v>992.743763671497</v>
      </c>
      <c r="H22" s="50" t="n">
        <f aca="false">H21-G22</f>
        <v>1131909.75076773</v>
      </c>
      <c r="I22" s="50" t="n">
        <f aca="false">K21*Annahmen!$B$60/12</f>
        <v>6408.20251909341</v>
      </c>
      <c r="J22" s="50" t="n">
        <f aca="false">MIN($I$3-I22,K21)</f>
        <v>1705.87776880651</v>
      </c>
      <c r="K22" s="50" t="n">
        <f aca="false">K21-J22</f>
        <v>1920754.87795922</v>
      </c>
      <c r="L22" s="50" t="n">
        <f aca="false">C22+F22+I22</f>
        <v>12942.8939515912</v>
      </c>
      <c r="M22" s="50" t="n">
        <f aca="false">D22+G22+J22</f>
        <v>4246.1863363087</v>
      </c>
      <c r="N22" s="50" t="n">
        <f aca="false">L22+M22</f>
        <v>17189.0802878999</v>
      </c>
      <c r="O22" s="50" t="n">
        <f aca="false">E22+H22+K22</f>
        <v>4828285.95808439</v>
      </c>
    </row>
    <row r="23" customFormat="false" ht="15" hidden="false" customHeight="false" outlineLevel="0" collapsed="false">
      <c r="A23" s="49" t="n">
        <v>17</v>
      </c>
      <c r="B23" s="49" t="n">
        <f aca="false">ROUNDUP(A23/12,0)</f>
        <v>2</v>
      </c>
      <c r="C23" s="50" t="n">
        <f aca="false">E22*Annahmen!$B$58/12</f>
        <v>3699.211102828</v>
      </c>
      <c r="D23" s="50" t="n">
        <f aca="false">MIN($C$3-C23,E22)</f>
        <v>1550.78889717201</v>
      </c>
      <c r="E23" s="50" t="n">
        <f aca="false">E22-D23</f>
        <v>1774070.54046027</v>
      </c>
      <c r="F23" s="50" t="n">
        <f aca="false">H22*Annahmen!$B$59/12</f>
        <v>2829.77437691933</v>
      </c>
      <c r="G23" s="50" t="n">
        <f aca="false">MIN($F$3-F23,H22)</f>
        <v>995.225623080676</v>
      </c>
      <c r="H23" s="50" t="n">
        <f aca="false">H22-G23</f>
        <v>1130914.52514465</v>
      </c>
      <c r="I23" s="50" t="n">
        <f aca="false">K22*Annahmen!$B$60/12</f>
        <v>6402.51625986406</v>
      </c>
      <c r="J23" s="50" t="n">
        <f aca="false">MIN($I$3-I23,K22)</f>
        <v>1711.56402803586</v>
      </c>
      <c r="K23" s="50" t="n">
        <f aca="false">K22-J23</f>
        <v>1919043.31393118</v>
      </c>
      <c r="L23" s="50" t="n">
        <f aca="false">C23+F23+I23</f>
        <v>12931.5017396114</v>
      </c>
      <c r="M23" s="50" t="n">
        <f aca="false">D23+G23+J23</f>
        <v>4257.57854828854</v>
      </c>
      <c r="N23" s="50" t="n">
        <f aca="false">L23+M23</f>
        <v>17189.0802878999</v>
      </c>
      <c r="O23" s="50" t="n">
        <f aca="false">E23+H23+K23</f>
        <v>4824028.3795361</v>
      </c>
    </row>
    <row r="24" customFormat="false" ht="15" hidden="false" customHeight="false" outlineLevel="0" collapsed="false">
      <c r="A24" s="49" t="n">
        <v>18</v>
      </c>
      <c r="B24" s="49" t="n">
        <f aca="false">ROUNDUP(A24/12,0)</f>
        <v>2</v>
      </c>
      <c r="C24" s="50" t="n">
        <f aca="false">E23*Annahmen!$B$58/12</f>
        <v>3695.98029262555</v>
      </c>
      <c r="D24" s="50" t="n">
        <f aca="false">MIN($C$3-C24,E23)</f>
        <v>1554.01970737445</v>
      </c>
      <c r="E24" s="50" t="n">
        <f aca="false">E23-D24</f>
        <v>1772516.52075289</v>
      </c>
      <c r="F24" s="50" t="n">
        <f aca="false">H23*Annahmen!$B$59/12</f>
        <v>2827.28631286162</v>
      </c>
      <c r="G24" s="50" t="n">
        <f aca="false">MIN($F$3-F24,H23)</f>
        <v>997.713687138377</v>
      </c>
      <c r="H24" s="50" t="n">
        <f aca="false">H23-G24</f>
        <v>1129916.81145751</v>
      </c>
      <c r="I24" s="50" t="n">
        <f aca="false">K23*Annahmen!$B$60/12</f>
        <v>6396.81104643727</v>
      </c>
      <c r="J24" s="50" t="n">
        <f aca="false">MIN($I$3-I24,K23)</f>
        <v>1717.26924146265</v>
      </c>
      <c r="K24" s="50" t="n">
        <f aca="false">K23-J24</f>
        <v>1917326.04468972</v>
      </c>
      <c r="L24" s="50" t="n">
        <f aca="false">C24+F24+I24</f>
        <v>12920.0776519245</v>
      </c>
      <c r="M24" s="50" t="n">
        <f aca="false">D24+G24+J24</f>
        <v>4269.00263597547</v>
      </c>
      <c r="N24" s="50" t="n">
        <f aca="false">L24+M24</f>
        <v>17189.0802878999</v>
      </c>
      <c r="O24" s="50" t="n">
        <f aca="false">E24+H24+K24</f>
        <v>4819759.37690012</v>
      </c>
    </row>
    <row r="25" customFormat="false" ht="15" hidden="false" customHeight="false" outlineLevel="0" collapsed="false">
      <c r="A25" s="49" t="n">
        <v>19</v>
      </c>
      <c r="B25" s="49" t="n">
        <f aca="false">ROUNDUP(A25/12,0)</f>
        <v>2</v>
      </c>
      <c r="C25" s="50" t="n">
        <f aca="false">E24*Annahmen!$B$58/12</f>
        <v>3692.74275156852</v>
      </c>
      <c r="D25" s="50" t="n">
        <f aca="false">MIN($C$3-C25,E24)</f>
        <v>1557.25724843148</v>
      </c>
      <c r="E25" s="50" t="n">
        <f aca="false">E24-D25</f>
        <v>1770959.26350446</v>
      </c>
      <c r="F25" s="50" t="n">
        <f aca="false">H24*Annahmen!$B$59/12</f>
        <v>2824.79202864378</v>
      </c>
      <c r="G25" s="50" t="n">
        <f aca="false">MIN($F$3-F25,H24)</f>
        <v>1000.20797135622</v>
      </c>
      <c r="H25" s="50" t="n">
        <f aca="false">H24-G25</f>
        <v>1128916.60348616</v>
      </c>
      <c r="I25" s="50" t="n">
        <f aca="false">K24*Annahmen!$B$60/12</f>
        <v>6391.0868156324</v>
      </c>
      <c r="J25" s="50" t="n">
        <f aca="false">MIN($I$3-I25,K24)</f>
        <v>1722.99347226752</v>
      </c>
      <c r="K25" s="50" t="n">
        <f aca="false">K24-J25</f>
        <v>1915603.05121745</v>
      </c>
      <c r="L25" s="50" t="n">
        <f aca="false">C25+F25+I25</f>
        <v>12908.6215958447</v>
      </c>
      <c r="M25" s="50" t="n">
        <f aca="false">D25+G25+J25</f>
        <v>4280.45869205523</v>
      </c>
      <c r="N25" s="50" t="n">
        <f aca="false">L25+M25</f>
        <v>17189.0802878999</v>
      </c>
      <c r="O25" s="50" t="n">
        <f aca="false">E25+H25+K25</f>
        <v>4815478.91820807</v>
      </c>
    </row>
    <row r="26" customFormat="false" ht="15" hidden="false" customHeight="false" outlineLevel="0" collapsed="false">
      <c r="A26" s="49" t="n">
        <v>20</v>
      </c>
      <c r="B26" s="49" t="n">
        <f aca="false">ROUNDUP(A26/12,0)</f>
        <v>2</v>
      </c>
      <c r="C26" s="50" t="n">
        <f aca="false">E25*Annahmen!$B$58/12</f>
        <v>3689.49846563429</v>
      </c>
      <c r="D26" s="50" t="n">
        <f aca="false">MIN($C$3-C26,E25)</f>
        <v>1560.50153436571</v>
      </c>
      <c r="E26" s="50" t="n">
        <f aca="false">E25-D26</f>
        <v>1769398.76197009</v>
      </c>
      <c r="F26" s="50" t="n">
        <f aca="false">H25*Annahmen!$B$59/12</f>
        <v>2822.29150871539</v>
      </c>
      <c r="G26" s="50" t="n">
        <f aca="false">MIN($F$3-F26,H25)</f>
        <v>1002.70849128461</v>
      </c>
      <c r="H26" s="50" t="n">
        <f aca="false">H25-G26</f>
        <v>1127913.89499487</v>
      </c>
      <c r="I26" s="50" t="n">
        <f aca="false">K25*Annahmen!$B$60/12</f>
        <v>6385.34350405817</v>
      </c>
      <c r="J26" s="50" t="n">
        <f aca="false">MIN($I$3-I26,K25)</f>
        <v>1728.73678384175</v>
      </c>
      <c r="K26" s="50" t="n">
        <f aca="false">K25-J26</f>
        <v>1913874.31443361</v>
      </c>
      <c r="L26" s="50" t="n">
        <f aca="false">C26+F26+I26</f>
        <v>12897.1334784079</v>
      </c>
      <c r="M26" s="50" t="n">
        <f aca="false">D26+G26+J26</f>
        <v>4291.94680949207</v>
      </c>
      <c r="N26" s="50" t="n">
        <f aca="false">L26+M26</f>
        <v>17189.0802878999</v>
      </c>
      <c r="O26" s="50" t="n">
        <f aca="false">E26+H26+K26</f>
        <v>4811186.97139858</v>
      </c>
    </row>
    <row r="27" customFormat="false" ht="15" hidden="false" customHeight="false" outlineLevel="0" collapsed="false">
      <c r="A27" s="49" t="n">
        <v>21</v>
      </c>
      <c r="B27" s="49" t="n">
        <f aca="false">ROUNDUP(A27/12,0)</f>
        <v>2</v>
      </c>
      <c r="C27" s="50" t="n">
        <f aca="false">E26*Annahmen!$B$58/12</f>
        <v>3686.24742077103</v>
      </c>
      <c r="D27" s="50" t="n">
        <f aca="false">MIN($C$3-C27,E26)</f>
        <v>1563.75257922897</v>
      </c>
      <c r="E27" s="50" t="n">
        <f aca="false">E26-D27</f>
        <v>1767835.00939087</v>
      </c>
      <c r="F27" s="50" t="n">
        <f aca="false">H26*Annahmen!$B$59/12</f>
        <v>2819.78473748718</v>
      </c>
      <c r="G27" s="50" t="n">
        <f aca="false">MIN($F$3-F27,H26)</f>
        <v>1005.21526251283</v>
      </c>
      <c r="H27" s="50" t="n">
        <f aca="false">H26-G27</f>
        <v>1126908.67973236</v>
      </c>
      <c r="I27" s="50" t="n">
        <f aca="false">K26*Annahmen!$B$60/12</f>
        <v>6379.58104811203</v>
      </c>
      <c r="J27" s="50" t="n">
        <f aca="false">MIN($I$3-I27,K26)</f>
        <v>1734.49923978789</v>
      </c>
      <c r="K27" s="50" t="n">
        <f aca="false">K26-J27</f>
        <v>1912139.81519382</v>
      </c>
      <c r="L27" s="50" t="n">
        <f aca="false">C27+F27+I27</f>
        <v>12885.6132063702</v>
      </c>
      <c r="M27" s="50" t="n">
        <f aca="false">D27+G27+J27</f>
        <v>4303.46708152969</v>
      </c>
      <c r="N27" s="50" t="n">
        <f aca="false">L27+M27</f>
        <v>17189.0802878999</v>
      </c>
      <c r="O27" s="50" t="n">
        <f aca="false">E27+H27+K27</f>
        <v>4806883.50431705</v>
      </c>
    </row>
    <row r="28" customFormat="false" ht="15" hidden="false" customHeight="false" outlineLevel="0" collapsed="false">
      <c r="A28" s="49" t="n">
        <v>22</v>
      </c>
      <c r="B28" s="49" t="n">
        <f aca="false">ROUNDUP(A28/12,0)</f>
        <v>2</v>
      </c>
      <c r="C28" s="50" t="n">
        <f aca="false">E27*Annahmen!$B$58/12</f>
        <v>3682.98960289764</v>
      </c>
      <c r="D28" s="50" t="n">
        <f aca="false">MIN($C$3-C28,E27)</f>
        <v>1567.01039710237</v>
      </c>
      <c r="E28" s="50" t="n">
        <f aca="false">E27-D28</f>
        <v>1766267.99899376</v>
      </c>
      <c r="F28" s="50" t="n">
        <f aca="false">H27*Annahmen!$B$59/12</f>
        <v>2817.27169933089</v>
      </c>
      <c r="G28" s="50" t="n">
        <f aca="false">MIN($F$3-F28,H27)</f>
        <v>1007.72830066911</v>
      </c>
      <c r="H28" s="50" t="n">
        <f aca="false">H27-G28</f>
        <v>1125900.95143169</v>
      </c>
      <c r="I28" s="50" t="n">
        <f aca="false">K27*Annahmen!$B$60/12</f>
        <v>6373.79938397941</v>
      </c>
      <c r="J28" s="50" t="n">
        <f aca="false">MIN($I$3-I28,K27)</f>
        <v>1740.28090392051</v>
      </c>
      <c r="K28" s="50" t="n">
        <f aca="false">K27-J28</f>
        <v>1910399.5342899</v>
      </c>
      <c r="L28" s="50" t="n">
        <f aca="false">C28+F28+I28</f>
        <v>12874.0606862079</v>
      </c>
      <c r="M28" s="50" t="n">
        <f aca="false">D28+G28+J28</f>
        <v>4315.01960169199</v>
      </c>
      <c r="N28" s="50" t="n">
        <f aca="false">L28+M28</f>
        <v>17189.0802878999</v>
      </c>
      <c r="O28" s="50" t="n">
        <f aca="false">E28+H28+K28</f>
        <v>4802568.48471535</v>
      </c>
    </row>
    <row r="29" customFormat="false" ht="15" hidden="false" customHeight="false" outlineLevel="0" collapsed="false">
      <c r="A29" s="49" t="n">
        <v>23</v>
      </c>
      <c r="B29" s="49" t="n">
        <f aca="false">ROUNDUP(A29/12,0)</f>
        <v>2</v>
      </c>
      <c r="C29" s="50" t="n">
        <f aca="false">E28*Annahmen!$B$58/12</f>
        <v>3679.72499790367</v>
      </c>
      <c r="D29" s="50" t="n">
        <f aca="false">MIN($C$3-C29,E28)</f>
        <v>1570.27500209633</v>
      </c>
      <c r="E29" s="50" t="n">
        <f aca="false">E28-D29</f>
        <v>1764697.72399167</v>
      </c>
      <c r="F29" s="50" t="n">
        <f aca="false">H28*Annahmen!$B$59/12</f>
        <v>2814.75237857922</v>
      </c>
      <c r="G29" s="50" t="n">
        <f aca="false">MIN($F$3-F29,H28)</f>
        <v>1010.24762142078</v>
      </c>
      <c r="H29" s="50" t="n">
        <f aca="false">H28-G29</f>
        <v>1124890.70381027</v>
      </c>
      <c r="I29" s="50" t="n">
        <f aca="false">K28*Annahmen!$B$60/12</f>
        <v>6367.998447633</v>
      </c>
      <c r="J29" s="50" t="n">
        <f aca="false">MIN($I$3-I29,K28)</f>
        <v>1746.08184026692</v>
      </c>
      <c r="K29" s="50" t="n">
        <f aca="false">K28-J29</f>
        <v>1908653.45244963</v>
      </c>
      <c r="L29" s="50" t="n">
        <f aca="false">C29+F29+I29</f>
        <v>12862.4758241159</v>
      </c>
      <c r="M29" s="50" t="n">
        <f aca="false">D29+G29+J29</f>
        <v>4326.60446378403</v>
      </c>
      <c r="N29" s="50" t="n">
        <f aca="false">L29+M29</f>
        <v>17189.0802878999</v>
      </c>
      <c r="O29" s="50" t="n">
        <f aca="false">E29+H29+K29</f>
        <v>4798241.88025157</v>
      </c>
    </row>
    <row r="30" customFormat="false" ht="15" hidden="false" customHeight="false" outlineLevel="0" collapsed="false">
      <c r="A30" s="49" t="n">
        <v>24</v>
      </c>
      <c r="B30" s="49" t="n">
        <f aca="false">ROUNDUP(A30/12,0)</f>
        <v>2</v>
      </c>
      <c r="C30" s="50" t="n">
        <f aca="false">E29*Annahmen!$B$58/12</f>
        <v>3676.45359164931</v>
      </c>
      <c r="D30" s="50" t="n">
        <f aca="false">MIN($C$3-C30,E29)</f>
        <v>1573.5464083507</v>
      </c>
      <c r="E30" s="50" t="n">
        <f aca="false">E29-D30</f>
        <v>1763124.17758332</v>
      </c>
      <c r="F30" s="50" t="n">
        <f aca="false">H29*Annahmen!$B$59/12</f>
        <v>2812.22675952567</v>
      </c>
      <c r="G30" s="50" t="n">
        <f aca="false">MIN($F$3-F30,H29)</f>
        <v>1012.77324047433</v>
      </c>
      <c r="H30" s="50" t="n">
        <f aca="false">H29-G30</f>
        <v>1123877.93056979</v>
      </c>
      <c r="I30" s="50" t="n">
        <f aca="false">K29*Annahmen!$B$60/12</f>
        <v>6362.17817483212</v>
      </c>
      <c r="J30" s="50" t="n">
        <f aca="false">MIN($I$3-I30,K29)</f>
        <v>1751.9021130678</v>
      </c>
      <c r="K30" s="50" t="n">
        <f aca="false">K29-J30</f>
        <v>1906901.55033657</v>
      </c>
      <c r="L30" s="50" t="n">
        <f aca="false">C30+F30+I30</f>
        <v>12850.8585260071</v>
      </c>
      <c r="M30" s="50" t="n">
        <f aca="false">D30+G30+J30</f>
        <v>4338.22176189283</v>
      </c>
      <c r="N30" s="50" t="n">
        <f aca="false">L30+M30</f>
        <v>17189.0802878999</v>
      </c>
      <c r="O30" s="50" t="n">
        <f aca="false">E30+H30+K30</f>
        <v>4793903.65848968</v>
      </c>
    </row>
    <row r="31" customFormat="false" ht="15" hidden="false" customHeight="false" outlineLevel="0" collapsed="false">
      <c r="A31" s="49" t="n">
        <v>25</v>
      </c>
      <c r="B31" s="49" t="n">
        <f aca="false">ROUNDUP(A31/12,0)</f>
        <v>3</v>
      </c>
      <c r="C31" s="50" t="n">
        <f aca="false">E30*Annahmen!$B$58/12</f>
        <v>3673.17536996524</v>
      </c>
      <c r="D31" s="50" t="n">
        <f aca="false">MIN($C$3-C31,E30)</f>
        <v>1576.82463003476</v>
      </c>
      <c r="E31" s="50" t="n">
        <f aca="false">E30-D31</f>
        <v>1761547.35295328</v>
      </c>
      <c r="F31" s="50" t="n">
        <f aca="false">H30*Annahmen!$B$59/12</f>
        <v>2809.69482642448</v>
      </c>
      <c r="G31" s="50" t="n">
        <f aca="false">MIN($F$3-F31,H30)</f>
        <v>1015.30517357552</v>
      </c>
      <c r="H31" s="50" t="n">
        <f aca="false">H30-G31</f>
        <v>1122862.62539622</v>
      </c>
      <c r="I31" s="50" t="n">
        <f aca="false">K30*Annahmen!$B$60/12</f>
        <v>6356.33850112189</v>
      </c>
      <c r="J31" s="50" t="n">
        <f aca="false">MIN($I$3-I31,K30)</f>
        <v>1757.74178677803</v>
      </c>
      <c r="K31" s="50" t="n">
        <f aca="false">K30-J31</f>
        <v>1905143.80854979</v>
      </c>
      <c r="L31" s="50" t="n">
        <f aca="false">C31+F31+I31</f>
        <v>12839.2086975116</v>
      </c>
      <c r="M31" s="50" t="n">
        <f aca="false">D31+G31+J31</f>
        <v>4349.87159038831</v>
      </c>
      <c r="N31" s="50" t="n">
        <f aca="false">L31+M31</f>
        <v>17189.0802878999</v>
      </c>
      <c r="O31" s="50" t="n">
        <f aca="false">E31+H31+K31</f>
        <v>4789553.78689929</v>
      </c>
    </row>
    <row r="32" customFormat="false" ht="15" hidden="false" customHeight="false" outlineLevel="0" collapsed="false">
      <c r="A32" s="49" t="n">
        <v>26</v>
      </c>
      <c r="B32" s="49" t="n">
        <f aca="false">ROUNDUP(A32/12,0)</f>
        <v>3</v>
      </c>
      <c r="C32" s="50" t="n">
        <f aca="false">E31*Annahmen!$B$58/12</f>
        <v>3669.89031865267</v>
      </c>
      <c r="D32" s="50" t="n">
        <f aca="false">MIN($C$3-C32,E31)</f>
        <v>1580.10968134733</v>
      </c>
      <c r="E32" s="50" t="n">
        <f aca="false">E31-D32</f>
        <v>1759967.24327193</v>
      </c>
      <c r="F32" s="50" t="n">
        <f aca="false">H31*Annahmen!$B$59/12</f>
        <v>2807.15656349055</v>
      </c>
      <c r="G32" s="50" t="n">
        <f aca="false">MIN($F$3-F32,H31)</f>
        <v>1017.84343650946</v>
      </c>
      <c r="H32" s="50" t="n">
        <f aca="false">H31-G32</f>
        <v>1121844.78195971</v>
      </c>
      <c r="I32" s="50" t="n">
        <f aca="false">K31*Annahmen!$B$60/12</f>
        <v>6350.47936183263</v>
      </c>
      <c r="J32" s="50" t="n">
        <f aca="false">MIN($I$3-I32,K31)</f>
        <v>1763.60092606729</v>
      </c>
      <c r="K32" s="50" t="n">
        <f aca="false">K31-J32</f>
        <v>1903380.20762372</v>
      </c>
      <c r="L32" s="50" t="n">
        <f aca="false">C32+F32+I32</f>
        <v>12827.5262439758</v>
      </c>
      <c r="M32" s="50" t="n">
        <f aca="false">D32+G32+J32</f>
        <v>4361.55404392408</v>
      </c>
      <c r="N32" s="50" t="n">
        <f aca="false">L32+M32</f>
        <v>17189.0802878999</v>
      </c>
      <c r="O32" s="50" t="n">
        <f aca="false">E32+H32+K32</f>
        <v>4785192.23285536</v>
      </c>
    </row>
    <row r="33" customFormat="false" ht="15" hidden="false" customHeight="false" outlineLevel="0" collapsed="false">
      <c r="A33" s="49" t="n">
        <v>27</v>
      </c>
      <c r="B33" s="49" t="n">
        <f aca="false">ROUNDUP(A33/12,0)</f>
        <v>3</v>
      </c>
      <c r="C33" s="50" t="n">
        <f aca="false">E32*Annahmen!$B$58/12</f>
        <v>3666.5984234832</v>
      </c>
      <c r="D33" s="50" t="n">
        <f aca="false">MIN($C$3-C33,E32)</f>
        <v>1583.40157651681</v>
      </c>
      <c r="E33" s="50" t="n">
        <f aca="false">E32-D33</f>
        <v>1758383.84169542</v>
      </c>
      <c r="F33" s="50" t="n">
        <f aca="false">H32*Annahmen!$B$59/12</f>
        <v>2804.61195489927</v>
      </c>
      <c r="G33" s="50" t="n">
        <f aca="false">MIN($F$3-F33,H32)</f>
        <v>1020.38804510073</v>
      </c>
      <c r="H33" s="50" t="n">
        <f aca="false">H32-G33</f>
        <v>1120824.39391461</v>
      </c>
      <c r="I33" s="50" t="n">
        <f aca="false">K32*Annahmen!$B$60/12</f>
        <v>6344.60069207907</v>
      </c>
      <c r="J33" s="50" t="n">
        <f aca="false">MIN($I$3-I33,K32)</f>
        <v>1769.47959582085</v>
      </c>
      <c r="K33" s="50" t="n">
        <f aca="false">K32-J33</f>
        <v>1901610.7280279</v>
      </c>
      <c r="L33" s="50" t="n">
        <f aca="false">C33+F33+I33</f>
        <v>12815.8110704615</v>
      </c>
      <c r="M33" s="50" t="n">
        <f aca="false">D33+G33+J33</f>
        <v>4373.26921743839</v>
      </c>
      <c r="N33" s="50" t="n">
        <f aca="false">L33+M33</f>
        <v>17189.0802878999</v>
      </c>
      <c r="O33" s="50" t="n">
        <f aca="false">E33+H33+K33</f>
        <v>4780818.96363793</v>
      </c>
    </row>
    <row r="34" customFormat="false" ht="15" hidden="false" customHeight="false" outlineLevel="0" collapsed="false">
      <c r="A34" s="49" t="n">
        <v>28</v>
      </c>
      <c r="B34" s="49" t="n">
        <f aca="false">ROUNDUP(A34/12,0)</f>
        <v>3</v>
      </c>
      <c r="C34" s="50" t="n">
        <f aca="false">E33*Annahmen!$B$58/12</f>
        <v>3663.29967019879</v>
      </c>
      <c r="D34" s="50" t="n">
        <f aca="false">MIN($C$3-C34,E33)</f>
        <v>1586.70032980122</v>
      </c>
      <c r="E34" s="50" t="n">
        <f aca="false">E33-D34</f>
        <v>1756797.14136562</v>
      </c>
      <c r="F34" s="50" t="n">
        <f aca="false">H33*Annahmen!$B$59/12</f>
        <v>2802.06098478652</v>
      </c>
      <c r="G34" s="50" t="n">
        <f aca="false">MIN($F$3-F34,H33)</f>
        <v>1022.93901521348</v>
      </c>
      <c r="H34" s="50" t="n">
        <f aca="false">H33-G34</f>
        <v>1119801.4548994</v>
      </c>
      <c r="I34" s="50" t="n">
        <f aca="false">K33*Annahmen!$B$60/12</f>
        <v>6338.70242675967</v>
      </c>
      <c r="J34" s="50" t="n">
        <f aca="false">MIN($I$3-I34,K33)</f>
        <v>1775.37786114025</v>
      </c>
      <c r="K34" s="50" t="n">
        <f aca="false">K33-J34</f>
        <v>1899835.35016676</v>
      </c>
      <c r="L34" s="50" t="n">
        <f aca="false">C34+F34+I34</f>
        <v>12804.063081745</v>
      </c>
      <c r="M34" s="50" t="n">
        <f aca="false">D34+G34+J34</f>
        <v>4385.01720615495</v>
      </c>
      <c r="N34" s="50" t="n">
        <f aca="false">L34+M34</f>
        <v>17189.0802878999</v>
      </c>
      <c r="O34" s="50" t="n">
        <f aca="false">E34+H34+K34</f>
        <v>4776433.94643177</v>
      </c>
    </row>
    <row r="35" customFormat="false" ht="15" hidden="false" customHeight="false" outlineLevel="0" collapsed="false">
      <c r="A35" s="49" t="n">
        <v>29</v>
      </c>
      <c r="B35" s="49" t="n">
        <f aca="false">ROUNDUP(A35/12,0)</f>
        <v>3</v>
      </c>
      <c r="C35" s="50" t="n">
        <f aca="false">E34*Annahmen!$B$58/12</f>
        <v>3659.9940445117</v>
      </c>
      <c r="D35" s="50" t="n">
        <f aca="false">MIN($C$3-C35,E34)</f>
        <v>1590.0059554883</v>
      </c>
      <c r="E35" s="50" t="n">
        <f aca="false">E34-D35</f>
        <v>1755207.13541013</v>
      </c>
      <c r="F35" s="50" t="n">
        <f aca="false">H34*Annahmen!$B$59/12</f>
        <v>2799.50363724849</v>
      </c>
      <c r="G35" s="50" t="n">
        <f aca="false">MIN($F$3-F35,H34)</f>
        <v>1025.49636275151</v>
      </c>
      <c r="H35" s="50" t="n">
        <f aca="false">H34-G35</f>
        <v>1118775.95853664</v>
      </c>
      <c r="I35" s="50" t="n">
        <f aca="false">K34*Annahmen!$B$60/12</f>
        <v>6332.78450055587</v>
      </c>
      <c r="J35" s="50" t="n">
        <f aca="false">MIN($I$3-I35,K34)</f>
        <v>1781.29578734405</v>
      </c>
      <c r="K35" s="50" t="n">
        <f aca="false">K34-J35</f>
        <v>1898054.05437942</v>
      </c>
      <c r="L35" s="50" t="n">
        <f aca="false">C35+F35+I35</f>
        <v>12792.2821823161</v>
      </c>
      <c r="M35" s="50" t="n">
        <f aca="false">D35+G35+J35</f>
        <v>4396.79810558387</v>
      </c>
      <c r="N35" s="50" t="n">
        <f aca="false">L35+M35</f>
        <v>17189.0802878999</v>
      </c>
      <c r="O35" s="50" t="n">
        <f aca="false">E35+H35+K35</f>
        <v>4772037.14832619</v>
      </c>
    </row>
    <row r="36" customFormat="false" ht="15" hidden="false" customHeight="false" outlineLevel="0" collapsed="false">
      <c r="A36" s="49" t="n">
        <v>30</v>
      </c>
      <c r="B36" s="49" t="n">
        <f aca="false">ROUNDUP(A36/12,0)</f>
        <v>3</v>
      </c>
      <c r="C36" s="50" t="n">
        <f aca="false">E35*Annahmen!$B$58/12</f>
        <v>3656.68153210443</v>
      </c>
      <c r="D36" s="50" t="n">
        <f aca="false">MIN($C$3-C36,E35)</f>
        <v>1593.31846789557</v>
      </c>
      <c r="E36" s="50" t="n">
        <f aca="false">E35-D36</f>
        <v>1753613.81694223</v>
      </c>
      <c r="F36" s="50" t="n">
        <f aca="false">H35*Annahmen!$B$59/12</f>
        <v>2796.93989634161</v>
      </c>
      <c r="G36" s="50" t="n">
        <f aca="false">MIN($F$3-F36,H35)</f>
        <v>1028.06010365839</v>
      </c>
      <c r="H36" s="50" t="n">
        <f aca="false">H35-G36</f>
        <v>1117747.89843299</v>
      </c>
      <c r="I36" s="50" t="n">
        <f aca="false">K35*Annahmen!$B$60/12</f>
        <v>6326.84684793139</v>
      </c>
      <c r="J36" s="50" t="n">
        <f aca="false">MIN($I$3-I36,K35)</f>
        <v>1787.23343996853</v>
      </c>
      <c r="K36" s="50" t="n">
        <f aca="false">K35-J36</f>
        <v>1896266.82093945</v>
      </c>
      <c r="L36" s="50" t="n">
        <f aca="false">C36+F36+I36</f>
        <v>12780.4682763774</v>
      </c>
      <c r="M36" s="50" t="n">
        <f aca="false">D36+G36+J36</f>
        <v>4408.6120115225</v>
      </c>
      <c r="N36" s="50" t="n">
        <f aca="false">L36+M36</f>
        <v>17189.0802878999</v>
      </c>
      <c r="O36" s="50" t="n">
        <f aca="false">E36+H36+K36</f>
        <v>4767628.53631466</v>
      </c>
    </row>
    <row r="37" customFormat="false" ht="15" hidden="false" customHeight="false" outlineLevel="0" collapsed="false">
      <c r="A37" s="49" t="n">
        <v>31</v>
      </c>
      <c r="B37" s="49" t="n">
        <f aca="false">ROUNDUP(A37/12,0)</f>
        <v>3</v>
      </c>
      <c r="C37" s="50" t="n">
        <f aca="false">E36*Annahmen!$B$58/12</f>
        <v>3653.36211862965</v>
      </c>
      <c r="D37" s="50" t="n">
        <f aca="false">MIN($C$3-C37,E36)</f>
        <v>1596.63788137035</v>
      </c>
      <c r="E37" s="50" t="n">
        <f aca="false">E36-D37</f>
        <v>1752017.17906086</v>
      </c>
      <c r="F37" s="50" t="n">
        <f aca="false">H36*Annahmen!$B$59/12</f>
        <v>2794.36974608246</v>
      </c>
      <c r="G37" s="50" t="n">
        <f aca="false">MIN($F$3-F37,H36)</f>
        <v>1030.63025391754</v>
      </c>
      <c r="H37" s="50" t="n">
        <f aca="false">H36-G37</f>
        <v>1116717.26817907</v>
      </c>
      <c r="I37" s="50" t="n">
        <f aca="false">K36*Annahmen!$B$60/12</f>
        <v>6320.88940313149</v>
      </c>
      <c r="J37" s="50" t="n">
        <f aca="false">MIN($I$3-I37,K36)</f>
        <v>1793.19088476843</v>
      </c>
      <c r="K37" s="50" t="n">
        <f aca="false">K36-J37</f>
        <v>1894473.63005468</v>
      </c>
      <c r="L37" s="50" t="n">
        <f aca="false">C37+F37+I37</f>
        <v>12768.6212678436</v>
      </c>
      <c r="M37" s="50" t="n">
        <f aca="false">D37+G37+J37</f>
        <v>4420.45902005632</v>
      </c>
      <c r="N37" s="50" t="n">
        <f aca="false">L37+M37</f>
        <v>17189.0802878999</v>
      </c>
      <c r="O37" s="50" t="n">
        <f aca="false">E37+H37+K37</f>
        <v>4763208.07729461</v>
      </c>
    </row>
    <row r="38" customFormat="false" ht="15" hidden="false" customHeight="false" outlineLevel="0" collapsed="false">
      <c r="A38" s="49" t="n">
        <v>32</v>
      </c>
      <c r="B38" s="49" t="n">
        <f aca="false">ROUNDUP(A38/12,0)</f>
        <v>3</v>
      </c>
      <c r="C38" s="50" t="n">
        <f aca="false">E37*Annahmen!$B$58/12</f>
        <v>3650.03578971013</v>
      </c>
      <c r="D38" s="50" t="n">
        <f aca="false">MIN($C$3-C38,E37)</f>
        <v>1599.96421028987</v>
      </c>
      <c r="E38" s="50" t="n">
        <f aca="false">E37-D38</f>
        <v>1750417.21485057</v>
      </c>
      <c r="F38" s="50" t="n">
        <f aca="false">H37*Annahmen!$B$59/12</f>
        <v>2791.79317044767</v>
      </c>
      <c r="G38" s="50" t="n">
        <f aca="false">MIN($F$3-F38,H37)</f>
        <v>1033.20682955233</v>
      </c>
      <c r="H38" s="50" t="n">
        <f aca="false">H37-G38</f>
        <v>1115684.06134952</v>
      </c>
      <c r="I38" s="50" t="n">
        <f aca="false">K37*Annahmen!$B$60/12</f>
        <v>6314.91210018226</v>
      </c>
      <c r="J38" s="50" t="n">
        <f aca="false">MIN($I$3-I38,K37)</f>
        <v>1799.16818771766</v>
      </c>
      <c r="K38" s="50" t="n">
        <f aca="false">K37-J38</f>
        <v>1892674.46186696</v>
      </c>
      <c r="L38" s="50" t="n">
        <f aca="false">C38+F38+I38</f>
        <v>12756.7410603401</v>
      </c>
      <c r="M38" s="50" t="n">
        <f aca="false">D38+G38+J38</f>
        <v>4432.33922755986</v>
      </c>
      <c r="N38" s="50" t="n">
        <f aca="false">L38+M38</f>
        <v>17189.0802878999</v>
      </c>
      <c r="O38" s="50" t="n">
        <f aca="false">E38+H38+K38</f>
        <v>4758775.73806705</v>
      </c>
    </row>
    <row r="39" customFormat="false" ht="15" hidden="false" customHeight="false" outlineLevel="0" collapsed="false">
      <c r="A39" s="49" t="n">
        <v>33</v>
      </c>
      <c r="B39" s="49" t="n">
        <f aca="false">ROUNDUP(A39/12,0)</f>
        <v>3</v>
      </c>
      <c r="C39" s="50" t="n">
        <f aca="false">E38*Annahmen!$B$58/12</f>
        <v>3646.70253093869</v>
      </c>
      <c r="D39" s="50" t="n">
        <f aca="false">MIN($C$3-C39,E38)</f>
        <v>1603.29746906131</v>
      </c>
      <c r="E39" s="50" t="n">
        <f aca="false">E38-D39</f>
        <v>1748813.91738151</v>
      </c>
      <c r="F39" s="50" t="n">
        <f aca="false">H38*Annahmen!$B$59/12</f>
        <v>2789.21015337379</v>
      </c>
      <c r="G39" s="50" t="n">
        <f aca="false">MIN($F$3-F39,H38)</f>
        <v>1035.78984662621</v>
      </c>
      <c r="H39" s="50" t="n">
        <f aca="false">H38-G39</f>
        <v>1114648.27150289</v>
      </c>
      <c r="I39" s="50" t="n">
        <f aca="false">K38*Annahmen!$B$60/12</f>
        <v>6308.91487288987</v>
      </c>
      <c r="J39" s="50" t="n">
        <f aca="false">MIN($I$3-I39,K38)</f>
        <v>1805.16541501005</v>
      </c>
      <c r="K39" s="50" t="n">
        <f aca="false">K38-J39</f>
        <v>1890869.29645195</v>
      </c>
      <c r="L39" s="50" t="n">
        <f aca="false">C39+F39+I39</f>
        <v>12744.8275572024</v>
      </c>
      <c r="M39" s="50" t="n">
        <f aca="false">D39+G39+J39</f>
        <v>4444.25273069757</v>
      </c>
      <c r="N39" s="50" t="n">
        <f aca="false">L39+M39</f>
        <v>17189.0802878999</v>
      </c>
      <c r="O39" s="50" t="n">
        <f aca="false">E39+H39+K39</f>
        <v>4754331.48533635</v>
      </c>
    </row>
    <row r="40" customFormat="false" ht="15" hidden="false" customHeight="false" outlineLevel="0" collapsed="false">
      <c r="A40" s="49" t="n">
        <v>34</v>
      </c>
      <c r="B40" s="49" t="n">
        <f aca="false">ROUNDUP(A40/12,0)</f>
        <v>3</v>
      </c>
      <c r="C40" s="50" t="n">
        <f aca="false">E39*Annahmen!$B$58/12</f>
        <v>3643.36232787815</v>
      </c>
      <c r="D40" s="50" t="n">
        <f aca="false">MIN($C$3-C40,E39)</f>
        <v>1606.63767212186</v>
      </c>
      <c r="E40" s="50" t="n">
        <f aca="false">E39-D40</f>
        <v>1747207.27970939</v>
      </c>
      <c r="F40" s="50" t="n">
        <f aca="false">H39*Annahmen!$B$59/12</f>
        <v>2786.62067875722</v>
      </c>
      <c r="G40" s="50" t="n">
        <f aca="false">MIN($F$3-F40,H39)</f>
        <v>1038.37932124278</v>
      </c>
      <c r="H40" s="50" t="n">
        <f aca="false">H39-G40</f>
        <v>1113609.89218165</v>
      </c>
      <c r="I40" s="50" t="n">
        <f aca="false">K39*Annahmen!$B$60/12</f>
        <v>6302.89765483984</v>
      </c>
      <c r="J40" s="50" t="n">
        <f aca="false">MIN($I$3-I40,K39)</f>
        <v>1811.18263306008</v>
      </c>
      <c r="K40" s="50" t="n">
        <f aca="false">K39-J40</f>
        <v>1889058.11381889</v>
      </c>
      <c r="L40" s="50" t="n">
        <f aca="false">C40+F40+I40</f>
        <v>12732.8806614752</v>
      </c>
      <c r="M40" s="50" t="n">
        <f aca="false">D40+G40+J40</f>
        <v>4456.19962642472</v>
      </c>
      <c r="N40" s="50" t="n">
        <f aca="false">L40+M40</f>
        <v>17189.0802878999</v>
      </c>
      <c r="O40" s="50" t="n">
        <f aca="false">E40+H40+K40</f>
        <v>4749875.28570993</v>
      </c>
    </row>
    <row r="41" customFormat="false" ht="15" hidden="false" customHeight="false" outlineLevel="0" collapsed="false">
      <c r="A41" s="49" t="n">
        <v>35</v>
      </c>
      <c r="B41" s="49" t="n">
        <f aca="false">ROUNDUP(A41/12,0)</f>
        <v>3</v>
      </c>
      <c r="C41" s="50" t="n">
        <f aca="false">E40*Annahmen!$B$58/12</f>
        <v>3640.01516606123</v>
      </c>
      <c r="D41" s="50" t="n">
        <f aca="false">MIN($C$3-C41,E40)</f>
        <v>1609.98483393878</v>
      </c>
      <c r="E41" s="50" t="n">
        <f aca="false">E40-D41</f>
        <v>1745597.29487545</v>
      </c>
      <c r="F41" s="50" t="n">
        <f aca="false">H40*Annahmen!$B$59/12</f>
        <v>2784.02473045412</v>
      </c>
      <c r="G41" s="50" t="n">
        <f aca="false">MIN($F$3-F41,H40)</f>
        <v>1040.97526954589</v>
      </c>
      <c r="H41" s="50" t="n">
        <f aca="false">H40-G41</f>
        <v>1112568.9169121</v>
      </c>
      <c r="I41" s="50" t="n">
        <f aca="false">K40*Annahmen!$B$60/12</f>
        <v>6296.86037939631</v>
      </c>
      <c r="J41" s="50" t="n">
        <f aca="false">MIN($I$3-I41,K40)</f>
        <v>1817.21990850361</v>
      </c>
      <c r="K41" s="50" t="n">
        <f aca="false">K40-J41</f>
        <v>1887240.89391039</v>
      </c>
      <c r="L41" s="50" t="n">
        <f aca="false">C41+F41+I41</f>
        <v>12720.9002759116</v>
      </c>
      <c r="M41" s="50" t="n">
        <f aca="false">D41+G41+J41</f>
        <v>4468.18001198828</v>
      </c>
      <c r="N41" s="50" t="n">
        <f aca="false">L41+M41</f>
        <v>17189.0802878999</v>
      </c>
      <c r="O41" s="50" t="n">
        <f aca="false">E41+H41+K41</f>
        <v>4745407.10569794</v>
      </c>
    </row>
    <row r="42" customFormat="false" ht="15" hidden="false" customHeight="false" outlineLevel="0" collapsed="false">
      <c r="A42" s="49" t="n">
        <v>36</v>
      </c>
      <c r="B42" s="49" t="n">
        <f aca="false">ROUNDUP(A42/12,0)</f>
        <v>3</v>
      </c>
      <c r="C42" s="50" t="n">
        <f aca="false">E41*Annahmen!$B$58/12</f>
        <v>3636.66103099052</v>
      </c>
      <c r="D42" s="50" t="n">
        <f aca="false">MIN($C$3-C42,E41)</f>
        <v>1613.33896900948</v>
      </c>
      <c r="E42" s="50" t="n">
        <f aca="false">E41-D42</f>
        <v>1743983.95590644</v>
      </c>
      <c r="F42" s="50" t="n">
        <f aca="false">H41*Annahmen!$B$59/12</f>
        <v>2781.42229228025</v>
      </c>
      <c r="G42" s="50" t="n">
        <f aca="false">MIN($F$3-F42,H41)</f>
        <v>1043.57770771975</v>
      </c>
      <c r="H42" s="50" t="n">
        <f aca="false">H41-G42</f>
        <v>1111525.33920438</v>
      </c>
      <c r="I42" s="50" t="n">
        <f aca="false">K41*Annahmen!$B$60/12</f>
        <v>6290.80297970129</v>
      </c>
      <c r="J42" s="50" t="n">
        <f aca="false">MIN($I$3-I42,K41)</f>
        <v>1823.27730819863</v>
      </c>
      <c r="K42" s="50" t="n">
        <f aca="false">K41-J42</f>
        <v>1885417.61660219</v>
      </c>
      <c r="L42" s="50" t="n">
        <f aca="false">C42+F42+I42</f>
        <v>12708.8863029721</v>
      </c>
      <c r="M42" s="50" t="n">
        <f aca="false">D42+G42+J42</f>
        <v>4480.19398492786</v>
      </c>
      <c r="N42" s="50" t="n">
        <f aca="false">L42+M42</f>
        <v>17189.0802878999</v>
      </c>
      <c r="O42" s="50" t="n">
        <f aca="false">E42+H42+K42</f>
        <v>4740926.91171301</v>
      </c>
    </row>
    <row r="43" customFormat="false" ht="15" hidden="false" customHeight="false" outlineLevel="0" collapsed="false">
      <c r="A43" s="49" t="n">
        <v>37</v>
      </c>
      <c r="B43" s="49" t="n">
        <f aca="false">ROUNDUP(A43/12,0)</f>
        <v>4</v>
      </c>
      <c r="C43" s="50" t="n">
        <f aca="false">E42*Annahmen!$B$58/12</f>
        <v>3633.29990813842</v>
      </c>
      <c r="D43" s="50" t="n">
        <f aca="false">MIN($C$3-C43,E42)</f>
        <v>1616.70009186159</v>
      </c>
      <c r="E43" s="50" t="n">
        <f aca="false">E42-D43</f>
        <v>1742367.25581458</v>
      </c>
      <c r="F43" s="50" t="n">
        <f aca="false">H42*Annahmen!$B$59/12</f>
        <v>2778.81334801095</v>
      </c>
      <c r="G43" s="50" t="n">
        <f aca="false">MIN($F$3-F43,H42)</f>
        <v>1046.18665198905</v>
      </c>
      <c r="H43" s="50" t="n">
        <f aca="false">H42-G43</f>
        <v>1110479.15255239</v>
      </c>
      <c r="I43" s="50" t="n">
        <f aca="false">K42*Annahmen!$B$60/12</f>
        <v>6284.72538867396</v>
      </c>
      <c r="J43" s="50" t="n">
        <f aca="false">MIN($I$3-I43,K42)</f>
        <v>1829.35489922596</v>
      </c>
      <c r="K43" s="50" t="n">
        <f aca="false">K42-J43</f>
        <v>1883588.26170296</v>
      </c>
      <c r="L43" s="50" t="n">
        <f aca="false">C43+F43+I43</f>
        <v>12696.8386448233</v>
      </c>
      <c r="M43" s="50" t="n">
        <f aca="false">D43+G43+J43</f>
        <v>4492.24164307659</v>
      </c>
      <c r="N43" s="50" t="n">
        <f aca="false">L43+M43</f>
        <v>17189.0802878999</v>
      </c>
      <c r="O43" s="50" t="n">
        <f aca="false">E43+H43+K43</f>
        <v>4736434.67006993</v>
      </c>
    </row>
    <row r="44" customFormat="false" ht="15" hidden="false" customHeight="false" outlineLevel="0" collapsed="false">
      <c r="A44" s="49" t="n">
        <v>38</v>
      </c>
      <c r="B44" s="49" t="n">
        <f aca="false">ROUNDUP(A44/12,0)</f>
        <v>4</v>
      </c>
      <c r="C44" s="50" t="n">
        <f aca="false">E43*Annahmen!$B$58/12</f>
        <v>3629.93178294704</v>
      </c>
      <c r="D44" s="50" t="n">
        <f aca="false">MIN($C$3-C44,E43)</f>
        <v>1620.06821705296</v>
      </c>
      <c r="E44" s="50" t="n">
        <f aca="false">E43-D44</f>
        <v>1740747.18759753</v>
      </c>
      <c r="F44" s="50" t="n">
        <f aca="false">H43*Annahmen!$B$59/12</f>
        <v>2776.19788138098</v>
      </c>
      <c r="G44" s="50" t="n">
        <f aca="false">MIN($F$3-F44,H43)</f>
        <v>1048.80211861902</v>
      </c>
      <c r="H44" s="50" t="n">
        <f aca="false">H43-G44</f>
        <v>1109430.35043377</v>
      </c>
      <c r="I44" s="50" t="n">
        <f aca="false">K43*Annahmen!$B$60/12</f>
        <v>6278.62753900988</v>
      </c>
      <c r="J44" s="50" t="n">
        <f aca="false">MIN($I$3-I44,K43)</f>
        <v>1835.45274889004</v>
      </c>
      <c r="K44" s="50" t="n">
        <f aca="false">K43-J44</f>
        <v>1881752.80895407</v>
      </c>
      <c r="L44" s="50" t="n">
        <f aca="false">C44+F44+I44</f>
        <v>12684.7572033379</v>
      </c>
      <c r="M44" s="50" t="n">
        <f aca="false">D44+G44+J44</f>
        <v>4504.32308456203</v>
      </c>
      <c r="N44" s="50" t="n">
        <f aca="false">L44+M44</f>
        <v>17189.0802878999</v>
      </c>
      <c r="O44" s="50" t="n">
        <f aca="false">E44+H44+K44</f>
        <v>4731930.34698537</v>
      </c>
    </row>
    <row r="45" customFormat="false" ht="15" hidden="false" customHeight="false" outlineLevel="0" collapsed="false">
      <c r="A45" s="49" t="n">
        <v>39</v>
      </c>
      <c r="B45" s="49" t="n">
        <f aca="false">ROUNDUP(A45/12,0)</f>
        <v>4</v>
      </c>
      <c r="C45" s="50" t="n">
        <f aca="false">E44*Annahmen!$B$58/12</f>
        <v>3626.55664082818</v>
      </c>
      <c r="D45" s="50" t="n">
        <f aca="false">MIN($C$3-C45,E44)</f>
        <v>1623.44335917182</v>
      </c>
      <c r="E45" s="50" t="n">
        <f aca="false">E44-D45</f>
        <v>1739123.74423835</v>
      </c>
      <c r="F45" s="50" t="n">
        <f aca="false">H44*Annahmen!$B$59/12</f>
        <v>2773.57587608443</v>
      </c>
      <c r="G45" s="50" t="n">
        <f aca="false">MIN($F$3-F45,H44)</f>
        <v>1051.42412391557</v>
      </c>
      <c r="H45" s="50" t="n">
        <f aca="false">H44-G45</f>
        <v>1108378.92630986</v>
      </c>
      <c r="I45" s="50" t="n">
        <f aca="false">K44*Annahmen!$B$60/12</f>
        <v>6272.50936318024</v>
      </c>
      <c r="J45" s="50" t="n">
        <f aca="false">MIN($I$3-I45,K44)</f>
        <v>1841.57092471968</v>
      </c>
      <c r="K45" s="50" t="n">
        <f aca="false">K44-J45</f>
        <v>1879911.23802935</v>
      </c>
      <c r="L45" s="50" t="n">
        <f aca="false">C45+F45+I45</f>
        <v>12672.6418800929</v>
      </c>
      <c r="M45" s="50" t="n">
        <f aca="false">D45+G45+J45</f>
        <v>4516.43840780707</v>
      </c>
      <c r="N45" s="50" t="n">
        <f aca="false">L45+M45</f>
        <v>17189.0802878999</v>
      </c>
      <c r="O45" s="50" t="n">
        <f aca="false">E45+H45+K45</f>
        <v>4727413.90857756</v>
      </c>
    </row>
    <row r="46" customFormat="false" ht="15" hidden="false" customHeight="false" outlineLevel="0" collapsed="false">
      <c r="A46" s="49" t="n">
        <v>40</v>
      </c>
      <c r="B46" s="49" t="n">
        <f aca="false">ROUNDUP(A46/12,0)</f>
        <v>4</v>
      </c>
      <c r="C46" s="50" t="n">
        <f aca="false">E45*Annahmen!$B$58/12</f>
        <v>3623.17446716324</v>
      </c>
      <c r="D46" s="50" t="n">
        <f aca="false">MIN($C$3-C46,E45)</f>
        <v>1626.82553283677</v>
      </c>
      <c r="E46" s="50" t="n">
        <f aca="false">E45-D46</f>
        <v>1737496.91870552</v>
      </c>
      <c r="F46" s="50" t="n">
        <f aca="false">H45*Annahmen!$B$59/12</f>
        <v>2770.94731577464</v>
      </c>
      <c r="G46" s="50" t="n">
        <f aca="false">MIN($F$3-F46,H45)</f>
        <v>1054.05268422536</v>
      </c>
      <c r="H46" s="50" t="n">
        <f aca="false">H45-G46</f>
        <v>1107324.87362563</v>
      </c>
      <c r="I46" s="50" t="n">
        <f aca="false">K45*Annahmen!$B$60/12</f>
        <v>6266.37079343118</v>
      </c>
      <c r="J46" s="50" t="n">
        <f aca="false">MIN($I$3-I46,K45)</f>
        <v>1847.70949446874</v>
      </c>
      <c r="K46" s="50" t="n">
        <f aca="false">K45-J46</f>
        <v>1878063.52853488</v>
      </c>
      <c r="L46" s="50" t="n">
        <f aca="false">C46+F46+I46</f>
        <v>12660.4925763691</v>
      </c>
      <c r="M46" s="50" t="n">
        <f aca="false">D46+G46+J46</f>
        <v>4528.58771153087</v>
      </c>
      <c r="N46" s="50" t="n">
        <f aca="false">L46+M46</f>
        <v>17189.0802878999</v>
      </c>
      <c r="O46" s="50" t="n">
        <f aca="false">E46+H46+K46</f>
        <v>4722885.32086603</v>
      </c>
    </row>
    <row r="47" customFormat="false" ht="15" hidden="false" customHeight="false" outlineLevel="0" collapsed="false">
      <c r="A47" s="49" t="n">
        <v>41</v>
      </c>
      <c r="B47" s="49" t="n">
        <f aca="false">ROUNDUP(A47/12,0)</f>
        <v>4</v>
      </c>
      <c r="C47" s="50" t="n">
        <f aca="false">E46*Annahmen!$B$58/12</f>
        <v>3619.78524730316</v>
      </c>
      <c r="D47" s="50" t="n">
        <f aca="false">MIN($C$3-C47,E46)</f>
        <v>1630.21475269684</v>
      </c>
      <c r="E47" s="50" t="n">
        <f aca="false">E46-D47</f>
        <v>1735866.70395282</v>
      </c>
      <c r="F47" s="50" t="n">
        <f aca="false">H46*Annahmen!$B$59/12</f>
        <v>2768.31218406408</v>
      </c>
      <c r="G47" s="50" t="n">
        <f aca="false">MIN($F$3-F47,H46)</f>
        <v>1056.68781593592</v>
      </c>
      <c r="H47" s="50" t="n">
        <f aca="false">H46-G47</f>
        <v>1106268.1858097</v>
      </c>
      <c r="I47" s="50" t="n">
        <f aca="false">K46*Annahmen!$B$60/12</f>
        <v>6260.21176178295</v>
      </c>
      <c r="J47" s="50" t="n">
        <f aca="false">MIN($I$3-I47,K46)</f>
        <v>1853.86852611697</v>
      </c>
      <c r="K47" s="50" t="n">
        <f aca="false">K46-J47</f>
        <v>1876209.66000877</v>
      </c>
      <c r="L47" s="50" t="n">
        <f aca="false">C47+F47+I47</f>
        <v>12648.3091931502</v>
      </c>
      <c r="M47" s="50" t="n">
        <f aca="false">D47+G47+J47</f>
        <v>4540.77109474973</v>
      </c>
      <c r="N47" s="50" t="n">
        <f aca="false">L47+M47</f>
        <v>17189.0802878999</v>
      </c>
      <c r="O47" s="50" t="n">
        <f aca="false">E47+H47+K47</f>
        <v>4718344.54977128</v>
      </c>
    </row>
    <row r="48" customFormat="false" ht="15" hidden="false" customHeight="false" outlineLevel="0" collapsed="false">
      <c r="A48" s="49" t="n">
        <v>42</v>
      </c>
      <c r="B48" s="49" t="n">
        <f aca="false">ROUNDUP(A48/12,0)</f>
        <v>4</v>
      </c>
      <c r="C48" s="50" t="n">
        <f aca="false">E47*Annahmen!$B$58/12</f>
        <v>3616.38896656838</v>
      </c>
      <c r="D48" s="50" t="n">
        <f aca="false">MIN($C$3-C48,E47)</f>
        <v>1633.61103343163</v>
      </c>
      <c r="E48" s="50" t="n">
        <f aca="false">E47-D48</f>
        <v>1734233.09291939</v>
      </c>
      <c r="F48" s="50" t="n">
        <f aca="false">H47*Annahmen!$B$59/12</f>
        <v>2765.67046452424</v>
      </c>
      <c r="G48" s="50" t="n">
        <f aca="false">MIN($F$3-F48,H47)</f>
        <v>1059.32953547576</v>
      </c>
      <c r="H48" s="50" t="n">
        <f aca="false">H47-G48</f>
        <v>1105208.85627422</v>
      </c>
      <c r="I48" s="50" t="n">
        <f aca="false">K47*Annahmen!$B$60/12</f>
        <v>6254.03220002923</v>
      </c>
      <c r="J48" s="50" t="n">
        <f aca="false">MIN($I$3-I48,K47)</f>
        <v>1860.04808787069</v>
      </c>
      <c r="K48" s="50" t="n">
        <f aca="false">K47-J48</f>
        <v>1874349.6119209</v>
      </c>
      <c r="L48" s="50" t="n">
        <f aca="false">C48+F48+I48</f>
        <v>12636.0916311218</v>
      </c>
      <c r="M48" s="50" t="n">
        <f aca="false">D48+G48+J48</f>
        <v>4552.98865677808</v>
      </c>
      <c r="N48" s="50" t="n">
        <f aca="false">L48+M48</f>
        <v>17189.0802878999</v>
      </c>
      <c r="O48" s="50" t="n">
        <f aca="false">E48+H48+K48</f>
        <v>4713791.56111451</v>
      </c>
    </row>
    <row r="49" customFormat="false" ht="15" hidden="false" customHeight="false" outlineLevel="0" collapsed="false">
      <c r="A49" s="49" t="n">
        <v>43</v>
      </c>
      <c r="B49" s="49" t="n">
        <f aca="false">ROUNDUP(A49/12,0)</f>
        <v>4</v>
      </c>
      <c r="C49" s="50" t="n">
        <f aca="false">E48*Annahmen!$B$58/12</f>
        <v>3612.98561024873</v>
      </c>
      <c r="D49" s="50" t="n">
        <f aca="false">MIN($C$3-C49,E48)</f>
        <v>1637.01438975128</v>
      </c>
      <c r="E49" s="50" t="n">
        <f aca="false">E48-D49</f>
        <v>1732596.07852964</v>
      </c>
      <c r="F49" s="50" t="n">
        <f aca="false">H48*Annahmen!$B$59/12</f>
        <v>2763.02214068555</v>
      </c>
      <c r="G49" s="50" t="n">
        <f aca="false">MIN($F$3-F49,H48)</f>
        <v>1061.97785931445</v>
      </c>
      <c r="H49" s="50" t="n">
        <f aca="false">H48-G49</f>
        <v>1104146.87841491</v>
      </c>
      <c r="I49" s="50" t="n">
        <f aca="false">K48*Annahmen!$B$60/12</f>
        <v>6247.83203973632</v>
      </c>
      <c r="J49" s="50" t="n">
        <f aca="false">MIN($I$3-I49,K48)</f>
        <v>1866.2482481636</v>
      </c>
      <c r="K49" s="50" t="n">
        <f aca="false">K48-J49</f>
        <v>1872483.36367273</v>
      </c>
      <c r="L49" s="50" t="n">
        <f aca="false">C49+F49+I49</f>
        <v>12623.8397906706</v>
      </c>
      <c r="M49" s="50" t="n">
        <f aca="false">D49+G49+J49</f>
        <v>4565.24049722932</v>
      </c>
      <c r="N49" s="50" t="n">
        <f aca="false">L49+M49</f>
        <v>17189.0802878999</v>
      </c>
      <c r="O49" s="50" t="n">
        <f aca="false">E49+H49+K49</f>
        <v>4709226.32061728</v>
      </c>
    </row>
    <row r="50" customFormat="false" ht="15" hidden="false" customHeight="false" outlineLevel="0" collapsed="false">
      <c r="A50" s="49" t="n">
        <v>44</v>
      </c>
      <c r="B50" s="49" t="n">
        <f aca="false">ROUNDUP(A50/12,0)</f>
        <v>4</v>
      </c>
      <c r="C50" s="50" t="n">
        <f aca="false">E49*Annahmen!$B$58/12</f>
        <v>3609.57516360341</v>
      </c>
      <c r="D50" s="50" t="n">
        <f aca="false">MIN($C$3-C50,E49)</f>
        <v>1640.42483639659</v>
      </c>
      <c r="E50" s="50" t="n">
        <f aca="false">E49-D50</f>
        <v>1730955.65369324</v>
      </c>
      <c r="F50" s="50" t="n">
        <f aca="false">H49*Annahmen!$B$59/12</f>
        <v>2760.36719603726</v>
      </c>
      <c r="G50" s="50" t="n">
        <f aca="false">MIN($F$3-F50,H49)</f>
        <v>1064.63280396274</v>
      </c>
      <c r="H50" s="50" t="n">
        <f aca="false">H49-G50</f>
        <v>1103082.24561094</v>
      </c>
      <c r="I50" s="50" t="n">
        <f aca="false">K49*Annahmen!$B$60/12</f>
        <v>6241.61121224245</v>
      </c>
      <c r="J50" s="50" t="n">
        <f aca="false">MIN($I$3-I50,K49)</f>
        <v>1872.46907565747</v>
      </c>
      <c r="K50" s="50" t="n">
        <f aca="false">K49-J50</f>
        <v>1870610.89459708</v>
      </c>
      <c r="L50" s="50" t="n">
        <f aca="false">C50+F50+I50</f>
        <v>12611.5535718831</v>
      </c>
      <c r="M50" s="50" t="n">
        <f aca="false">D50+G50+J50</f>
        <v>4577.5267160168</v>
      </c>
      <c r="N50" s="50" t="n">
        <f aca="false">L50+M50</f>
        <v>17189.0802878999</v>
      </c>
      <c r="O50" s="50" t="n">
        <f aca="false">E50+H50+K50</f>
        <v>4704648.79390126</v>
      </c>
    </row>
    <row r="51" customFormat="false" ht="15" hidden="false" customHeight="false" outlineLevel="0" collapsed="false">
      <c r="A51" s="49" t="n">
        <v>45</v>
      </c>
      <c r="B51" s="49" t="n">
        <f aca="false">ROUNDUP(A51/12,0)</f>
        <v>4</v>
      </c>
      <c r="C51" s="50" t="n">
        <f aca="false">E50*Annahmen!$B$58/12</f>
        <v>3606.15761186092</v>
      </c>
      <c r="D51" s="50" t="n">
        <f aca="false">MIN($C$3-C51,E50)</f>
        <v>1643.84238813909</v>
      </c>
      <c r="E51" s="50" t="n">
        <f aca="false">E50-D51</f>
        <v>1729311.8113051</v>
      </c>
      <c r="F51" s="50" t="n">
        <f aca="false">H50*Annahmen!$B$59/12</f>
        <v>2757.70561402736</v>
      </c>
      <c r="G51" s="50" t="n">
        <f aca="false">MIN($F$3-F51,H50)</f>
        <v>1067.29438597265</v>
      </c>
      <c r="H51" s="50" t="n">
        <f aca="false">H50-G51</f>
        <v>1102014.95122497</v>
      </c>
      <c r="I51" s="50" t="n">
        <f aca="false">K50*Annahmen!$B$60/12</f>
        <v>6235.36964865692</v>
      </c>
      <c r="J51" s="50" t="n">
        <f aca="false">MIN($I$3-I51,K50)</f>
        <v>1878.710639243</v>
      </c>
      <c r="K51" s="50" t="n">
        <f aca="false">K50-J51</f>
        <v>1868732.18395783</v>
      </c>
      <c r="L51" s="50" t="n">
        <f aca="false">C51+F51+I51</f>
        <v>12599.2328745452</v>
      </c>
      <c r="M51" s="50" t="n">
        <f aca="false">D51+G51+J51</f>
        <v>4589.84741335473</v>
      </c>
      <c r="N51" s="50" t="n">
        <f aca="false">L51+M51</f>
        <v>17189.0802878999</v>
      </c>
      <c r="O51" s="50" t="n">
        <f aca="false">E51+H51+K51</f>
        <v>4700058.9464879</v>
      </c>
    </row>
    <row r="52" customFormat="false" ht="15" hidden="false" customHeight="false" outlineLevel="0" collapsed="false">
      <c r="A52" s="49" t="n">
        <v>46</v>
      </c>
      <c r="B52" s="49" t="n">
        <f aca="false">ROUNDUP(A52/12,0)</f>
        <v>4</v>
      </c>
      <c r="C52" s="50" t="n">
        <f aca="false">E51*Annahmen!$B$58/12</f>
        <v>3602.73294021896</v>
      </c>
      <c r="D52" s="50" t="n">
        <f aca="false">MIN($C$3-C52,E51)</f>
        <v>1647.26705978104</v>
      </c>
      <c r="E52" s="50" t="n">
        <f aca="false">E51-D52</f>
        <v>1727664.54424532</v>
      </c>
      <c r="F52" s="50" t="n">
        <f aca="false">H51*Annahmen!$B$59/12</f>
        <v>2755.03737806243</v>
      </c>
      <c r="G52" s="50" t="n">
        <f aca="false">MIN($F$3-F52,H51)</f>
        <v>1069.96262193758</v>
      </c>
      <c r="H52" s="50" t="n">
        <f aca="false">H51-G52</f>
        <v>1100944.98860303</v>
      </c>
      <c r="I52" s="50" t="n">
        <f aca="false">K51*Annahmen!$B$60/12</f>
        <v>6229.10727985944</v>
      </c>
      <c r="J52" s="50" t="n">
        <f aca="false">MIN($I$3-I52,K51)</f>
        <v>1884.97300804048</v>
      </c>
      <c r="K52" s="50" t="n">
        <f aca="false">K51-J52</f>
        <v>1866847.21094979</v>
      </c>
      <c r="L52" s="50" t="n">
        <f aca="false">C52+F52+I52</f>
        <v>12586.8775981408</v>
      </c>
      <c r="M52" s="50" t="n">
        <f aca="false">D52+G52+J52</f>
        <v>4602.20268975909</v>
      </c>
      <c r="N52" s="50" t="n">
        <f aca="false">L52+M52</f>
        <v>17189.0802878999</v>
      </c>
      <c r="O52" s="50" t="n">
        <f aca="false">E52+H52+K52</f>
        <v>4695456.74379815</v>
      </c>
    </row>
    <row r="53" customFormat="false" ht="15" hidden="false" customHeight="false" outlineLevel="0" collapsed="false">
      <c r="A53" s="49" t="n">
        <v>47</v>
      </c>
      <c r="B53" s="49" t="n">
        <f aca="false">ROUNDUP(A53/12,0)</f>
        <v>4</v>
      </c>
      <c r="C53" s="50" t="n">
        <f aca="false">E52*Annahmen!$B$58/12</f>
        <v>3599.30113384442</v>
      </c>
      <c r="D53" s="50" t="n">
        <f aca="false">MIN($C$3-C53,E52)</f>
        <v>1650.69886615559</v>
      </c>
      <c r="E53" s="50" t="n">
        <f aca="false">E52-D53</f>
        <v>1726013.84537916</v>
      </c>
      <c r="F53" s="50" t="n">
        <f aca="false">H52*Annahmen!$B$59/12</f>
        <v>2752.36247150758</v>
      </c>
      <c r="G53" s="50" t="n">
        <f aca="false">MIN($F$3-F53,H52)</f>
        <v>1072.63752849242</v>
      </c>
      <c r="H53" s="50" t="n">
        <f aca="false">H52-G53</f>
        <v>1099872.35107454</v>
      </c>
      <c r="I53" s="50" t="n">
        <f aca="false">K52*Annahmen!$B$60/12</f>
        <v>6222.82403649931</v>
      </c>
      <c r="J53" s="50" t="n">
        <f aca="false">MIN($I$3-I53,K52)</f>
        <v>1891.25625140061</v>
      </c>
      <c r="K53" s="50" t="n">
        <f aca="false">K52-J53</f>
        <v>1864955.95469839</v>
      </c>
      <c r="L53" s="50" t="n">
        <f aca="false">C53+F53+I53</f>
        <v>12574.4876418513</v>
      </c>
      <c r="M53" s="50" t="n">
        <f aca="false">D53+G53+J53</f>
        <v>4614.59264604862</v>
      </c>
      <c r="N53" s="50" t="n">
        <f aca="false">L53+M53</f>
        <v>17189.0802878999</v>
      </c>
      <c r="O53" s="50" t="n">
        <f aca="false">E53+H53+K53</f>
        <v>4690842.1511521</v>
      </c>
    </row>
    <row r="54" customFormat="false" ht="15" hidden="false" customHeight="false" outlineLevel="0" collapsed="false">
      <c r="A54" s="49" t="n">
        <v>48</v>
      </c>
      <c r="B54" s="49" t="n">
        <f aca="false">ROUNDUP(A54/12,0)</f>
        <v>4</v>
      </c>
      <c r="C54" s="50" t="n">
        <f aca="false">E53*Annahmen!$B$58/12</f>
        <v>3595.86217787326</v>
      </c>
      <c r="D54" s="50" t="n">
        <f aca="false">MIN($C$3-C54,E53)</f>
        <v>1654.13782212674</v>
      </c>
      <c r="E54" s="50" t="n">
        <f aca="false">E53-D54</f>
        <v>1724359.70755704</v>
      </c>
      <c r="F54" s="50" t="n">
        <f aca="false">H53*Annahmen!$B$59/12</f>
        <v>2749.68087768635</v>
      </c>
      <c r="G54" s="50" t="n">
        <f aca="false">MIN($F$3-F54,H53)</f>
        <v>1075.31912231365</v>
      </c>
      <c r="H54" s="50" t="n">
        <f aca="false">H53-G54</f>
        <v>1098797.03195223</v>
      </c>
      <c r="I54" s="50" t="n">
        <f aca="false">K53*Annahmen!$B$60/12</f>
        <v>6216.51984899464</v>
      </c>
      <c r="J54" s="50" t="n">
        <f aca="false">MIN($I$3-I54,K53)</f>
        <v>1897.56043890528</v>
      </c>
      <c r="K54" s="50" t="n">
        <f aca="false">K53-J54</f>
        <v>1863058.39425949</v>
      </c>
      <c r="L54" s="50" t="n">
        <f aca="false">C54+F54+I54</f>
        <v>12562.0629045543</v>
      </c>
      <c r="M54" s="50" t="n">
        <f aca="false">D54+G54+J54</f>
        <v>4627.01738334567</v>
      </c>
      <c r="N54" s="50" t="n">
        <f aca="false">L54+M54</f>
        <v>17189.0802878999</v>
      </c>
      <c r="O54" s="50" t="n">
        <f aca="false">E54+H54+K54</f>
        <v>4686215.13376875</v>
      </c>
    </row>
    <row r="55" customFormat="false" ht="15" hidden="false" customHeight="false" outlineLevel="0" collapsed="false">
      <c r="A55" s="49" t="n">
        <v>49</v>
      </c>
      <c r="B55" s="49" t="n">
        <f aca="false">ROUNDUP(A55/12,0)</f>
        <v>5</v>
      </c>
      <c r="C55" s="50" t="n">
        <f aca="false">E54*Annahmen!$B$58/12</f>
        <v>3592.4160574105</v>
      </c>
      <c r="D55" s="50" t="n">
        <f aca="false">MIN($C$3-C55,E54)</f>
        <v>1657.58394258951</v>
      </c>
      <c r="E55" s="50" t="n">
        <f aca="false">E54-D55</f>
        <v>1722702.12361445</v>
      </c>
      <c r="F55" s="50" t="n">
        <f aca="false">H54*Annahmen!$B$59/12</f>
        <v>2746.99257988057</v>
      </c>
      <c r="G55" s="50" t="n">
        <f aca="false">MIN($F$3-F55,H54)</f>
        <v>1078.00742011944</v>
      </c>
      <c r="H55" s="50" t="n">
        <f aca="false">H54-G55</f>
        <v>1097719.02453211</v>
      </c>
      <c r="I55" s="50" t="n">
        <f aca="false">K54*Annahmen!$B$60/12</f>
        <v>6210.19464753162</v>
      </c>
      <c r="J55" s="50" t="n">
        <f aca="false">MIN($I$3-I55,K54)</f>
        <v>1903.8856403683</v>
      </c>
      <c r="K55" s="50" t="n">
        <f aca="false">K54-J55</f>
        <v>1861154.50861912</v>
      </c>
      <c r="L55" s="50" t="n">
        <f aca="false">C55+F55+I55</f>
        <v>12549.6032848227</v>
      </c>
      <c r="M55" s="50" t="n">
        <f aca="false">D55+G55+J55</f>
        <v>4639.47700307724</v>
      </c>
      <c r="N55" s="50" t="n">
        <f aca="false">L55+M55</f>
        <v>17189.0802878999</v>
      </c>
      <c r="O55" s="50" t="n">
        <f aca="false">E55+H55+K55</f>
        <v>4681575.65676567</v>
      </c>
    </row>
    <row r="56" customFormat="false" ht="15" hidden="false" customHeight="false" outlineLevel="0" collapsed="false">
      <c r="A56" s="49" t="n">
        <v>50</v>
      </c>
      <c r="B56" s="49" t="n">
        <f aca="false">ROUNDUP(A56/12,0)</f>
        <v>5</v>
      </c>
      <c r="C56" s="50" t="n">
        <f aca="false">E55*Annahmen!$B$58/12</f>
        <v>3588.9627575301</v>
      </c>
      <c r="D56" s="50" t="n">
        <f aca="false">MIN($C$3-C56,E55)</f>
        <v>1661.0372424699</v>
      </c>
      <c r="E56" s="50" t="n">
        <f aca="false">E55-D56</f>
        <v>1721041.08637198</v>
      </c>
      <c r="F56" s="50" t="n">
        <f aca="false">H55*Annahmen!$B$59/12</f>
        <v>2744.29756133027</v>
      </c>
      <c r="G56" s="50" t="n">
        <f aca="false">MIN($F$3-F56,H55)</f>
        <v>1080.70243866973</v>
      </c>
      <c r="H56" s="50" t="n">
        <f aca="false">H55-G56</f>
        <v>1096638.32209344</v>
      </c>
      <c r="I56" s="50" t="n">
        <f aca="false">K55*Annahmen!$B$60/12</f>
        <v>6203.84836206373</v>
      </c>
      <c r="J56" s="50" t="n">
        <f aca="false">MIN($I$3-I56,K55)</f>
        <v>1910.23192583619</v>
      </c>
      <c r="K56" s="50" t="n">
        <f aca="false">K55-J56</f>
        <v>1859244.27669328</v>
      </c>
      <c r="L56" s="50" t="n">
        <f aca="false">C56+F56+I56</f>
        <v>12537.1086809241</v>
      </c>
      <c r="M56" s="50" t="n">
        <f aca="false">D56+G56+J56</f>
        <v>4651.97160697583</v>
      </c>
      <c r="N56" s="50" t="n">
        <f aca="false">L56+M56</f>
        <v>17189.0802878999</v>
      </c>
      <c r="O56" s="50" t="n">
        <f aca="false">E56+H56+K56</f>
        <v>4676923.6851587</v>
      </c>
    </row>
    <row r="57" customFormat="false" ht="15" hidden="false" customHeight="false" outlineLevel="0" collapsed="false">
      <c r="A57" s="49" t="n">
        <v>51</v>
      </c>
      <c r="B57" s="49" t="n">
        <f aca="false">ROUNDUP(A57/12,0)</f>
        <v>5</v>
      </c>
      <c r="C57" s="50" t="n">
        <f aca="false">E56*Annahmen!$B$58/12</f>
        <v>3585.50226327496</v>
      </c>
      <c r="D57" s="50" t="n">
        <f aca="false">MIN($C$3-C57,E56)</f>
        <v>1664.49773672505</v>
      </c>
      <c r="E57" s="50" t="n">
        <f aca="false">E56-D57</f>
        <v>1719376.58863525</v>
      </c>
      <c r="F57" s="50" t="n">
        <f aca="false">H56*Annahmen!$B$59/12</f>
        <v>2741.59580523359</v>
      </c>
      <c r="G57" s="50" t="n">
        <f aca="false">MIN($F$3-F57,H56)</f>
        <v>1083.40419476641</v>
      </c>
      <c r="H57" s="50" t="n">
        <f aca="false">H56-G57</f>
        <v>1095554.91789867</v>
      </c>
      <c r="I57" s="50" t="n">
        <f aca="false">K56*Annahmen!$B$60/12</f>
        <v>6197.48092231094</v>
      </c>
      <c r="J57" s="50" t="n">
        <f aca="false">MIN($I$3-I57,K56)</f>
        <v>1916.59936558898</v>
      </c>
      <c r="K57" s="50" t="n">
        <f aca="false">K56-J57</f>
        <v>1857327.67732769</v>
      </c>
      <c r="L57" s="50" t="n">
        <f aca="false">C57+F57+I57</f>
        <v>12524.5789908195</v>
      </c>
      <c r="M57" s="50" t="n">
        <f aca="false">D57+G57+J57</f>
        <v>4664.50129708044</v>
      </c>
      <c r="N57" s="50" t="n">
        <f aca="false">L57+M57</f>
        <v>17189.0802878999</v>
      </c>
      <c r="O57" s="50" t="n">
        <f aca="false">E57+H57+K57</f>
        <v>4672259.18386162</v>
      </c>
    </row>
    <row r="58" customFormat="false" ht="15" hidden="false" customHeight="false" outlineLevel="0" collapsed="false">
      <c r="A58" s="49" t="n">
        <v>52</v>
      </c>
      <c r="B58" s="49" t="n">
        <f aca="false">ROUNDUP(A58/12,0)</f>
        <v>5</v>
      </c>
      <c r="C58" s="50" t="n">
        <f aca="false">E57*Annahmen!$B$58/12</f>
        <v>3582.03455965678</v>
      </c>
      <c r="D58" s="50" t="n">
        <f aca="false">MIN($C$3-C58,E57)</f>
        <v>1667.96544034322</v>
      </c>
      <c r="E58" s="50" t="n">
        <f aca="false">E57-D58</f>
        <v>1717708.62319491</v>
      </c>
      <c r="F58" s="50" t="n">
        <f aca="false">H57*Annahmen!$B$59/12</f>
        <v>2738.88729474668</v>
      </c>
      <c r="G58" s="50" t="n">
        <f aca="false">MIN($F$3-F58,H57)</f>
        <v>1086.11270525332</v>
      </c>
      <c r="H58" s="50" t="n">
        <f aca="false">H57-G58</f>
        <v>1094468.80519342</v>
      </c>
      <c r="I58" s="50" t="n">
        <f aca="false">K57*Annahmen!$B$60/12</f>
        <v>6191.09225775898</v>
      </c>
      <c r="J58" s="50" t="n">
        <f aca="false">MIN($I$3-I58,K57)</f>
        <v>1922.98803014094</v>
      </c>
      <c r="K58" s="50" t="n">
        <f aca="false">K57-J58</f>
        <v>1855404.68929755</v>
      </c>
      <c r="L58" s="50" t="n">
        <f aca="false">C58+F58+I58</f>
        <v>12512.0141121624</v>
      </c>
      <c r="M58" s="50" t="n">
        <f aca="false">D58+G58+J58</f>
        <v>4677.06617573749</v>
      </c>
      <c r="N58" s="50" t="n">
        <f aca="false">L58+M58</f>
        <v>17189.0802878999</v>
      </c>
      <c r="O58" s="50" t="n">
        <f aca="false">E58+H58+K58</f>
        <v>4667582.11768588</v>
      </c>
    </row>
    <row r="59" customFormat="false" ht="15" hidden="false" customHeight="false" outlineLevel="0" collapsed="false">
      <c r="A59" s="49" t="n">
        <v>53</v>
      </c>
      <c r="B59" s="49" t="n">
        <f aca="false">ROUNDUP(A59/12,0)</f>
        <v>5</v>
      </c>
      <c r="C59" s="50" t="n">
        <f aca="false">E58*Annahmen!$B$58/12</f>
        <v>3578.55963165606</v>
      </c>
      <c r="D59" s="50" t="n">
        <f aca="false">MIN($C$3-C59,E58)</f>
        <v>1671.44036834394</v>
      </c>
      <c r="E59" s="50" t="n">
        <f aca="false">E58-D59</f>
        <v>1716037.18282657</v>
      </c>
      <c r="F59" s="50" t="n">
        <f aca="false">H58*Annahmen!$B$59/12</f>
        <v>2736.17201298354</v>
      </c>
      <c r="G59" s="50" t="n">
        <f aca="false">MIN($F$3-F59,H58)</f>
        <v>1088.82798701646</v>
      </c>
      <c r="H59" s="50" t="n">
        <f aca="false">H58-G59</f>
        <v>1093379.9772064</v>
      </c>
      <c r="I59" s="50" t="n">
        <f aca="false">K58*Annahmen!$B$60/12</f>
        <v>6184.68229765851</v>
      </c>
      <c r="J59" s="50" t="n">
        <f aca="false">MIN($I$3-I59,K58)</f>
        <v>1929.39799024141</v>
      </c>
      <c r="K59" s="50" t="n">
        <f aca="false">K58-J59</f>
        <v>1853475.29130731</v>
      </c>
      <c r="L59" s="50" t="n">
        <f aca="false">C59+F59+I59</f>
        <v>12499.4139422981</v>
      </c>
      <c r="M59" s="50" t="n">
        <f aca="false">D59+G59+J59</f>
        <v>4689.66634560181</v>
      </c>
      <c r="N59" s="50" t="n">
        <f aca="false">L59+M59</f>
        <v>17189.0802878999</v>
      </c>
      <c r="O59" s="50" t="n">
        <f aca="false">E59+H59+K59</f>
        <v>4662892.45134028</v>
      </c>
    </row>
    <row r="60" customFormat="false" ht="15" hidden="false" customHeight="false" outlineLevel="0" collapsed="false">
      <c r="A60" s="49" t="n">
        <v>54</v>
      </c>
      <c r="B60" s="49" t="n">
        <f aca="false">ROUNDUP(A60/12,0)</f>
        <v>5</v>
      </c>
      <c r="C60" s="50" t="n">
        <f aca="false">E59*Annahmen!$B$58/12</f>
        <v>3575.07746422201</v>
      </c>
      <c r="D60" s="50" t="n">
        <f aca="false">MIN($C$3-C60,E59)</f>
        <v>1674.92253577799</v>
      </c>
      <c r="E60" s="50" t="n">
        <f aca="false">E59-D60</f>
        <v>1714362.26029079</v>
      </c>
      <c r="F60" s="50" t="n">
        <f aca="false">H59*Annahmen!$B$59/12</f>
        <v>2733.449943016</v>
      </c>
      <c r="G60" s="50" t="n">
        <f aca="false">MIN($F$3-F60,H59)</f>
        <v>1091.550056984</v>
      </c>
      <c r="H60" s="50" t="n">
        <f aca="false">H59-G60</f>
        <v>1092288.42714942</v>
      </c>
      <c r="I60" s="50" t="n">
        <f aca="false">K59*Annahmen!$B$60/12</f>
        <v>6178.25097102437</v>
      </c>
      <c r="J60" s="50" t="n">
        <f aca="false">MIN($I$3-I60,K59)</f>
        <v>1935.82931687555</v>
      </c>
      <c r="K60" s="50" t="n">
        <f aca="false">K59-J60</f>
        <v>1851539.46199044</v>
      </c>
      <c r="L60" s="50" t="n">
        <f aca="false">C60+F60+I60</f>
        <v>12486.7783782624</v>
      </c>
      <c r="M60" s="50" t="n">
        <f aca="false">D60+G60+J60</f>
        <v>4702.30190963754</v>
      </c>
      <c r="N60" s="50" t="n">
        <f aca="false">L60+M60</f>
        <v>17189.0802878999</v>
      </c>
      <c r="O60" s="50" t="n">
        <f aca="false">E60+H60+K60</f>
        <v>4658190.14943064</v>
      </c>
    </row>
    <row r="61" customFormat="false" ht="15" hidden="false" customHeight="false" outlineLevel="0" collapsed="false">
      <c r="A61" s="49" t="n">
        <v>55</v>
      </c>
      <c r="B61" s="49" t="n">
        <f aca="false">ROUNDUP(A61/12,0)</f>
        <v>5</v>
      </c>
      <c r="C61" s="50" t="n">
        <f aca="false">E60*Annahmen!$B$58/12</f>
        <v>3571.58804227248</v>
      </c>
      <c r="D61" s="50" t="n">
        <f aca="false">MIN($C$3-C61,E60)</f>
        <v>1678.41195772753</v>
      </c>
      <c r="E61" s="50" t="n">
        <f aca="false">E60-D61</f>
        <v>1712683.84833306</v>
      </c>
      <c r="F61" s="50" t="n">
        <f aca="false">H60*Annahmen!$B$59/12</f>
        <v>2730.72106787354</v>
      </c>
      <c r="G61" s="50" t="n">
        <f aca="false">MIN($F$3-F61,H60)</f>
        <v>1094.27893212646</v>
      </c>
      <c r="H61" s="50" t="n">
        <f aca="false">H60-G61</f>
        <v>1091194.14821729</v>
      </c>
      <c r="I61" s="50" t="n">
        <f aca="false">K60*Annahmen!$B$60/12</f>
        <v>6171.79820663478</v>
      </c>
      <c r="J61" s="50" t="n">
        <f aca="false">MIN($I$3-I61,K60)</f>
        <v>1942.28208126514</v>
      </c>
      <c r="K61" s="50" t="n">
        <f aca="false">K60-J61</f>
        <v>1849597.17990917</v>
      </c>
      <c r="L61" s="50" t="n">
        <f aca="false">C61+F61+I61</f>
        <v>12474.1073167808</v>
      </c>
      <c r="M61" s="50" t="n">
        <f aca="false">D61+G61+J61</f>
        <v>4714.97297111912</v>
      </c>
      <c r="N61" s="50" t="n">
        <f aca="false">L61+M61</f>
        <v>17189.0802878999</v>
      </c>
      <c r="O61" s="50" t="n">
        <f aca="false">E61+H61+K61</f>
        <v>4653475.17645952</v>
      </c>
    </row>
    <row r="62" customFormat="false" ht="15" hidden="false" customHeight="false" outlineLevel="0" collapsed="false">
      <c r="A62" s="49" t="n">
        <v>56</v>
      </c>
      <c r="B62" s="49" t="n">
        <f aca="false">ROUNDUP(A62/12,0)</f>
        <v>5</v>
      </c>
      <c r="C62" s="50" t="n">
        <f aca="false">E61*Annahmen!$B$58/12</f>
        <v>3568.09135069388</v>
      </c>
      <c r="D62" s="50" t="n">
        <f aca="false">MIN($C$3-C62,E61)</f>
        <v>1681.90864930613</v>
      </c>
      <c r="E62" s="50" t="n">
        <f aca="false">E61-D62</f>
        <v>1711001.93968375</v>
      </c>
      <c r="F62" s="50" t="n">
        <f aca="false">H61*Annahmen!$B$59/12</f>
        <v>2727.98537054323</v>
      </c>
      <c r="G62" s="50" t="n">
        <f aca="false">MIN($F$3-F62,H61)</f>
        <v>1097.01462945677</v>
      </c>
      <c r="H62" s="50" t="n">
        <f aca="false">H61-G62</f>
        <v>1090097.13358783</v>
      </c>
      <c r="I62" s="50" t="n">
        <f aca="false">K61*Annahmen!$B$60/12</f>
        <v>6165.32393303057</v>
      </c>
      <c r="J62" s="50" t="n">
        <f aca="false">MIN($I$3-I62,K61)</f>
        <v>1948.75635486935</v>
      </c>
      <c r="K62" s="50" t="n">
        <f aca="false">K61-J62</f>
        <v>1847648.4235543</v>
      </c>
      <c r="L62" s="50" t="n">
        <f aca="false">C62+F62+I62</f>
        <v>12461.4006542677</v>
      </c>
      <c r="M62" s="50" t="n">
        <f aca="false">D62+G62+J62</f>
        <v>4727.67963363226</v>
      </c>
      <c r="N62" s="50" t="n">
        <f aca="false">L62+M62</f>
        <v>17189.0802878999</v>
      </c>
      <c r="O62" s="50" t="n">
        <f aca="false">E62+H62+K62</f>
        <v>4648747.49682589</v>
      </c>
    </row>
    <row r="63" customFormat="false" ht="15" hidden="false" customHeight="false" outlineLevel="0" collapsed="false">
      <c r="A63" s="49" t="n">
        <v>57</v>
      </c>
      <c r="B63" s="49" t="n">
        <f aca="false">ROUNDUP(A63/12,0)</f>
        <v>5</v>
      </c>
      <c r="C63" s="50" t="n">
        <f aca="false">E62*Annahmen!$B$58/12</f>
        <v>3564.58737434116</v>
      </c>
      <c r="D63" s="50" t="n">
        <f aca="false">MIN($C$3-C63,E62)</f>
        <v>1685.41262565885</v>
      </c>
      <c r="E63" s="50" t="n">
        <f aca="false">E62-D63</f>
        <v>1709316.5270581</v>
      </c>
      <c r="F63" s="50" t="n">
        <f aca="false">H62*Annahmen!$B$59/12</f>
        <v>2725.24283396959</v>
      </c>
      <c r="G63" s="50" t="n">
        <f aca="false">MIN($F$3-F63,H62)</f>
        <v>1099.75716603042</v>
      </c>
      <c r="H63" s="50" t="n">
        <f aca="false">H62-G63</f>
        <v>1088997.3764218</v>
      </c>
      <c r="I63" s="50" t="n">
        <f aca="false">K62*Annahmen!$B$60/12</f>
        <v>6158.82807851434</v>
      </c>
      <c r="J63" s="50" t="n">
        <f aca="false">MIN($I$3-I63,K62)</f>
        <v>1955.25220938558</v>
      </c>
      <c r="K63" s="50" t="n">
        <f aca="false">K62-J63</f>
        <v>1845693.17134491</v>
      </c>
      <c r="L63" s="50" t="n">
        <f aca="false">C63+F63+I63</f>
        <v>12448.6582868251</v>
      </c>
      <c r="M63" s="50" t="n">
        <f aca="false">D63+G63+J63</f>
        <v>4740.42200107485</v>
      </c>
      <c r="N63" s="50" t="n">
        <f aca="false">L63+M63</f>
        <v>17189.0802878999</v>
      </c>
      <c r="O63" s="50" t="n">
        <f aca="false">E63+H63+K63</f>
        <v>4644007.07482482</v>
      </c>
    </row>
    <row r="64" customFormat="false" ht="15" hidden="false" customHeight="false" outlineLevel="0" collapsed="false">
      <c r="A64" s="49" t="n">
        <v>58</v>
      </c>
      <c r="B64" s="49" t="n">
        <f aca="false">ROUNDUP(A64/12,0)</f>
        <v>5</v>
      </c>
      <c r="C64" s="50" t="n">
        <f aca="false">E63*Annahmen!$B$58/12</f>
        <v>3561.0760980377</v>
      </c>
      <c r="D64" s="50" t="n">
        <f aca="false">MIN($C$3-C64,E63)</f>
        <v>1688.9239019623</v>
      </c>
      <c r="E64" s="50" t="n">
        <f aca="false">E63-D64</f>
        <v>1707627.60315613</v>
      </c>
      <c r="F64" s="50" t="n">
        <f aca="false">H63*Annahmen!$B$59/12</f>
        <v>2722.49344105451</v>
      </c>
      <c r="G64" s="50" t="n">
        <f aca="false">MIN($F$3-F64,H63)</f>
        <v>1102.50655894549</v>
      </c>
      <c r="H64" s="50" t="n">
        <f aca="false">H63-G64</f>
        <v>1087894.86986286</v>
      </c>
      <c r="I64" s="50" t="n">
        <f aca="false">K63*Annahmen!$B$60/12</f>
        <v>6152.31057114972</v>
      </c>
      <c r="J64" s="50" t="n">
        <f aca="false">MIN($I$3-I64,K63)</f>
        <v>1961.7697167502</v>
      </c>
      <c r="K64" s="50" t="n">
        <f aca="false">K63-J64</f>
        <v>1843731.40162816</v>
      </c>
      <c r="L64" s="50" t="n">
        <f aca="false">C64+F64+I64</f>
        <v>12435.8801102419</v>
      </c>
      <c r="M64" s="50" t="n">
        <f aca="false">D64+G64+J64</f>
        <v>4753.200177658</v>
      </c>
      <c r="N64" s="50" t="n">
        <f aca="false">L64+M64</f>
        <v>17189.0802878999</v>
      </c>
      <c r="O64" s="50" t="n">
        <f aca="false">E64+H64+K64</f>
        <v>4639253.87464716</v>
      </c>
    </row>
    <row r="65" customFormat="false" ht="15" hidden="false" customHeight="false" outlineLevel="0" collapsed="false">
      <c r="A65" s="49" t="n">
        <v>59</v>
      </c>
      <c r="B65" s="49" t="n">
        <f aca="false">ROUNDUP(A65/12,0)</f>
        <v>5</v>
      </c>
      <c r="C65" s="50" t="n">
        <f aca="false">E64*Annahmen!$B$58/12</f>
        <v>3557.55750657528</v>
      </c>
      <c r="D65" s="50" t="n">
        <f aca="false">MIN($C$3-C65,E64)</f>
        <v>1692.44249342472</v>
      </c>
      <c r="E65" s="50" t="n">
        <f aca="false">E64-D65</f>
        <v>1705935.16066271</v>
      </c>
      <c r="F65" s="50" t="n">
        <f aca="false">H64*Annahmen!$B$59/12</f>
        <v>2719.73717465715</v>
      </c>
      <c r="G65" s="50" t="n">
        <f aca="false">MIN($F$3-F65,H64)</f>
        <v>1105.26282534286</v>
      </c>
      <c r="H65" s="50" t="n">
        <f aca="false">H64-G65</f>
        <v>1086789.60703752</v>
      </c>
      <c r="I65" s="50" t="n">
        <f aca="false">K64*Annahmen!$B$60/12</f>
        <v>6145.77133876055</v>
      </c>
      <c r="J65" s="50" t="n">
        <f aca="false">MIN($I$3-I65,K64)</f>
        <v>1968.30894913937</v>
      </c>
      <c r="K65" s="50" t="n">
        <f aca="false">K64-J65</f>
        <v>1841763.09267903</v>
      </c>
      <c r="L65" s="50" t="n">
        <f aca="false">C65+F65+I65</f>
        <v>12423.066019993</v>
      </c>
      <c r="M65" s="50" t="n">
        <f aca="false">D65+G65+J65</f>
        <v>4766.01426790695</v>
      </c>
      <c r="N65" s="50" t="n">
        <f aca="false">L65+M65</f>
        <v>17189.0802878999</v>
      </c>
      <c r="O65" s="50" t="n">
        <f aca="false">E65+H65+K65</f>
        <v>4634487.86037925</v>
      </c>
    </row>
    <row r="66" customFormat="false" ht="15" hidden="false" customHeight="false" outlineLevel="0" collapsed="false">
      <c r="A66" s="49" t="n">
        <v>60</v>
      </c>
      <c r="B66" s="49" t="n">
        <f aca="false">ROUNDUP(A66/12,0)</f>
        <v>5</v>
      </c>
      <c r="C66" s="50" t="n">
        <f aca="false">E65*Annahmen!$B$58/12</f>
        <v>3554.03158471398</v>
      </c>
      <c r="D66" s="50" t="n">
        <f aca="false">MIN($C$3-C66,E65)</f>
        <v>1695.96841528603</v>
      </c>
      <c r="E66" s="50" t="n">
        <f aca="false">E65-D66</f>
        <v>1704239.19224742</v>
      </c>
      <c r="F66" s="50" t="n">
        <f aca="false">H65*Annahmen!$B$59/12</f>
        <v>2716.97401759379</v>
      </c>
      <c r="G66" s="50" t="n">
        <f aca="false">MIN($F$3-F66,H65)</f>
        <v>1108.02598240621</v>
      </c>
      <c r="H66" s="50" t="n">
        <f aca="false">H65-G66</f>
        <v>1085681.58105511</v>
      </c>
      <c r="I66" s="50" t="n">
        <f aca="false">K65*Annahmen!$B$60/12</f>
        <v>6139.21030893008</v>
      </c>
      <c r="J66" s="50" t="n">
        <f aca="false">MIN($I$3-I66,K65)</f>
        <v>1974.86997896984</v>
      </c>
      <c r="K66" s="50" t="n">
        <f aca="false">K65-J66</f>
        <v>1839788.22270006</v>
      </c>
      <c r="L66" s="50" t="n">
        <f aca="false">C66+F66+I66</f>
        <v>12410.2159112379</v>
      </c>
      <c r="M66" s="50" t="n">
        <f aca="false">D66+G66+J66</f>
        <v>4778.86437666207</v>
      </c>
      <c r="N66" s="50" t="n">
        <f aca="false">L66+M66</f>
        <v>17189.0802878999</v>
      </c>
      <c r="O66" s="50" t="n">
        <f aca="false">E66+H66+K66</f>
        <v>4629708.99600259</v>
      </c>
    </row>
    <row r="67" customFormat="false" ht="15" hidden="false" customHeight="false" outlineLevel="0" collapsed="false">
      <c r="A67" s="49" t="n">
        <v>61</v>
      </c>
      <c r="B67" s="49" t="n">
        <f aca="false">ROUNDUP(A67/12,0)</f>
        <v>6</v>
      </c>
      <c r="C67" s="50" t="n">
        <f aca="false">E66*Annahmen!$B$58/12</f>
        <v>3550.49831718213</v>
      </c>
      <c r="D67" s="50" t="n">
        <f aca="false">MIN($C$3-C67,E66)</f>
        <v>1699.50168281787</v>
      </c>
      <c r="E67" s="50" t="n">
        <f aca="false">E66-D67</f>
        <v>1702539.69056461</v>
      </c>
      <c r="F67" s="50" t="n">
        <f aca="false">H66*Annahmen!$B$59/12</f>
        <v>2714.20395263777</v>
      </c>
      <c r="G67" s="50" t="n">
        <f aca="false">MIN($F$3-F67,H66)</f>
        <v>1110.79604736223</v>
      </c>
      <c r="H67" s="50" t="n">
        <f aca="false">H66-G67</f>
        <v>1084570.78500775</v>
      </c>
      <c r="I67" s="50" t="n">
        <f aca="false">K66*Annahmen!$B$60/12</f>
        <v>6132.62740900018</v>
      </c>
      <c r="J67" s="50" t="n">
        <f aca="false">MIN($I$3-I67,K66)</f>
        <v>1981.45287889974</v>
      </c>
      <c r="K67" s="50" t="n">
        <f aca="false">K66-J67</f>
        <v>1837806.76982116</v>
      </c>
      <c r="L67" s="50" t="n">
        <f aca="false">C67+F67+I67</f>
        <v>12397.3296788201</v>
      </c>
      <c r="M67" s="50" t="n">
        <f aca="false">D67+G67+J67</f>
        <v>4791.75060907984</v>
      </c>
      <c r="N67" s="50" t="n">
        <f aca="false">L67+M67</f>
        <v>17189.0802878999</v>
      </c>
      <c r="O67" s="50" t="n">
        <f aca="false">E67+H67+K67</f>
        <v>4624917.24539351</v>
      </c>
    </row>
    <row r="68" customFormat="false" ht="15" hidden="false" customHeight="false" outlineLevel="0" collapsed="false">
      <c r="A68" s="49" t="n">
        <v>62</v>
      </c>
      <c r="B68" s="49" t="n">
        <f aca="false">ROUNDUP(A68/12,0)</f>
        <v>6</v>
      </c>
      <c r="C68" s="50" t="n">
        <f aca="false">E67*Annahmen!$B$58/12</f>
        <v>3546.95768867626</v>
      </c>
      <c r="D68" s="50" t="n">
        <f aca="false">MIN($C$3-C68,E67)</f>
        <v>1703.04231132374</v>
      </c>
      <c r="E68" s="50" t="n">
        <f aca="false">E67-D68</f>
        <v>1700836.64825328</v>
      </c>
      <c r="F68" s="50" t="n">
        <f aca="false">H67*Annahmen!$B$59/12</f>
        <v>2711.42696251937</v>
      </c>
      <c r="G68" s="50" t="n">
        <f aca="false">MIN($F$3-F68,H67)</f>
        <v>1113.57303748063</v>
      </c>
      <c r="H68" s="50" t="n">
        <f aca="false">H67-G68</f>
        <v>1083457.21197027</v>
      </c>
      <c r="I68" s="50" t="n">
        <f aca="false">K67*Annahmen!$B$60/12</f>
        <v>6126.02256607052</v>
      </c>
      <c r="J68" s="50" t="n">
        <f aca="false">MIN($I$3-I68,K67)</f>
        <v>1988.0577218294</v>
      </c>
      <c r="K68" s="50" t="n">
        <f aca="false">K67-J68</f>
        <v>1835818.71209933</v>
      </c>
      <c r="L68" s="50" t="n">
        <f aca="false">C68+F68+I68</f>
        <v>12384.4072172661</v>
      </c>
      <c r="M68" s="50" t="n">
        <f aca="false">D68+G68+J68</f>
        <v>4804.67307063378</v>
      </c>
      <c r="N68" s="50" t="n">
        <f aca="false">L68+M68</f>
        <v>17189.0802878999</v>
      </c>
      <c r="O68" s="50" t="n">
        <f aca="false">E68+H68+K68</f>
        <v>4620112.57232287</v>
      </c>
    </row>
    <row r="69" customFormat="false" ht="15" hidden="false" customHeight="false" outlineLevel="0" collapsed="false">
      <c r="A69" s="49" t="n">
        <v>63</v>
      </c>
      <c r="B69" s="49" t="n">
        <f aca="false">ROUNDUP(A69/12,0)</f>
        <v>6</v>
      </c>
      <c r="C69" s="50" t="n">
        <f aca="false">E68*Annahmen!$B$58/12</f>
        <v>3543.409683861</v>
      </c>
      <c r="D69" s="50" t="n">
        <f aca="false">MIN($C$3-C69,E68)</f>
        <v>1706.590316139</v>
      </c>
      <c r="E69" s="50" t="n">
        <f aca="false">E68-D69</f>
        <v>1699130.05793714</v>
      </c>
      <c r="F69" s="50" t="n">
        <f aca="false">H68*Annahmen!$B$59/12</f>
        <v>2708.64302992567</v>
      </c>
      <c r="G69" s="50" t="n">
        <f aca="false">MIN($F$3-F69,H68)</f>
        <v>1116.35697007434</v>
      </c>
      <c r="H69" s="50" t="n">
        <f aca="false">H68-G69</f>
        <v>1082340.85500019</v>
      </c>
      <c r="I69" s="50" t="n">
        <f aca="false">K68*Annahmen!$B$60/12</f>
        <v>6119.39570699775</v>
      </c>
      <c r="J69" s="50" t="n">
        <f aca="false">MIN($I$3-I69,K68)</f>
        <v>1994.68458090217</v>
      </c>
      <c r="K69" s="50" t="n">
        <f aca="false">K68-J69</f>
        <v>1833824.02751842</v>
      </c>
      <c r="L69" s="50" t="n">
        <f aca="false">C69+F69+I69</f>
        <v>12371.4484207844</v>
      </c>
      <c r="M69" s="50" t="n">
        <f aca="false">D69+G69+J69</f>
        <v>4817.6318671155</v>
      </c>
      <c r="N69" s="50" t="n">
        <f aca="false">L69+M69</f>
        <v>17189.0802878999</v>
      </c>
      <c r="O69" s="50" t="n">
        <f aca="false">E69+H69+K69</f>
        <v>4615294.94045576</v>
      </c>
    </row>
    <row r="70" customFormat="false" ht="15" hidden="false" customHeight="false" outlineLevel="0" collapsed="false">
      <c r="A70" s="49" t="n">
        <v>64</v>
      </c>
      <c r="B70" s="49" t="n">
        <f aca="false">ROUNDUP(A70/12,0)</f>
        <v>6</v>
      </c>
      <c r="C70" s="50" t="n">
        <f aca="false">E69*Annahmen!$B$58/12</f>
        <v>3539.85428736905</v>
      </c>
      <c r="D70" s="50" t="n">
        <f aca="false">MIN($C$3-C70,E69)</f>
        <v>1710.14571263096</v>
      </c>
      <c r="E70" s="50" t="n">
        <f aca="false">E69-D70</f>
        <v>1697419.91222451</v>
      </c>
      <c r="F70" s="50" t="n">
        <f aca="false">H69*Annahmen!$B$59/12</f>
        <v>2705.85213750048</v>
      </c>
      <c r="G70" s="50" t="n">
        <f aca="false">MIN($F$3-F70,H69)</f>
        <v>1119.14786249952</v>
      </c>
      <c r="H70" s="50" t="n">
        <f aca="false">H69-G70</f>
        <v>1081221.70713769</v>
      </c>
      <c r="I70" s="50" t="n">
        <f aca="false">K69*Annahmen!$B$60/12</f>
        <v>6112.74675839475</v>
      </c>
      <c r="J70" s="50" t="n">
        <f aca="false">MIN($I$3-I70,K69)</f>
        <v>2001.33352950517</v>
      </c>
      <c r="K70" s="50" t="n">
        <f aca="false">K69-J70</f>
        <v>1831822.69398892</v>
      </c>
      <c r="L70" s="50" t="n">
        <f aca="false">C70+F70+I70</f>
        <v>12358.4531832643</v>
      </c>
      <c r="M70" s="50" t="n">
        <f aca="false">D70+G70+J70</f>
        <v>4830.62710463565</v>
      </c>
      <c r="N70" s="50" t="n">
        <f aca="false">L70+M70</f>
        <v>17189.0802878999</v>
      </c>
      <c r="O70" s="50" t="n">
        <f aca="false">E70+H70+K70</f>
        <v>4610464.31335112</v>
      </c>
    </row>
    <row r="71" customFormat="false" ht="15" hidden="false" customHeight="false" outlineLevel="0" collapsed="false">
      <c r="A71" s="49" t="n">
        <v>65</v>
      </c>
      <c r="B71" s="49" t="n">
        <f aca="false">ROUNDUP(A71/12,0)</f>
        <v>6</v>
      </c>
      <c r="C71" s="50" t="n">
        <f aca="false">E70*Annahmen!$B$58/12</f>
        <v>3536.29148380107</v>
      </c>
      <c r="D71" s="50" t="n">
        <f aca="false">MIN($C$3-C71,E70)</f>
        <v>1713.70851619894</v>
      </c>
      <c r="E71" s="50" t="n">
        <f aca="false">E70-D71</f>
        <v>1695706.20370831</v>
      </c>
      <c r="F71" s="50" t="n">
        <f aca="false">H70*Annahmen!$B$59/12</f>
        <v>2703.05426784423</v>
      </c>
      <c r="G71" s="50" t="n">
        <f aca="false">MIN($F$3-F71,H70)</f>
        <v>1121.94573215577</v>
      </c>
      <c r="H71" s="50" t="n">
        <f aca="false">H70-G71</f>
        <v>1080099.76140554</v>
      </c>
      <c r="I71" s="50" t="n">
        <f aca="false">K70*Annahmen!$B$60/12</f>
        <v>6106.07564662973</v>
      </c>
      <c r="J71" s="50" t="n">
        <f aca="false">MIN($I$3-I71,K70)</f>
        <v>2008.00464127019</v>
      </c>
      <c r="K71" s="50" t="n">
        <f aca="false">K70-J71</f>
        <v>1829814.68934765</v>
      </c>
      <c r="L71" s="50" t="n">
        <f aca="false">C71+F71+I71</f>
        <v>12345.421398275</v>
      </c>
      <c r="M71" s="50" t="n">
        <f aca="false">D71+G71+J71</f>
        <v>4843.6588896249</v>
      </c>
      <c r="N71" s="50" t="n">
        <f aca="false">L71+M71</f>
        <v>17189.0802878999</v>
      </c>
      <c r="O71" s="50" t="n">
        <f aca="false">E71+H71+K71</f>
        <v>4605620.6544615</v>
      </c>
    </row>
    <row r="72" customFormat="false" ht="15" hidden="false" customHeight="false" outlineLevel="0" collapsed="false">
      <c r="A72" s="49" t="n">
        <v>66</v>
      </c>
      <c r="B72" s="49" t="n">
        <f aca="false">ROUNDUP(A72/12,0)</f>
        <v>6</v>
      </c>
      <c r="C72" s="50" t="n">
        <f aca="false">E71*Annahmen!$B$58/12</f>
        <v>3532.72125772565</v>
      </c>
      <c r="D72" s="50" t="n">
        <f aca="false">MIN($C$3-C72,E71)</f>
        <v>1717.27874227435</v>
      </c>
      <c r="E72" s="50" t="n">
        <f aca="false">E71-D72</f>
        <v>1693988.92496604</v>
      </c>
      <c r="F72" s="50" t="n">
        <f aca="false">H71*Annahmen!$B$59/12</f>
        <v>2700.24940351384</v>
      </c>
      <c r="G72" s="50" t="n">
        <f aca="false">MIN($F$3-F72,H71)</f>
        <v>1124.75059648616</v>
      </c>
      <c r="H72" s="50" t="n">
        <f aca="false">H71-G72</f>
        <v>1078975.01080905</v>
      </c>
      <c r="I72" s="50" t="n">
        <f aca="false">K71*Annahmen!$B$60/12</f>
        <v>6099.3822978255</v>
      </c>
      <c r="J72" s="50" t="n">
        <f aca="false">MIN($I$3-I72,K71)</f>
        <v>2014.69799007442</v>
      </c>
      <c r="K72" s="50" t="n">
        <f aca="false">K71-J72</f>
        <v>1827799.99135757</v>
      </c>
      <c r="L72" s="50" t="n">
        <f aca="false">C72+F72+I72</f>
        <v>12332.352959065</v>
      </c>
      <c r="M72" s="50" t="n">
        <f aca="false">D72+G72+J72</f>
        <v>4856.72732883494</v>
      </c>
      <c r="N72" s="50" t="n">
        <f aca="false">L72+M72</f>
        <v>17189.0802878999</v>
      </c>
      <c r="O72" s="50" t="n">
        <f aca="false">E72+H72+K72</f>
        <v>4600763.92713266</v>
      </c>
    </row>
    <row r="73" customFormat="false" ht="15" hidden="false" customHeight="false" outlineLevel="0" collapsed="false">
      <c r="A73" s="49" t="n">
        <v>67</v>
      </c>
      <c r="B73" s="49" t="n">
        <f aca="false">ROUNDUP(A73/12,0)</f>
        <v>6</v>
      </c>
      <c r="C73" s="50" t="n">
        <f aca="false">E72*Annahmen!$B$58/12</f>
        <v>3529.14359367925</v>
      </c>
      <c r="D73" s="50" t="n">
        <f aca="false">MIN($C$3-C73,E72)</f>
        <v>1720.85640632076</v>
      </c>
      <c r="E73" s="50" t="n">
        <f aca="false">E72-D73</f>
        <v>1692268.06855972</v>
      </c>
      <c r="F73" s="50" t="n">
        <f aca="false">H72*Annahmen!$B$59/12</f>
        <v>2697.43752702263</v>
      </c>
      <c r="G73" s="50" t="n">
        <f aca="false">MIN($F$3-F73,H72)</f>
        <v>1127.56247297738</v>
      </c>
      <c r="H73" s="50" t="n">
        <f aca="false">H72-G73</f>
        <v>1077847.44833607</v>
      </c>
      <c r="I73" s="50" t="n">
        <f aca="false">K72*Annahmen!$B$60/12</f>
        <v>6092.66663785858</v>
      </c>
      <c r="J73" s="50" t="n">
        <f aca="false">MIN($I$3-I73,K72)</f>
        <v>2021.41365004134</v>
      </c>
      <c r="K73" s="50" t="n">
        <f aca="false">K72-J73</f>
        <v>1825778.57770753</v>
      </c>
      <c r="L73" s="50" t="n">
        <f aca="false">C73+F73+I73</f>
        <v>12319.2477585605</v>
      </c>
      <c r="M73" s="50" t="n">
        <f aca="false">D73+G73+J73</f>
        <v>4869.83252933947</v>
      </c>
      <c r="N73" s="50" t="n">
        <f aca="false">L73+M73</f>
        <v>17189.0802878999</v>
      </c>
      <c r="O73" s="50" t="n">
        <f aca="false">E73+H73+K73</f>
        <v>4595894.09460332</v>
      </c>
    </row>
    <row r="74" customFormat="false" ht="15" hidden="false" customHeight="false" outlineLevel="0" collapsed="false">
      <c r="A74" s="49" t="n">
        <v>68</v>
      </c>
      <c r="B74" s="49" t="n">
        <f aca="false">ROUNDUP(A74/12,0)</f>
        <v>6</v>
      </c>
      <c r="C74" s="50" t="n">
        <f aca="false">E73*Annahmen!$B$58/12</f>
        <v>3525.55847616608</v>
      </c>
      <c r="D74" s="50" t="n">
        <f aca="false">MIN($C$3-C74,E73)</f>
        <v>1724.44152383393</v>
      </c>
      <c r="E74" s="50" t="n">
        <f aca="false">E73-D74</f>
        <v>1690543.62703588</v>
      </c>
      <c r="F74" s="50" t="n">
        <f aca="false">H73*Annahmen!$B$59/12</f>
        <v>2694.61862084018</v>
      </c>
      <c r="G74" s="50" t="n">
        <f aca="false">MIN($F$3-F74,H73)</f>
        <v>1130.38137915982</v>
      </c>
      <c r="H74" s="50" t="n">
        <f aca="false">H73-G74</f>
        <v>1076717.06695691</v>
      </c>
      <c r="I74" s="50" t="n">
        <f aca="false">K73*Annahmen!$B$60/12</f>
        <v>6085.92859235844</v>
      </c>
      <c r="J74" s="50" t="n">
        <f aca="false">MIN($I$3-I74,K73)</f>
        <v>2028.15169554148</v>
      </c>
      <c r="K74" s="50" t="n">
        <f aca="false">K73-J74</f>
        <v>1823750.42601199</v>
      </c>
      <c r="L74" s="50" t="n">
        <f aca="false">C74+F74+I74</f>
        <v>12306.1056893647</v>
      </c>
      <c r="M74" s="50" t="n">
        <f aca="false">D74+G74+J74</f>
        <v>4882.97459853522</v>
      </c>
      <c r="N74" s="50" t="n">
        <f aca="false">L74+M74</f>
        <v>17189.0802878999</v>
      </c>
      <c r="O74" s="50" t="n">
        <f aca="false">E74+H74+K74</f>
        <v>4591011.12000479</v>
      </c>
    </row>
    <row r="75" customFormat="false" ht="15" hidden="false" customHeight="false" outlineLevel="0" collapsed="false">
      <c r="A75" s="49" t="n">
        <v>69</v>
      </c>
      <c r="B75" s="49" t="n">
        <f aca="false">ROUNDUP(A75/12,0)</f>
        <v>6</v>
      </c>
      <c r="C75" s="50" t="n">
        <f aca="false">E74*Annahmen!$B$58/12</f>
        <v>3521.96588965809</v>
      </c>
      <c r="D75" s="50" t="n">
        <f aca="false">MIN($C$3-C75,E74)</f>
        <v>1728.03411034191</v>
      </c>
      <c r="E75" s="50" t="n">
        <f aca="false">E74-D75</f>
        <v>1688815.59292554</v>
      </c>
      <c r="F75" s="50" t="n">
        <f aca="false">H74*Annahmen!$B$59/12</f>
        <v>2691.79266739228</v>
      </c>
      <c r="G75" s="50" t="n">
        <f aca="false">MIN($F$3-F75,H74)</f>
        <v>1133.20733260772</v>
      </c>
      <c r="H75" s="50" t="n">
        <f aca="false">H74-G75</f>
        <v>1075583.85962431</v>
      </c>
      <c r="I75" s="50" t="n">
        <f aca="false">K74*Annahmen!$B$60/12</f>
        <v>6079.16808670664</v>
      </c>
      <c r="J75" s="50" t="n">
        <f aca="false">MIN($I$3-I75,K74)</f>
        <v>2034.91220119328</v>
      </c>
      <c r="K75" s="50" t="n">
        <f aca="false">K74-J75</f>
        <v>1821715.5138108</v>
      </c>
      <c r="L75" s="50" t="n">
        <f aca="false">C75+F75+I75</f>
        <v>12292.926643757</v>
      </c>
      <c r="M75" s="50" t="n">
        <f aca="false">D75+G75+J75</f>
        <v>4896.15364414292</v>
      </c>
      <c r="N75" s="50" t="n">
        <f aca="false">L75+M75</f>
        <v>17189.0802878999</v>
      </c>
      <c r="O75" s="50" t="n">
        <f aca="false">E75+H75+K75</f>
        <v>4586114.96636064</v>
      </c>
    </row>
    <row r="76" customFormat="false" ht="15" hidden="false" customHeight="false" outlineLevel="0" collapsed="false">
      <c r="A76" s="49" t="n">
        <v>70</v>
      </c>
      <c r="B76" s="49" t="n">
        <f aca="false">ROUNDUP(A76/12,0)</f>
        <v>6</v>
      </c>
      <c r="C76" s="50" t="n">
        <f aca="false">E75*Annahmen!$B$58/12</f>
        <v>3518.36581859488</v>
      </c>
      <c r="D76" s="50" t="n">
        <f aca="false">MIN($C$3-C76,E75)</f>
        <v>1731.63418140512</v>
      </c>
      <c r="E76" s="50" t="n">
        <f aca="false">E75-D76</f>
        <v>1687083.95874414</v>
      </c>
      <c r="F76" s="50" t="n">
        <f aca="false">H75*Annahmen!$B$59/12</f>
        <v>2688.95964906076</v>
      </c>
      <c r="G76" s="50" t="n">
        <f aca="false">MIN($F$3-F76,H75)</f>
        <v>1136.04035093924</v>
      </c>
      <c r="H76" s="50" t="n">
        <f aca="false">H75-G76</f>
        <v>1074447.81927337</v>
      </c>
      <c r="I76" s="50" t="n">
        <f aca="false">K75*Annahmen!$B$60/12</f>
        <v>6072.38504603599</v>
      </c>
      <c r="J76" s="50" t="n">
        <f aca="false">MIN($I$3-I76,K75)</f>
        <v>2041.69524186393</v>
      </c>
      <c r="K76" s="50" t="n">
        <f aca="false">K75-J76</f>
        <v>1819673.81856893</v>
      </c>
      <c r="L76" s="50" t="n">
        <f aca="false">C76+F76+I76</f>
        <v>12279.7105136916</v>
      </c>
      <c r="M76" s="50" t="n">
        <f aca="false">D76+G76+J76</f>
        <v>4909.36977420829</v>
      </c>
      <c r="N76" s="50" t="n">
        <f aca="false">L76+M76</f>
        <v>17189.0802878999</v>
      </c>
      <c r="O76" s="50" t="n">
        <f aca="false">E76+H76+K76</f>
        <v>4581205.59658644</v>
      </c>
    </row>
    <row r="77" customFormat="false" ht="15" hidden="false" customHeight="false" outlineLevel="0" collapsed="false">
      <c r="A77" s="49" t="n">
        <v>71</v>
      </c>
      <c r="B77" s="49" t="n">
        <f aca="false">ROUNDUP(A77/12,0)</f>
        <v>6</v>
      </c>
      <c r="C77" s="50" t="n">
        <f aca="false">E76*Annahmen!$B$58/12</f>
        <v>3514.75824738362</v>
      </c>
      <c r="D77" s="50" t="n">
        <f aca="false">MIN($C$3-C77,E76)</f>
        <v>1735.24175261639</v>
      </c>
      <c r="E77" s="50" t="n">
        <f aca="false">E76-D77</f>
        <v>1685348.71699152</v>
      </c>
      <c r="F77" s="50" t="n">
        <f aca="false">H76*Annahmen!$B$59/12</f>
        <v>2686.11954818342</v>
      </c>
      <c r="G77" s="50" t="n">
        <f aca="false">MIN($F$3-F77,H76)</f>
        <v>1138.88045181659</v>
      </c>
      <c r="H77" s="50" t="n">
        <f aca="false">H76-G77</f>
        <v>1073308.93882155</v>
      </c>
      <c r="I77" s="50" t="n">
        <f aca="false">K76*Annahmen!$B$60/12</f>
        <v>6065.57939522978</v>
      </c>
      <c r="J77" s="50" t="n">
        <f aca="false">MIN($I$3-I77,K76)</f>
        <v>2048.50089267014</v>
      </c>
      <c r="K77" s="50" t="n">
        <f aca="false">K76-J77</f>
        <v>1817625.31767626</v>
      </c>
      <c r="L77" s="50" t="n">
        <f aca="false">C77+F77+I77</f>
        <v>12266.4571907968</v>
      </c>
      <c r="M77" s="50" t="n">
        <f aca="false">D77+G77+J77</f>
        <v>4922.62309710311</v>
      </c>
      <c r="N77" s="50" t="n">
        <f aca="false">L77+M77</f>
        <v>17189.0802878999</v>
      </c>
      <c r="O77" s="50" t="n">
        <f aca="false">E77+H77+K77</f>
        <v>4576282.97348933</v>
      </c>
    </row>
    <row r="78" customFormat="false" ht="15" hidden="false" customHeight="false" outlineLevel="0" collapsed="false">
      <c r="A78" s="49" t="n">
        <v>72</v>
      </c>
      <c r="B78" s="49" t="n">
        <f aca="false">ROUNDUP(A78/12,0)</f>
        <v>6</v>
      </c>
      <c r="C78" s="50" t="n">
        <f aca="false">E77*Annahmen!$B$58/12</f>
        <v>3511.143160399</v>
      </c>
      <c r="D78" s="50" t="n">
        <f aca="false">MIN($C$3-C78,E77)</f>
        <v>1738.856839601</v>
      </c>
      <c r="E78" s="50" t="n">
        <f aca="false">E77-D78</f>
        <v>1683609.86015192</v>
      </c>
      <c r="F78" s="50" t="n">
        <f aca="false">H77*Annahmen!$B$59/12</f>
        <v>2683.27234705387</v>
      </c>
      <c r="G78" s="50" t="n">
        <f aca="false">MIN($F$3-F78,H77)</f>
        <v>1141.72765294613</v>
      </c>
      <c r="H78" s="50" t="n">
        <f aca="false">H77-G78</f>
        <v>1072167.2111686</v>
      </c>
      <c r="I78" s="50" t="n">
        <f aca="false">K77*Annahmen!$B$60/12</f>
        <v>6058.75105892088</v>
      </c>
      <c r="J78" s="50" t="n">
        <f aca="false">MIN($I$3-I78,K77)</f>
        <v>2055.32922897904</v>
      </c>
      <c r="K78" s="50" t="n">
        <f aca="false">K77-J78</f>
        <v>1815569.98844728</v>
      </c>
      <c r="L78" s="50" t="n">
        <f aca="false">C78+F78+I78</f>
        <v>12253.1665663738</v>
      </c>
      <c r="M78" s="50" t="n">
        <f aca="false">D78+G78+J78</f>
        <v>4935.91372152617</v>
      </c>
      <c r="N78" s="50" t="n">
        <f aca="false">L78+M78</f>
        <v>17189.0802878999</v>
      </c>
      <c r="O78" s="50" t="n">
        <f aca="false">E78+H78+K78</f>
        <v>4571347.05976781</v>
      </c>
    </row>
    <row r="79" customFormat="false" ht="15" hidden="false" customHeight="false" outlineLevel="0" collapsed="false">
      <c r="A79" s="49" t="n">
        <v>73</v>
      </c>
      <c r="B79" s="49" t="n">
        <f aca="false">ROUNDUP(A79/12,0)</f>
        <v>7</v>
      </c>
      <c r="C79" s="50" t="n">
        <f aca="false">E78*Annahmen!$B$58/12</f>
        <v>3507.52054198316</v>
      </c>
      <c r="D79" s="50" t="n">
        <f aca="false">MIN($C$3-C79,E78)</f>
        <v>1742.47945801684</v>
      </c>
      <c r="E79" s="50" t="n">
        <f aca="false">E78-D79</f>
        <v>1681867.3806939</v>
      </c>
      <c r="F79" s="50" t="n">
        <f aca="false">H78*Annahmen!$B$59/12</f>
        <v>2680.41802792151</v>
      </c>
      <c r="G79" s="50" t="n">
        <f aca="false">MIN($F$3-F79,H78)</f>
        <v>1144.58197207849</v>
      </c>
      <c r="H79" s="50" t="n">
        <f aca="false">H78-G79</f>
        <v>1071022.62919653</v>
      </c>
      <c r="I79" s="50" t="n">
        <f aca="false">K78*Annahmen!$B$60/12</f>
        <v>6051.89996149095</v>
      </c>
      <c r="J79" s="50" t="n">
        <f aca="false">MIN($I$3-I79,K78)</f>
        <v>2062.18032640897</v>
      </c>
      <c r="K79" s="50" t="n">
        <f aca="false">K78-J79</f>
        <v>1813507.80812088</v>
      </c>
      <c r="L79" s="50" t="n">
        <f aca="false">C79+F79+I79</f>
        <v>12239.8385313956</v>
      </c>
      <c r="M79" s="50" t="n">
        <f aca="false">D79+G79+J79</f>
        <v>4949.2417565043</v>
      </c>
      <c r="N79" s="50" t="n">
        <f aca="false">L79+M79</f>
        <v>17189.0802878999</v>
      </c>
      <c r="O79" s="50" t="n">
        <f aca="false">E79+H79+K79</f>
        <v>4566397.8180113</v>
      </c>
    </row>
    <row r="80" customFormat="false" ht="15" hidden="false" customHeight="false" outlineLevel="0" collapsed="false">
      <c r="A80" s="49" t="n">
        <v>74</v>
      </c>
      <c r="B80" s="49" t="n">
        <f aca="false">ROUNDUP(A80/12,0)</f>
        <v>7</v>
      </c>
      <c r="C80" s="50" t="n">
        <f aca="false">E79*Annahmen!$B$58/12</f>
        <v>3503.89037644563</v>
      </c>
      <c r="D80" s="50" t="n">
        <f aca="false">MIN($C$3-C80,E79)</f>
        <v>1746.10962355437</v>
      </c>
      <c r="E80" s="50" t="n">
        <f aca="false">E79-D80</f>
        <v>1680121.27107035</v>
      </c>
      <c r="F80" s="50" t="n">
        <f aca="false">H79*Annahmen!$B$59/12</f>
        <v>2677.55657299131</v>
      </c>
      <c r="G80" s="50" t="n">
        <f aca="false">MIN($F$3-F80,H79)</f>
        <v>1147.44342700869</v>
      </c>
      <c r="H80" s="50" t="n">
        <f aca="false">H79-G80</f>
        <v>1069875.18576952</v>
      </c>
      <c r="I80" s="50" t="n">
        <f aca="false">K79*Annahmen!$B$60/12</f>
        <v>6045.02602706959</v>
      </c>
      <c r="J80" s="50" t="n">
        <f aca="false">MIN($I$3-I80,K79)</f>
        <v>2069.05426083033</v>
      </c>
      <c r="K80" s="50" t="n">
        <f aca="false">K79-J80</f>
        <v>1811438.75386005</v>
      </c>
      <c r="L80" s="50" t="n">
        <f aca="false">C80+F80+I80</f>
        <v>12226.4729765065</v>
      </c>
      <c r="M80" s="50" t="n">
        <f aca="false">D80+G80+J80</f>
        <v>4962.6073113934</v>
      </c>
      <c r="N80" s="50" t="n">
        <f aca="false">L80+M80</f>
        <v>17189.0802878999</v>
      </c>
      <c r="O80" s="50" t="n">
        <f aca="false">E80+H80+K80</f>
        <v>4561435.21069991</v>
      </c>
    </row>
    <row r="81" customFormat="false" ht="15" hidden="false" customHeight="false" outlineLevel="0" collapsed="false">
      <c r="A81" s="49" t="n">
        <v>75</v>
      </c>
      <c r="B81" s="49" t="n">
        <f aca="false">ROUNDUP(A81/12,0)</f>
        <v>7</v>
      </c>
      <c r="C81" s="50" t="n">
        <f aca="false">E80*Annahmen!$B$58/12</f>
        <v>3500.25264806322</v>
      </c>
      <c r="D81" s="50" t="n">
        <f aca="false">MIN($C$3-C81,E80)</f>
        <v>1749.74735193678</v>
      </c>
      <c r="E81" s="50" t="n">
        <f aca="false">E80-D81</f>
        <v>1678371.52371841</v>
      </c>
      <c r="F81" s="50" t="n">
        <f aca="false">H80*Annahmen!$B$59/12</f>
        <v>2674.68796442379</v>
      </c>
      <c r="G81" s="50" t="n">
        <f aca="false">MIN($F$3-F81,H80)</f>
        <v>1150.31203557621</v>
      </c>
      <c r="H81" s="50" t="n">
        <f aca="false">H80-G81</f>
        <v>1068724.87373394</v>
      </c>
      <c r="I81" s="50" t="n">
        <f aca="false">K80*Annahmen!$B$60/12</f>
        <v>6038.12917953348</v>
      </c>
      <c r="J81" s="50" t="n">
        <f aca="false">MIN($I$3-I81,K80)</f>
        <v>2075.95110836644</v>
      </c>
      <c r="K81" s="50" t="n">
        <f aca="false">K80-J81</f>
        <v>1809362.80275168</v>
      </c>
      <c r="L81" s="50" t="n">
        <f aca="false">C81+F81+I81</f>
        <v>12213.0697920205</v>
      </c>
      <c r="M81" s="50" t="n">
        <f aca="false">D81+G81+J81</f>
        <v>4976.01049587942</v>
      </c>
      <c r="N81" s="50" t="n">
        <f aca="false">L81+M81</f>
        <v>17189.0802878999</v>
      </c>
      <c r="O81" s="50" t="n">
        <f aca="false">E81+H81+K81</f>
        <v>4556459.20020403</v>
      </c>
    </row>
    <row r="82" customFormat="false" ht="15" hidden="false" customHeight="false" outlineLevel="0" collapsed="false">
      <c r="A82" s="49" t="n">
        <v>76</v>
      </c>
      <c r="B82" s="49" t="n">
        <f aca="false">ROUNDUP(A82/12,0)</f>
        <v>7</v>
      </c>
      <c r="C82" s="50" t="n">
        <f aca="false">E81*Annahmen!$B$58/12</f>
        <v>3496.60734108002</v>
      </c>
      <c r="D82" s="50" t="n">
        <f aca="false">MIN($C$3-C82,E81)</f>
        <v>1753.39265891998</v>
      </c>
      <c r="E82" s="50" t="n">
        <f aca="false">E81-D82</f>
        <v>1676618.13105949</v>
      </c>
      <c r="F82" s="50" t="n">
        <f aca="false">H81*Annahmen!$B$59/12</f>
        <v>2671.81218433485</v>
      </c>
      <c r="G82" s="50" t="n">
        <f aca="false">MIN($F$3-F82,H81)</f>
        <v>1153.18781566515</v>
      </c>
      <c r="H82" s="50" t="n">
        <f aca="false">H81-G82</f>
        <v>1067571.68591828</v>
      </c>
      <c r="I82" s="50" t="n">
        <f aca="false">K81*Annahmen!$B$60/12</f>
        <v>6031.2093425056</v>
      </c>
      <c r="J82" s="50" t="n">
        <f aca="false">MIN($I$3-I82,K81)</f>
        <v>2082.87094539432</v>
      </c>
      <c r="K82" s="50" t="n">
        <f aca="false">K81-J82</f>
        <v>1807279.93180628</v>
      </c>
      <c r="L82" s="50" t="n">
        <f aca="false">C82+F82+I82</f>
        <v>12199.6288679205</v>
      </c>
      <c r="M82" s="50" t="n">
        <f aca="false">D82+G82+J82</f>
        <v>4989.45141997945</v>
      </c>
      <c r="N82" s="50" t="n">
        <f aca="false">L82+M82</f>
        <v>17189.0802878999</v>
      </c>
      <c r="O82" s="50" t="n">
        <f aca="false">E82+H82+K82</f>
        <v>4551469.74878405</v>
      </c>
    </row>
    <row r="83" customFormat="false" ht="15" hidden="false" customHeight="false" outlineLevel="0" collapsed="false">
      <c r="A83" s="49" t="n">
        <v>77</v>
      </c>
      <c r="B83" s="49" t="n">
        <f aca="false">ROUNDUP(A83/12,0)</f>
        <v>7</v>
      </c>
      <c r="C83" s="50" t="n">
        <f aca="false">E82*Annahmen!$B$58/12</f>
        <v>3492.95443970727</v>
      </c>
      <c r="D83" s="50" t="n">
        <f aca="false">MIN($C$3-C83,E82)</f>
        <v>1757.04556029273</v>
      </c>
      <c r="E83" s="50" t="n">
        <f aca="false">E82-D83</f>
        <v>1674861.0854992</v>
      </c>
      <c r="F83" s="50" t="n">
        <f aca="false">H82*Annahmen!$B$59/12</f>
        <v>2668.92921479569</v>
      </c>
      <c r="G83" s="50" t="n">
        <f aca="false">MIN($F$3-F83,H82)</f>
        <v>1156.07078520431</v>
      </c>
      <c r="H83" s="50" t="n">
        <f aca="false">H82-G83</f>
        <v>1066415.61513307</v>
      </c>
      <c r="I83" s="50" t="n">
        <f aca="false">K82*Annahmen!$B$60/12</f>
        <v>6024.26643935428</v>
      </c>
      <c r="J83" s="50" t="n">
        <f aca="false">MIN($I$3-I83,K82)</f>
        <v>2089.81384854564</v>
      </c>
      <c r="K83" s="50" t="n">
        <f aca="false">K82-J83</f>
        <v>1805190.11795774</v>
      </c>
      <c r="L83" s="50" t="n">
        <f aca="false">C83+F83+I83</f>
        <v>12186.1500938572</v>
      </c>
      <c r="M83" s="50" t="n">
        <f aca="false">D83+G83+J83</f>
        <v>5002.93019404268</v>
      </c>
      <c r="N83" s="50" t="n">
        <f aca="false">L83+M83</f>
        <v>17189.0802878999</v>
      </c>
      <c r="O83" s="50" t="n">
        <f aca="false">E83+H83+K83</f>
        <v>4546466.81859001</v>
      </c>
    </row>
    <row r="84" customFormat="false" ht="15" hidden="false" customHeight="false" outlineLevel="0" collapsed="false">
      <c r="A84" s="49" t="n">
        <v>78</v>
      </c>
      <c r="B84" s="49" t="n">
        <f aca="false">ROUNDUP(A84/12,0)</f>
        <v>7</v>
      </c>
      <c r="C84" s="50" t="n">
        <f aca="false">E83*Annahmen!$B$58/12</f>
        <v>3489.29392812333</v>
      </c>
      <c r="D84" s="50" t="n">
        <f aca="false">MIN($C$3-C84,E83)</f>
        <v>1760.70607187667</v>
      </c>
      <c r="E84" s="50" t="n">
        <f aca="false">E83-D84</f>
        <v>1673100.37942732</v>
      </c>
      <c r="F84" s="50" t="n">
        <f aca="false">H83*Annahmen!$B$59/12</f>
        <v>2666.03903783268</v>
      </c>
      <c r="G84" s="50" t="n">
        <f aca="false">MIN($F$3-F84,H83)</f>
        <v>1158.96096216733</v>
      </c>
      <c r="H84" s="50" t="n">
        <f aca="false">H83-G84</f>
        <v>1065256.6541709</v>
      </c>
      <c r="I84" s="50" t="n">
        <f aca="false">K83*Annahmen!$B$60/12</f>
        <v>6017.30039319246</v>
      </c>
      <c r="J84" s="50" t="n">
        <f aca="false">MIN($I$3-I84,K83)</f>
        <v>2096.77989470746</v>
      </c>
      <c r="K84" s="50" t="n">
        <f aca="false">K83-J84</f>
        <v>1803093.33806303</v>
      </c>
      <c r="L84" s="50" t="n">
        <f aca="false">C84+F84+I84</f>
        <v>12172.6333591485</v>
      </c>
      <c r="M84" s="50" t="n">
        <f aca="false">D84+G84+J84</f>
        <v>5016.44692875145</v>
      </c>
      <c r="N84" s="50" t="n">
        <f aca="false">L84+M84</f>
        <v>17189.0802878999</v>
      </c>
      <c r="O84" s="50" t="n">
        <f aca="false">E84+H84+K84</f>
        <v>4541450.37166126</v>
      </c>
    </row>
    <row r="85" customFormat="false" ht="15" hidden="false" customHeight="false" outlineLevel="0" collapsed="false">
      <c r="A85" s="49" t="n">
        <v>79</v>
      </c>
      <c r="B85" s="49" t="n">
        <f aca="false">ROUNDUP(A85/12,0)</f>
        <v>7</v>
      </c>
      <c r="C85" s="50" t="n">
        <f aca="false">E84*Annahmen!$B$58/12</f>
        <v>3485.62579047359</v>
      </c>
      <c r="D85" s="50" t="n">
        <f aca="false">MIN($C$3-C85,E84)</f>
        <v>1764.37420952642</v>
      </c>
      <c r="E85" s="50" t="n">
        <f aca="false">E84-D85</f>
        <v>1671336.0052178</v>
      </c>
      <c r="F85" s="50" t="n">
        <f aca="false">H84*Annahmen!$B$59/12</f>
        <v>2663.14163542726</v>
      </c>
      <c r="G85" s="50" t="n">
        <f aca="false">MIN($F$3-F85,H84)</f>
        <v>1161.85836457274</v>
      </c>
      <c r="H85" s="50" t="n">
        <f aca="false">H84-G85</f>
        <v>1064094.79580633</v>
      </c>
      <c r="I85" s="50" t="n">
        <f aca="false">K84*Annahmen!$B$60/12</f>
        <v>6010.31112687677</v>
      </c>
      <c r="J85" s="50" t="n">
        <f aca="false">MIN($I$3-I85,K84)</f>
        <v>2103.76916102315</v>
      </c>
      <c r="K85" s="50" t="n">
        <f aca="false">K84-J85</f>
        <v>1800989.56890201</v>
      </c>
      <c r="L85" s="50" t="n">
        <f aca="false">C85+F85+I85</f>
        <v>12159.0785527776</v>
      </c>
      <c r="M85" s="50" t="n">
        <f aca="false">D85+G85+J85</f>
        <v>5030.00173512231</v>
      </c>
      <c r="N85" s="50" t="n">
        <f aca="false">L85+M85</f>
        <v>17189.0802878999</v>
      </c>
      <c r="O85" s="50" t="n">
        <f aca="false">E85+H85+K85</f>
        <v>4536420.36992613</v>
      </c>
    </row>
    <row r="86" customFormat="false" ht="15" hidden="false" customHeight="false" outlineLevel="0" collapsed="false">
      <c r="A86" s="49" t="n">
        <v>80</v>
      </c>
      <c r="B86" s="49" t="n">
        <f aca="false">ROUNDUP(A86/12,0)</f>
        <v>7</v>
      </c>
      <c r="C86" s="50" t="n">
        <f aca="false">E85*Annahmen!$B$58/12</f>
        <v>3481.95001087041</v>
      </c>
      <c r="D86" s="50" t="n">
        <f aca="false">MIN($C$3-C86,E85)</f>
        <v>1768.0499891296</v>
      </c>
      <c r="E86" s="50" t="n">
        <f aca="false">E85-D86</f>
        <v>1669567.95522867</v>
      </c>
      <c r="F86" s="50" t="n">
        <f aca="false">H85*Annahmen!$B$59/12</f>
        <v>2660.23698951583</v>
      </c>
      <c r="G86" s="50" t="n">
        <f aca="false">MIN($F$3-F86,H85)</f>
        <v>1164.76301048418</v>
      </c>
      <c r="H86" s="50" t="n">
        <f aca="false">H85-G86</f>
        <v>1062930.03279585</v>
      </c>
      <c r="I86" s="50" t="n">
        <f aca="false">K85*Annahmen!$B$60/12</f>
        <v>6003.29856300669</v>
      </c>
      <c r="J86" s="50" t="n">
        <f aca="false">MIN($I$3-I86,K85)</f>
        <v>2110.78172489323</v>
      </c>
      <c r="K86" s="50" t="n">
        <f aca="false">K85-J86</f>
        <v>1798878.78717712</v>
      </c>
      <c r="L86" s="50" t="n">
        <f aca="false">C86+F86+I86</f>
        <v>12145.4855633929</v>
      </c>
      <c r="M86" s="50" t="n">
        <f aca="false">D86+G86+J86</f>
        <v>5043.594724507</v>
      </c>
      <c r="N86" s="50" t="n">
        <f aca="false">L86+M86</f>
        <v>17189.0802878999</v>
      </c>
      <c r="O86" s="50" t="n">
        <f aca="false">E86+H86+K86</f>
        <v>4531376.77520163</v>
      </c>
    </row>
    <row r="87" customFormat="false" ht="15" hidden="false" customHeight="false" outlineLevel="0" collapsed="false">
      <c r="A87" s="49" t="n">
        <v>81</v>
      </c>
      <c r="B87" s="49" t="n">
        <f aca="false">ROUNDUP(A87/12,0)</f>
        <v>7</v>
      </c>
      <c r="C87" s="50" t="n">
        <f aca="false">E86*Annahmen!$B$58/12</f>
        <v>3478.26657339305</v>
      </c>
      <c r="D87" s="50" t="n">
        <f aca="false">MIN($C$3-C87,E86)</f>
        <v>1771.73342660695</v>
      </c>
      <c r="E87" s="50" t="n">
        <f aca="false">E86-D87</f>
        <v>1667796.22180206</v>
      </c>
      <c r="F87" s="50" t="n">
        <f aca="false">H86*Annahmen!$B$59/12</f>
        <v>2657.32508198962</v>
      </c>
      <c r="G87" s="50" t="n">
        <f aca="false">MIN($F$3-F87,H86)</f>
        <v>1167.67491801039</v>
      </c>
      <c r="H87" s="50" t="n">
        <f aca="false">H86-G87</f>
        <v>1061762.35787784</v>
      </c>
      <c r="I87" s="50" t="n">
        <f aca="false">K86*Annahmen!$B$60/12</f>
        <v>5996.26262392372</v>
      </c>
      <c r="J87" s="50" t="n">
        <f aca="false">MIN($I$3-I87,K86)</f>
        <v>2117.8176639762</v>
      </c>
      <c r="K87" s="50" t="n">
        <f aca="false">K86-J87</f>
        <v>1796760.96951314</v>
      </c>
      <c r="L87" s="50" t="n">
        <f aca="false">C87+F87+I87</f>
        <v>12131.8542793064</v>
      </c>
      <c r="M87" s="50" t="n">
        <f aca="false">D87+G87+J87</f>
        <v>5057.22600859354</v>
      </c>
      <c r="N87" s="50" t="n">
        <f aca="false">L87+M87</f>
        <v>17189.0802878999</v>
      </c>
      <c r="O87" s="50" t="n">
        <f aca="false">E87+H87+K87</f>
        <v>4526319.54919303</v>
      </c>
    </row>
    <row r="88" customFormat="false" ht="15" hidden="false" customHeight="false" outlineLevel="0" collapsed="false">
      <c r="A88" s="49" t="n">
        <v>82</v>
      </c>
      <c r="B88" s="49" t="n">
        <f aca="false">ROUNDUP(A88/12,0)</f>
        <v>7</v>
      </c>
      <c r="C88" s="50" t="n">
        <f aca="false">E87*Annahmen!$B$58/12</f>
        <v>3474.57546208762</v>
      </c>
      <c r="D88" s="50" t="n">
        <f aca="false">MIN($C$3-C88,E87)</f>
        <v>1775.42453791238</v>
      </c>
      <c r="E88" s="50" t="n">
        <f aca="false">E87-D88</f>
        <v>1666020.79726415</v>
      </c>
      <c r="F88" s="50" t="n">
        <f aca="false">H87*Annahmen!$B$59/12</f>
        <v>2654.40589469459</v>
      </c>
      <c r="G88" s="50" t="n">
        <f aca="false">MIN($F$3-F88,H87)</f>
        <v>1170.59410530541</v>
      </c>
      <c r="H88" s="50" t="n">
        <f aca="false">H87-G88</f>
        <v>1060591.76377253</v>
      </c>
      <c r="I88" s="50" t="n">
        <f aca="false">K87*Annahmen!$B$60/12</f>
        <v>5989.20323171046</v>
      </c>
      <c r="J88" s="50" t="n">
        <f aca="false">MIN($I$3-I88,K87)</f>
        <v>2124.87705618946</v>
      </c>
      <c r="K88" s="50" t="n">
        <f aca="false">K87-J88</f>
        <v>1794636.09245695</v>
      </c>
      <c r="L88" s="50" t="n">
        <f aca="false">C88+F88+I88</f>
        <v>12118.1845884927</v>
      </c>
      <c r="M88" s="50" t="n">
        <f aca="false">D88+G88+J88</f>
        <v>5070.89569940725</v>
      </c>
      <c r="N88" s="50" t="n">
        <f aca="false">L88+M88</f>
        <v>17189.0802878999</v>
      </c>
      <c r="O88" s="50" t="n">
        <f aca="false">E88+H88+K88</f>
        <v>4521248.65349363</v>
      </c>
    </row>
    <row r="89" customFormat="false" ht="15" hidden="false" customHeight="false" outlineLevel="0" collapsed="false">
      <c r="A89" s="49" t="n">
        <v>83</v>
      </c>
      <c r="B89" s="49" t="n">
        <f aca="false">ROUNDUP(A89/12,0)</f>
        <v>7</v>
      </c>
      <c r="C89" s="50" t="n">
        <f aca="false">E88*Annahmen!$B$58/12</f>
        <v>3470.87666096697</v>
      </c>
      <c r="D89" s="50" t="n">
        <f aca="false">MIN($C$3-C89,E88)</f>
        <v>1779.12333903303</v>
      </c>
      <c r="E89" s="50" t="n">
        <f aca="false">E88-D89</f>
        <v>1664241.67392511</v>
      </c>
      <c r="F89" s="50" t="n">
        <f aca="false">H88*Annahmen!$B$59/12</f>
        <v>2651.47940943133</v>
      </c>
      <c r="G89" s="50" t="n">
        <f aca="false">MIN($F$3-F89,H88)</f>
        <v>1173.52059056867</v>
      </c>
      <c r="H89" s="50" t="n">
        <f aca="false">H88-G89</f>
        <v>1059418.24318196</v>
      </c>
      <c r="I89" s="50" t="n">
        <f aca="false">K88*Annahmen!$B$60/12</f>
        <v>5982.12030818983</v>
      </c>
      <c r="J89" s="50" t="n">
        <f aca="false">MIN($I$3-I89,K88)</f>
        <v>2131.95997971009</v>
      </c>
      <c r="K89" s="50" t="n">
        <f aca="false">K88-J89</f>
        <v>1792504.13247724</v>
      </c>
      <c r="L89" s="50" t="n">
        <f aca="false">C89+F89+I89</f>
        <v>12104.4763785881</v>
      </c>
      <c r="M89" s="50" t="n">
        <f aca="false">D89+G89+J89</f>
        <v>5084.60390931179</v>
      </c>
      <c r="N89" s="50" t="n">
        <f aca="false">L89+M89</f>
        <v>17189.0802878999</v>
      </c>
      <c r="O89" s="50" t="n">
        <f aca="false">E89+H89+K89</f>
        <v>4516164.04958431</v>
      </c>
    </row>
    <row r="90" customFormat="false" ht="15" hidden="false" customHeight="false" outlineLevel="0" collapsed="false">
      <c r="A90" s="49" t="n">
        <v>84</v>
      </c>
      <c r="B90" s="49" t="n">
        <f aca="false">ROUNDUP(A90/12,0)</f>
        <v>7</v>
      </c>
      <c r="C90" s="50" t="n">
        <f aca="false">E89*Annahmen!$B$58/12</f>
        <v>3467.17015401065</v>
      </c>
      <c r="D90" s="50" t="n">
        <f aca="false">MIN($C$3-C90,E89)</f>
        <v>1782.82984598935</v>
      </c>
      <c r="E90" s="50" t="n">
        <f aca="false">E89-D90</f>
        <v>1662458.84407912</v>
      </c>
      <c r="F90" s="50" t="n">
        <f aca="false">H89*Annahmen!$B$59/12</f>
        <v>2648.54560795491</v>
      </c>
      <c r="G90" s="50" t="n">
        <f aca="false">MIN($F$3-F90,H89)</f>
        <v>1176.4543920451</v>
      </c>
      <c r="H90" s="50" t="n">
        <f aca="false">H89-G90</f>
        <v>1058241.78878992</v>
      </c>
      <c r="I90" s="50" t="n">
        <f aca="false">K89*Annahmen!$B$60/12</f>
        <v>5975.01377492413</v>
      </c>
      <c r="J90" s="50" t="n">
        <f aca="false">MIN($I$3-I90,K89)</f>
        <v>2139.06651297579</v>
      </c>
      <c r="K90" s="50" t="n">
        <f aca="false">K89-J90</f>
        <v>1790365.06596426</v>
      </c>
      <c r="L90" s="50" t="n">
        <f aca="false">C90+F90+I90</f>
        <v>12090.7295368897</v>
      </c>
      <c r="M90" s="50" t="n">
        <f aca="false">D90+G90+J90</f>
        <v>5098.35075101024</v>
      </c>
      <c r="N90" s="50" t="n">
        <f aca="false">L90+M90</f>
        <v>17189.0802878999</v>
      </c>
      <c r="O90" s="50" t="n">
        <f aca="false">E90+H90+K90</f>
        <v>4511065.6988333</v>
      </c>
    </row>
    <row r="91" customFormat="false" ht="15" hidden="false" customHeight="false" outlineLevel="0" collapsed="false">
      <c r="A91" s="49" t="n">
        <v>85</v>
      </c>
      <c r="B91" s="49" t="n">
        <f aca="false">ROUNDUP(A91/12,0)</f>
        <v>8</v>
      </c>
      <c r="C91" s="50" t="n">
        <f aca="false">E90*Annahmen!$B$58/12</f>
        <v>3463.45592516484</v>
      </c>
      <c r="D91" s="50" t="n">
        <f aca="false">MIN($C$3-C91,E90)</f>
        <v>1786.54407483516</v>
      </c>
      <c r="E91" s="50" t="n">
        <f aca="false">E90-D91</f>
        <v>1660672.30000429</v>
      </c>
      <c r="F91" s="50" t="n">
        <f aca="false">H90*Annahmen!$B$59/12</f>
        <v>2645.60447197479</v>
      </c>
      <c r="G91" s="50" t="n">
        <f aca="false">MIN($F$3-F91,H90)</f>
        <v>1179.39552802521</v>
      </c>
      <c r="H91" s="50" t="n">
        <f aca="false">H90-G91</f>
        <v>1057062.39326189</v>
      </c>
      <c r="I91" s="50" t="n">
        <f aca="false">K90*Annahmen!$B$60/12</f>
        <v>5967.88355321421</v>
      </c>
      <c r="J91" s="50" t="n">
        <f aca="false">MIN($I$3-I91,K90)</f>
        <v>2146.19673468571</v>
      </c>
      <c r="K91" s="50" t="n">
        <f aca="false">K90-J91</f>
        <v>1788218.86922958</v>
      </c>
      <c r="L91" s="50" t="n">
        <f aca="false">C91+F91+I91</f>
        <v>12076.9439503538</v>
      </c>
      <c r="M91" s="50" t="n">
        <f aca="false">D91+G91+J91</f>
        <v>5112.13633754608</v>
      </c>
      <c r="N91" s="50" t="n">
        <f aca="false">L91+M91</f>
        <v>17189.0802878999</v>
      </c>
      <c r="O91" s="50" t="n">
        <f aca="false">E91+H91+K91</f>
        <v>4505953.56249576</v>
      </c>
    </row>
    <row r="92" customFormat="false" ht="15" hidden="false" customHeight="false" outlineLevel="0" collapsed="false">
      <c r="A92" s="49" t="n">
        <v>86</v>
      </c>
      <c r="B92" s="49" t="n">
        <f aca="false">ROUNDUP(A92/12,0)</f>
        <v>8</v>
      </c>
      <c r="C92" s="50" t="n">
        <f aca="false">E91*Annahmen!$B$58/12</f>
        <v>3459.73395834227</v>
      </c>
      <c r="D92" s="50" t="n">
        <f aca="false">MIN($C$3-C92,E91)</f>
        <v>1790.26604165774</v>
      </c>
      <c r="E92" s="50" t="n">
        <f aca="false">E91-D92</f>
        <v>1658882.03396263</v>
      </c>
      <c r="F92" s="50" t="n">
        <f aca="false">H91*Annahmen!$B$59/12</f>
        <v>2642.65598315473</v>
      </c>
      <c r="G92" s="50" t="n">
        <f aca="false">MIN($F$3-F92,H91)</f>
        <v>1182.34401684527</v>
      </c>
      <c r="H92" s="50" t="n">
        <f aca="false">H91-G92</f>
        <v>1055880.04924505</v>
      </c>
      <c r="I92" s="50" t="n">
        <f aca="false">K91*Annahmen!$B$60/12</f>
        <v>5960.72956409859</v>
      </c>
      <c r="J92" s="50" t="n">
        <f aca="false">MIN($I$3-I92,K91)</f>
        <v>2153.35072380133</v>
      </c>
      <c r="K92" s="50" t="n">
        <f aca="false">K91-J92</f>
        <v>1786065.51850578</v>
      </c>
      <c r="L92" s="50" t="n">
        <f aca="false">C92+F92+I92</f>
        <v>12063.1195055956</v>
      </c>
      <c r="M92" s="50" t="n">
        <f aca="false">D92+G92+J92</f>
        <v>5125.96078230433</v>
      </c>
      <c r="N92" s="50" t="n">
        <f aca="false">L92+M92</f>
        <v>17189.0802878999</v>
      </c>
      <c r="O92" s="50" t="n">
        <f aca="false">E92+H92+K92</f>
        <v>4500827.60171345</v>
      </c>
    </row>
    <row r="93" customFormat="false" ht="15" hidden="false" customHeight="false" outlineLevel="0" collapsed="false">
      <c r="A93" s="49" t="n">
        <v>87</v>
      </c>
      <c r="B93" s="49" t="n">
        <f aca="false">ROUNDUP(A93/12,0)</f>
        <v>8</v>
      </c>
      <c r="C93" s="50" t="n">
        <f aca="false">E92*Annahmen!$B$58/12</f>
        <v>3456.00423742215</v>
      </c>
      <c r="D93" s="50" t="n">
        <f aca="false">MIN($C$3-C93,E92)</f>
        <v>1793.99576257786</v>
      </c>
      <c r="E93" s="50" t="n">
        <f aca="false">E92-D93</f>
        <v>1657088.03820005</v>
      </c>
      <c r="F93" s="50" t="n">
        <f aca="false">H92*Annahmen!$B$59/12</f>
        <v>2639.70012311262</v>
      </c>
      <c r="G93" s="50" t="n">
        <f aca="false">MIN($F$3-F93,H92)</f>
        <v>1185.29987688739</v>
      </c>
      <c r="H93" s="50" t="n">
        <f aca="false">H92-G93</f>
        <v>1054694.74936816</v>
      </c>
      <c r="I93" s="50" t="n">
        <f aca="false">K92*Annahmen!$B$60/12</f>
        <v>5953.55172835259</v>
      </c>
      <c r="J93" s="50" t="n">
        <f aca="false">MIN($I$3-I93,K92)</f>
        <v>2160.52855954733</v>
      </c>
      <c r="K93" s="50" t="n">
        <f aca="false">K92-J93</f>
        <v>1783904.98994623</v>
      </c>
      <c r="L93" s="50" t="n">
        <f aca="false">C93+F93+I93</f>
        <v>12049.2560888874</v>
      </c>
      <c r="M93" s="50" t="n">
        <f aca="false">D93+G93+J93</f>
        <v>5139.82419901257</v>
      </c>
      <c r="N93" s="50" t="n">
        <f aca="false">L93+M93</f>
        <v>17189.0802878999</v>
      </c>
      <c r="O93" s="50" t="n">
        <f aca="false">E93+H93+K93</f>
        <v>4495687.77751444</v>
      </c>
    </row>
    <row r="94" customFormat="false" ht="15" hidden="false" customHeight="false" outlineLevel="0" collapsed="false">
      <c r="A94" s="49" t="n">
        <v>88</v>
      </c>
      <c r="B94" s="49" t="n">
        <f aca="false">ROUNDUP(A94/12,0)</f>
        <v>8</v>
      </c>
      <c r="C94" s="50" t="n">
        <f aca="false">E93*Annahmen!$B$58/12</f>
        <v>3452.26674625011</v>
      </c>
      <c r="D94" s="50" t="n">
        <f aca="false">MIN($C$3-C94,E93)</f>
        <v>1797.73325374989</v>
      </c>
      <c r="E94" s="50" t="n">
        <f aca="false">E93-D94</f>
        <v>1655290.3049463</v>
      </c>
      <c r="F94" s="50" t="n">
        <f aca="false">H93*Annahmen!$B$59/12</f>
        <v>2636.7368734204</v>
      </c>
      <c r="G94" s="50" t="n">
        <f aca="false">MIN($F$3-F94,H93)</f>
        <v>1188.2631265796</v>
      </c>
      <c r="H94" s="50" t="n">
        <f aca="false">H93-G94</f>
        <v>1053506.48624158</v>
      </c>
      <c r="I94" s="50" t="n">
        <f aca="false">K93*Annahmen!$B$60/12</f>
        <v>5946.34996648743</v>
      </c>
      <c r="J94" s="50" t="n">
        <f aca="false">MIN($I$3-I94,K93)</f>
        <v>2167.73032141249</v>
      </c>
      <c r="K94" s="50" t="n">
        <f aca="false">K93-J94</f>
        <v>1781737.25962482</v>
      </c>
      <c r="L94" s="50" t="n">
        <f aca="false">C94+F94+I94</f>
        <v>12035.3535861579</v>
      </c>
      <c r="M94" s="50" t="n">
        <f aca="false">D94+G94+J94</f>
        <v>5153.72670174199</v>
      </c>
      <c r="N94" s="50" t="n">
        <f aca="false">L94+M94</f>
        <v>17189.0802878999</v>
      </c>
      <c r="O94" s="50" t="n">
        <f aca="false">E94+H94+K94</f>
        <v>4490534.0508127</v>
      </c>
    </row>
    <row r="95" customFormat="false" ht="15" hidden="false" customHeight="false" outlineLevel="0" collapsed="false">
      <c r="A95" s="49" t="n">
        <v>89</v>
      </c>
      <c r="B95" s="49" t="n">
        <f aca="false">ROUNDUP(A95/12,0)</f>
        <v>8</v>
      </c>
      <c r="C95" s="50" t="n">
        <f aca="false">E94*Annahmen!$B$58/12</f>
        <v>3448.52146863813</v>
      </c>
      <c r="D95" s="50" t="n">
        <f aca="false">MIN($C$3-C95,E94)</f>
        <v>1801.47853136187</v>
      </c>
      <c r="E95" s="50" t="n">
        <f aca="false">E94-D95</f>
        <v>1653488.82641494</v>
      </c>
      <c r="F95" s="50" t="n">
        <f aca="false">H94*Annahmen!$B$59/12</f>
        <v>2633.76621560395</v>
      </c>
      <c r="G95" s="50" t="n">
        <f aca="false">MIN($F$3-F95,H94)</f>
        <v>1191.23378439605</v>
      </c>
      <c r="H95" s="50" t="n">
        <f aca="false">H94-G95</f>
        <v>1052315.25245718</v>
      </c>
      <c r="I95" s="50" t="n">
        <f aca="false">K94*Annahmen!$B$60/12</f>
        <v>5939.12419874939</v>
      </c>
      <c r="J95" s="50" t="n">
        <f aca="false">MIN($I$3-I95,K94)</f>
        <v>2174.95608915053</v>
      </c>
      <c r="K95" s="50" t="n">
        <f aca="false">K94-J95</f>
        <v>1779562.30353567</v>
      </c>
      <c r="L95" s="50" t="n">
        <f aca="false">C95+F95+I95</f>
        <v>12021.4118829915</v>
      </c>
      <c r="M95" s="50" t="n">
        <f aca="false">D95+G95+J95</f>
        <v>5167.66840490845</v>
      </c>
      <c r="N95" s="50" t="n">
        <f aca="false">L95+M95</f>
        <v>17189.0802878999</v>
      </c>
      <c r="O95" s="50" t="n">
        <f aca="false">E95+H95+K95</f>
        <v>4485366.38240779</v>
      </c>
    </row>
    <row r="96" customFormat="false" ht="15" hidden="false" customHeight="false" outlineLevel="0" collapsed="false">
      <c r="A96" s="49" t="n">
        <v>90</v>
      </c>
      <c r="B96" s="49" t="n">
        <f aca="false">ROUNDUP(A96/12,0)</f>
        <v>8</v>
      </c>
      <c r="C96" s="50" t="n">
        <f aca="false">E95*Annahmen!$B$58/12</f>
        <v>3444.76838836446</v>
      </c>
      <c r="D96" s="50" t="n">
        <f aca="false">MIN($C$3-C96,E95)</f>
        <v>1805.23161163554</v>
      </c>
      <c r="E96" s="50" t="n">
        <f aca="false">E95-D96</f>
        <v>1651683.59480331</v>
      </c>
      <c r="F96" s="50" t="n">
        <f aca="false">H95*Annahmen!$B$59/12</f>
        <v>2630.78813114296</v>
      </c>
      <c r="G96" s="50" t="n">
        <f aca="false">MIN($F$3-F96,H95)</f>
        <v>1194.21186885704</v>
      </c>
      <c r="H96" s="50" t="n">
        <f aca="false">H95-G96</f>
        <v>1051121.04058833</v>
      </c>
      <c r="I96" s="50" t="n">
        <f aca="false">K95*Annahmen!$B$60/12</f>
        <v>5931.87434511889</v>
      </c>
      <c r="J96" s="50" t="n">
        <f aca="false">MIN($I$3-I96,K95)</f>
        <v>2182.20594278103</v>
      </c>
      <c r="K96" s="50" t="n">
        <f aca="false">K95-J96</f>
        <v>1777380.09759289</v>
      </c>
      <c r="L96" s="50" t="n">
        <f aca="false">C96+F96+I96</f>
        <v>12007.4308646263</v>
      </c>
      <c r="M96" s="50" t="n">
        <f aca="false">D96+G96+J96</f>
        <v>5181.64942327362</v>
      </c>
      <c r="N96" s="50" t="n">
        <f aca="false">L96+M96</f>
        <v>17189.0802878999</v>
      </c>
      <c r="O96" s="50" t="n">
        <f aca="false">E96+H96+K96</f>
        <v>4480184.73298452</v>
      </c>
    </row>
    <row r="97" customFormat="false" ht="15" hidden="false" customHeight="false" outlineLevel="0" collapsed="false">
      <c r="A97" s="49" t="n">
        <v>91</v>
      </c>
      <c r="B97" s="49" t="n">
        <f aca="false">ROUNDUP(A97/12,0)</f>
        <v>8</v>
      </c>
      <c r="C97" s="50" t="n">
        <f aca="false">E96*Annahmen!$B$58/12</f>
        <v>3441.00748917355</v>
      </c>
      <c r="D97" s="50" t="n">
        <f aca="false">MIN($C$3-C97,E96)</f>
        <v>1808.99251082645</v>
      </c>
      <c r="E97" s="50" t="n">
        <f aca="false">E96-D97</f>
        <v>1649874.60229248</v>
      </c>
      <c r="F97" s="50" t="n">
        <f aca="false">H96*Annahmen!$B$59/12</f>
        <v>2627.80260147082</v>
      </c>
      <c r="G97" s="50" t="n">
        <f aca="false">MIN($F$3-F97,H96)</f>
        <v>1197.19739852919</v>
      </c>
      <c r="H97" s="50" t="n">
        <f aca="false">H96-G97</f>
        <v>1049923.8431898</v>
      </c>
      <c r="I97" s="50" t="n">
        <f aca="false">K96*Annahmen!$B$60/12</f>
        <v>5924.60032530962</v>
      </c>
      <c r="J97" s="50" t="n">
        <f aca="false">MIN($I$3-I97,K96)</f>
        <v>2189.4799625903</v>
      </c>
      <c r="K97" s="50" t="n">
        <f aca="false">K96-J97</f>
        <v>1775190.61763029</v>
      </c>
      <c r="L97" s="50" t="n">
        <f aca="false">C97+F97+I97</f>
        <v>11993.410415954</v>
      </c>
      <c r="M97" s="50" t="n">
        <f aca="false">D97+G97+J97</f>
        <v>5195.66987194594</v>
      </c>
      <c r="N97" s="50" t="n">
        <f aca="false">L97+M97</f>
        <v>17189.0802878999</v>
      </c>
      <c r="O97" s="50" t="n">
        <f aca="false">E97+H97+K97</f>
        <v>4474989.06311257</v>
      </c>
    </row>
    <row r="98" customFormat="false" ht="15" hidden="false" customHeight="false" outlineLevel="0" collapsed="false">
      <c r="A98" s="49" t="n">
        <v>92</v>
      </c>
      <c r="B98" s="49" t="n">
        <f aca="false">ROUNDUP(A98/12,0)</f>
        <v>8</v>
      </c>
      <c r="C98" s="50" t="n">
        <f aca="false">E97*Annahmen!$B$58/12</f>
        <v>3437.238754776</v>
      </c>
      <c r="D98" s="50" t="n">
        <f aca="false">MIN($C$3-C98,E97)</f>
        <v>1812.761245224</v>
      </c>
      <c r="E98" s="50" t="n">
        <f aca="false">E97-D98</f>
        <v>1648061.84104726</v>
      </c>
      <c r="F98" s="50" t="n">
        <f aca="false">H97*Annahmen!$B$59/12</f>
        <v>2624.80960797449</v>
      </c>
      <c r="G98" s="50" t="n">
        <f aca="false">MIN($F$3-F98,H97)</f>
        <v>1200.19039202551</v>
      </c>
      <c r="H98" s="50" t="n">
        <f aca="false">H97-G98</f>
        <v>1048723.65279777</v>
      </c>
      <c r="I98" s="50" t="n">
        <f aca="false">K97*Annahmen!$B$60/12</f>
        <v>5917.30205876765</v>
      </c>
      <c r="J98" s="50" t="n">
        <f aca="false">MIN($I$3-I98,K97)</f>
        <v>2196.77822913227</v>
      </c>
      <c r="K98" s="50" t="n">
        <f aca="false">K97-J98</f>
        <v>1772993.83940116</v>
      </c>
      <c r="L98" s="50" t="n">
        <f aca="false">C98+F98+I98</f>
        <v>11979.3504215181</v>
      </c>
      <c r="M98" s="50" t="n">
        <f aca="false">D98+G98+J98</f>
        <v>5209.72986638178</v>
      </c>
      <c r="N98" s="50" t="n">
        <f aca="false">L98+M98</f>
        <v>17189.0802878999</v>
      </c>
      <c r="O98" s="50" t="n">
        <f aca="false">E98+H98+K98</f>
        <v>4469779.33324619</v>
      </c>
    </row>
    <row r="99" customFormat="false" ht="15" hidden="false" customHeight="false" outlineLevel="0" collapsed="false">
      <c r="A99" s="49" t="n">
        <v>93</v>
      </c>
      <c r="B99" s="49" t="n">
        <f aca="false">ROUNDUP(A99/12,0)</f>
        <v>8</v>
      </c>
      <c r="C99" s="50" t="n">
        <f aca="false">E98*Annahmen!$B$58/12</f>
        <v>3433.46216884845</v>
      </c>
      <c r="D99" s="50" t="n">
        <f aca="false">MIN($C$3-C99,E98)</f>
        <v>1816.53783115155</v>
      </c>
      <c r="E99" s="50" t="n">
        <f aca="false">E98-D99</f>
        <v>1646245.3032161</v>
      </c>
      <c r="F99" s="50" t="n">
        <f aca="false">H98*Annahmen!$B$59/12</f>
        <v>2621.80913199443</v>
      </c>
      <c r="G99" s="50" t="n">
        <f aca="false">MIN($F$3-F99,H98)</f>
        <v>1203.19086800557</v>
      </c>
      <c r="H99" s="50" t="n">
        <f aca="false">H98-G99</f>
        <v>1047520.46192977</v>
      </c>
      <c r="I99" s="50" t="n">
        <f aca="false">K98*Annahmen!$B$60/12</f>
        <v>5909.97946467054</v>
      </c>
      <c r="J99" s="50" t="n">
        <f aca="false">MIN($I$3-I99,K98)</f>
        <v>2204.10082322938</v>
      </c>
      <c r="K99" s="50" t="n">
        <f aca="false">K98-J99</f>
        <v>1770789.73857793</v>
      </c>
      <c r="L99" s="50" t="n">
        <f aca="false">C99+F99+I99</f>
        <v>11965.2507655134</v>
      </c>
      <c r="M99" s="50" t="n">
        <f aca="false">D99+G99+J99</f>
        <v>5223.8295223865</v>
      </c>
      <c r="N99" s="50" t="n">
        <f aca="false">L99+M99</f>
        <v>17189.0802878999</v>
      </c>
      <c r="O99" s="50" t="n">
        <f aca="false">E99+H99+K99</f>
        <v>4464555.5037238</v>
      </c>
    </row>
    <row r="100" customFormat="false" ht="15" hidden="false" customHeight="false" outlineLevel="0" collapsed="false">
      <c r="A100" s="49" t="n">
        <v>94</v>
      </c>
      <c r="B100" s="49" t="n">
        <f aca="false">ROUNDUP(A100/12,0)</f>
        <v>8</v>
      </c>
      <c r="C100" s="50" t="n">
        <f aca="false">E99*Annahmen!$B$58/12</f>
        <v>3429.67771503355</v>
      </c>
      <c r="D100" s="50" t="n">
        <f aca="false">MIN($C$3-C100,E99)</f>
        <v>1820.32228496645</v>
      </c>
      <c r="E100" s="50" t="n">
        <f aca="false">E99-D100</f>
        <v>1644424.98093114</v>
      </c>
      <c r="F100" s="50" t="n">
        <f aca="false">H99*Annahmen!$B$59/12</f>
        <v>2618.80115482442</v>
      </c>
      <c r="G100" s="50" t="n">
        <f aca="false">MIN($F$3-F100,H99)</f>
        <v>1206.19884517559</v>
      </c>
      <c r="H100" s="50" t="n">
        <f aca="false">H99-G100</f>
        <v>1046314.26308459</v>
      </c>
      <c r="I100" s="50" t="n">
        <f aca="false">K99*Annahmen!$B$60/12</f>
        <v>5902.63246192644</v>
      </c>
      <c r="J100" s="50" t="n">
        <f aca="false">MIN($I$3-I100,K99)</f>
        <v>2211.44782597348</v>
      </c>
      <c r="K100" s="50" t="n">
        <f aca="false">K99-J100</f>
        <v>1768578.29075196</v>
      </c>
      <c r="L100" s="50" t="n">
        <f aca="false">C100+F100+I100</f>
        <v>11951.1113317844</v>
      </c>
      <c r="M100" s="50" t="n">
        <f aca="false">D100+G100+J100</f>
        <v>5237.96895611552</v>
      </c>
      <c r="N100" s="50" t="n">
        <f aca="false">L100+M100</f>
        <v>17189.0802878999</v>
      </c>
      <c r="O100" s="50" t="n">
        <f aca="false">E100+H100+K100</f>
        <v>4459317.53476769</v>
      </c>
    </row>
    <row r="101" customFormat="false" ht="15" hidden="false" customHeight="false" outlineLevel="0" collapsed="false">
      <c r="A101" s="49" t="n">
        <v>95</v>
      </c>
      <c r="B101" s="49" t="n">
        <f aca="false">ROUNDUP(A101/12,0)</f>
        <v>8</v>
      </c>
      <c r="C101" s="50" t="n">
        <f aca="false">E100*Annahmen!$B$58/12</f>
        <v>3425.88537693987</v>
      </c>
      <c r="D101" s="50" t="n">
        <f aca="false">MIN($C$3-C101,E100)</f>
        <v>1824.11462306013</v>
      </c>
      <c r="E101" s="50" t="n">
        <f aca="false">E100-D101</f>
        <v>1642600.86630808</v>
      </c>
      <c r="F101" s="50" t="n">
        <f aca="false">H100*Annahmen!$B$59/12</f>
        <v>2615.78565771148</v>
      </c>
      <c r="G101" s="50" t="n">
        <f aca="false">MIN($F$3-F101,H100)</f>
        <v>1209.21434228853</v>
      </c>
      <c r="H101" s="50" t="n">
        <f aca="false">H100-G101</f>
        <v>1045105.0487423</v>
      </c>
      <c r="I101" s="50" t="n">
        <f aca="false">K100*Annahmen!$B$60/12</f>
        <v>5895.2609691732</v>
      </c>
      <c r="J101" s="50" t="n">
        <f aca="false">MIN($I$3-I101,K100)</f>
        <v>2218.81931872672</v>
      </c>
      <c r="K101" s="50" t="n">
        <f aca="false">K100-J101</f>
        <v>1766359.47143323</v>
      </c>
      <c r="L101" s="50" t="n">
        <f aca="false">C101+F101+I101</f>
        <v>11936.9320038245</v>
      </c>
      <c r="M101" s="50" t="n">
        <f aca="false">D101+G101+J101</f>
        <v>5252.14828407538</v>
      </c>
      <c r="N101" s="50" t="n">
        <f aca="false">L101+M101</f>
        <v>17189.0802878999</v>
      </c>
      <c r="O101" s="50" t="n">
        <f aca="false">E101+H101+K101</f>
        <v>4454065.38648361</v>
      </c>
    </row>
    <row r="102" customFormat="false" ht="15" hidden="false" customHeight="false" outlineLevel="0" collapsed="false">
      <c r="A102" s="49" t="n">
        <v>96</v>
      </c>
      <c r="B102" s="49" t="n">
        <f aca="false">ROUNDUP(A102/12,0)</f>
        <v>8</v>
      </c>
      <c r="C102" s="50" t="n">
        <f aca="false">E101*Annahmen!$B$58/12</f>
        <v>3422.08513814183</v>
      </c>
      <c r="D102" s="50" t="n">
        <f aca="false">MIN($C$3-C102,E101)</f>
        <v>1827.91486185818</v>
      </c>
      <c r="E102" s="50" t="n">
        <f aca="false">E101-D102</f>
        <v>1640772.95144622</v>
      </c>
      <c r="F102" s="50" t="n">
        <f aca="false">H101*Annahmen!$B$59/12</f>
        <v>2612.76262185576</v>
      </c>
      <c r="G102" s="50" t="n">
        <f aca="false">MIN($F$3-F102,H101)</f>
        <v>1212.23737814425</v>
      </c>
      <c r="H102" s="50" t="n">
        <f aca="false">H101-G102</f>
        <v>1043892.81136416</v>
      </c>
      <c r="I102" s="50" t="n">
        <f aca="false">K101*Annahmen!$B$60/12</f>
        <v>5887.86490477744</v>
      </c>
      <c r="J102" s="50" t="n">
        <f aca="false">MIN($I$3-I102,K101)</f>
        <v>2226.21538312248</v>
      </c>
      <c r="K102" s="50" t="n">
        <f aca="false">K101-J102</f>
        <v>1764133.25605011</v>
      </c>
      <c r="L102" s="50" t="n">
        <f aca="false">C102+F102+I102</f>
        <v>11922.712664775</v>
      </c>
      <c r="M102" s="50" t="n">
        <f aca="false">D102+G102+J102</f>
        <v>5266.3676231249</v>
      </c>
      <c r="N102" s="50" t="n">
        <f aca="false">L102+M102</f>
        <v>17189.0802878999</v>
      </c>
      <c r="O102" s="50" t="n">
        <f aca="false">E102+H102+K102</f>
        <v>4448799.01886049</v>
      </c>
    </row>
    <row r="103" customFormat="false" ht="15" hidden="false" customHeight="false" outlineLevel="0" collapsed="false">
      <c r="A103" s="49" t="n">
        <v>97</v>
      </c>
      <c r="B103" s="49" t="n">
        <f aca="false">ROUNDUP(A103/12,0)</f>
        <v>9</v>
      </c>
      <c r="C103" s="50" t="n">
        <f aca="false">E102*Annahmen!$B$58/12</f>
        <v>3418.27698217962</v>
      </c>
      <c r="D103" s="50" t="n">
        <f aca="false">MIN($C$3-C103,E102)</f>
        <v>1831.72301782038</v>
      </c>
      <c r="E103" s="50" t="n">
        <f aca="false">E102-D103</f>
        <v>1638941.2284284</v>
      </c>
      <c r="F103" s="50" t="n">
        <f aca="false">H102*Annahmen!$B$59/12</f>
        <v>2609.73202841039</v>
      </c>
      <c r="G103" s="50" t="n">
        <f aca="false">MIN($F$3-F103,H102)</f>
        <v>1215.26797158961</v>
      </c>
      <c r="H103" s="50" t="n">
        <f aca="false">H102-G103</f>
        <v>1042677.54339257</v>
      </c>
      <c r="I103" s="50" t="n">
        <f aca="false">K102*Annahmen!$B$60/12</f>
        <v>5880.4441868337</v>
      </c>
      <c r="J103" s="50" t="n">
        <f aca="false">MIN($I$3-I103,K102)</f>
        <v>2233.63610106622</v>
      </c>
      <c r="K103" s="50" t="n">
        <f aca="false">K102-J103</f>
        <v>1761899.61994904</v>
      </c>
      <c r="L103" s="50" t="n">
        <f aca="false">C103+F103+I103</f>
        <v>11908.4531974237</v>
      </c>
      <c r="M103" s="50" t="n">
        <f aca="false">D103+G103+J103</f>
        <v>5280.62709047621</v>
      </c>
      <c r="N103" s="50" t="n">
        <f aca="false">L103+M103</f>
        <v>17189.0802878999</v>
      </c>
      <c r="O103" s="50" t="n">
        <f aca="false">E103+H103+K103</f>
        <v>4443518.39177001</v>
      </c>
    </row>
    <row r="104" customFormat="false" ht="15" hidden="false" customHeight="false" outlineLevel="0" collapsed="false">
      <c r="A104" s="49" t="n">
        <v>98</v>
      </c>
      <c r="B104" s="49" t="n">
        <f aca="false">ROUNDUP(A104/12,0)</f>
        <v>9</v>
      </c>
      <c r="C104" s="50" t="n">
        <f aca="false">E103*Annahmen!$B$58/12</f>
        <v>3414.46089255916</v>
      </c>
      <c r="D104" s="50" t="n">
        <f aca="false">MIN($C$3-C104,E103)</f>
        <v>1835.53910744084</v>
      </c>
      <c r="E104" s="50" t="n">
        <f aca="false">E103-D104</f>
        <v>1637105.68932096</v>
      </c>
      <c r="F104" s="50" t="n">
        <f aca="false">H103*Annahmen!$B$59/12</f>
        <v>2606.69385848142</v>
      </c>
      <c r="G104" s="50" t="n">
        <f aca="false">MIN($F$3-F104,H103)</f>
        <v>1218.30614151858</v>
      </c>
      <c r="H104" s="50" t="n">
        <f aca="false">H103-G104</f>
        <v>1041459.23725105</v>
      </c>
      <c r="I104" s="50" t="n">
        <f aca="false">K103*Annahmen!$B$60/12</f>
        <v>5872.99873316348</v>
      </c>
      <c r="J104" s="50" t="n">
        <f aca="false">MIN($I$3-I104,K103)</f>
        <v>2241.08155473644</v>
      </c>
      <c r="K104" s="50" t="n">
        <f aca="false">K103-J104</f>
        <v>1759658.53839431</v>
      </c>
      <c r="L104" s="50" t="n">
        <f aca="false">C104+F104+I104</f>
        <v>11894.1534842041</v>
      </c>
      <c r="M104" s="50" t="n">
        <f aca="false">D104+G104+J104</f>
        <v>5294.92680369586</v>
      </c>
      <c r="N104" s="50" t="n">
        <f aca="false">L104+M104</f>
        <v>17189.0802878999</v>
      </c>
      <c r="O104" s="50" t="n">
        <f aca="false">E104+H104+K104</f>
        <v>4438223.46496632</v>
      </c>
    </row>
    <row r="105" customFormat="false" ht="15" hidden="false" customHeight="false" outlineLevel="0" collapsed="false">
      <c r="A105" s="49" t="n">
        <v>99</v>
      </c>
      <c r="B105" s="49" t="n">
        <f aca="false">ROUNDUP(A105/12,0)</f>
        <v>9</v>
      </c>
      <c r="C105" s="50" t="n">
        <f aca="false">E104*Annahmen!$B$58/12</f>
        <v>3410.636852752</v>
      </c>
      <c r="D105" s="50" t="n">
        <f aca="false">MIN($C$3-C105,E104)</f>
        <v>1839.36314724801</v>
      </c>
      <c r="E105" s="50" t="n">
        <f aca="false">E104-D105</f>
        <v>1635266.32617371</v>
      </c>
      <c r="F105" s="50" t="n">
        <f aca="false">H104*Annahmen!$B$59/12</f>
        <v>2603.64809312762</v>
      </c>
      <c r="G105" s="50" t="n">
        <f aca="false">MIN($F$3-F105,H104)</f>
        <v>1221.35190687238</v>
      </c>
      <c r="H105" s="50" t="n">
        <f aca="false">H104-G105</f>
        <v>1040237.88534418</v>
      </c>
      <c r="I105" s="50" t="n">
        <f aca="false">K104*Annahmen!$B$60/12</f>
        <v>5865.52846131436</v>
      </c>
      <c r="J105" s="50" t="n">
        <f aca="false">MIN($I$3-I105,K104)</f>
        <v>2248.55182658556</v>
      </c>
      <c r="K105" s="50" t="n">
        <f aca="false">K104-J105</f>
        <v>1757409.98656772</v>
      </c>
      <c r="L105" s="50" t="n">
        <f aca="false">C105+F105+I105</f>
        <v>11879.813407194</v>
      </c>
      <c r="M105" s="50" t="n">
        <f aca="false">D105+G105+J105</f>
        <v>5309.26688070595</v>
      </c>
      <c r="N105" s="50" t="n">
        <f aca="false">L105+M105</f>
        <v>17189.0802878999</v>
      </c>
      <c r="O105" s="50" t="n">
        <f aca="false">E105+H105+K105</f>
        <v>4432914.19808561</v>
      </c>
    </row>
    <row r="106" customFormat="false" ht="15" hidden="false" customHeight="false" outlineLevel="0" collapsed="false">
      <c r="A106" s="49" t="n">
        <v>100</v>
      </c>
      <c r="B106" s="49" t="n">
        <f aca="false">ROUNDUP(A106/12,0)</f>
        <v>9</v>
      </c>
      <c r="C106" s="50" t="n">
        <f aca="false">E105*Annahmen!$B$58/12</f>
        <v>3406.80484619523</v>
      </c>
      <c r="D106" s="50" t="n">
        <f aca="false">MIN($C$3-C106,E105)</f>
        <v>1843.19515380477</v>
      </c>
      <c r="E106" s="50" t="n">
        <f aca="false">E105-D106</f>
        <v>1633423.13101991</v>
      </c>
      <c r="F106" s="50" t="n">
        <f aca="false">H105*Annahmen!$B$59/12</f>
        <v>2600.59471336044</v>
      </c>
      <c r="G106" s="50" t="n">
        <f aca="false">MIN($F$3-F106,H105)</f>
        <v>1224.40528663956</v>
      </c>
      <c r="H106" s="50" t="n">
        <f aca="false">H105-G106</f>
        <v>1039013.48005754</v>
      </c>
      <c r="I106" s="50" t="n">
        <f aca="false">K105*Annahmen!$B$60/12</f>
        <v>5858.03328855907</v>
      </c>
      <c r="J106" s="50" t="n">
        <f aca="false">MIN($I$3-I106,K105)</f>
        <v>2256.04699934085</v>
      </c>
      <c r="K106" s="50" t="n">
        <f aca="false">K105-J106</f>
        <v>1755153.93956838</v>
      </c>
      <c r="L106" s="50" t="n">
        <f aca="false">C106+F106+I106</f>
        <v>11865.4328481147</v>
      </c>
      <c r="M106" s="50" t="n">
        <f aca="false">D106+G106+J106</f>
        <v>5323.64743978518</v>
      </c>
      <c r="N106" s="50" t="n">
        <f aca="false">L106+M106</f>
        <v>17189.0802878999</v>
      </c>
      <c r="O106" s="50" t="n">
        <f aca="false">E106+H106+K106</f>
        <v>4427590.55064582</v>
      </c>
    </row>
    <row r="107" customFormat="false" ht="15" hidden="false" customHeight="false" outlineLevel="0" collapsed="false">
      <c r="A107" s="49" t="n">
        <v>101</v>
      </c>
      <c r="B107" s="49" t="n">
        <f aca="false">ROUNDUP(A107/12,0)</f>
        <v>9</v>
      </c>
      <c r="C107" s="50" t="n">
        <f aca="false">E106*Annahmen!$B$58/12</f>
        <v>3402.96485629147</v>
      </c>
      <c r="D107" s="50" t="n">
        <f aca="false">MIN($C$3-C107,E106)</f>
        <v>1847.03514370853</v>
      </c>
      <c r="E107" s="50" t="n">
        <f aca="false">E106-D107</f>
        <v>1631576.0958762</v>
      </c>
      <c r="F107" s="50" t="n">
        <f aca="false">H106*Annahmen!$B$59/12</f>
        <v>2597.53370014384</v>
      </c>
      <c r="G107" s="50" t="n">
        <f aca="false">MIN($F$3-F107,H106)</f>
        <v>1227.46629985616</v>
      </c>
      <c r="H107" s="50" t="n">
        <f aca="false">H106-G107</f>
        <v>1037786.01375768</v>
      </c>
      <c r="I107" s="50" t="n">
        <f aca="false">K106*Annahmen!$B$60/12</f>
        <v>5850.5131318946</v>
      </c>
      <c r="J107" s="50" t="n">
        <f aca="false">MIN($I$3-I107,K106)</f>
        <v>2263.56715600532</v>
      </c>
      <c r="K107" s="50" t="n">
        <f aca="false">K106-J107</f>
        <v>1752890.37241238</v>
      </c>
      <c r="L107" s="50" t="n">
        <f aca="false">C107+F107+I107</f>
        <v>11851.0116883299</v>
      </c>
      <c r="M107" s="50" t="n">
        <f aca="false">D107+G107+J107</f>
        <v>5338.06859957001</v>
      </c>
      <c r="N107" s="50" t="n">
        <f aca="false">L107+M107</f>
        <v>17189.0802878999</v>
      </c>
      <c r="O107" s="50" t="n">
        <f aca="false">E107+H107+K107</f>
        <v>4422252.48204625</v>
      </c>
    </row>
    <row r="108" customFormat="false" ht="15" hidden="false" customHeight="false" outlineLevel="0" collapsed="false">
      <c r="A108" s="49" t="n">
        <v>102</v>
      </c>
      <c r="B108" s="49" t="n">
        <f aca="false">ROUNDUP(A108/12,0)</f>
        <v>9</v>
      </c>
      <c r="C108" s="50" t="n">
        <f aca="false">E107*Annahmen!$B$58/12</f>
        <v>3399.11686640874</v>
      </c>
      <c r="D108" s="50" t="n">
        <f aca="false">MIN($C$3-C108,E107)</f>
        <v>1850.88313359126</v>
      </c>
      <c r="E108" s="50" t="n">
        <f aca="false">E107-D108</f>
        <v>1629725.21274261</v>
      </c>
      <c r="F108" s="50" t="n">
        <f aca="false">H107*Annahmen!$B$59/12</f>
        <v>2594.4650343942</v>
      </c>
      <c r="G108" s="50" t="n">
        <f aca="false">MIN($F$3-F108,H107)</f>
        <v>1230.5349656058</v>
      </c>
      <c r="H108" s="50" t="n">
        <f aca="false">H107-G108</f>
        <v>1036555.47879208</v>
      </c>
      <c r="I108" s="50" t="n">
        <f aca="false">K107*Annahmen!$B$60/12</f>
        <v>5842.96790804125</v>
      </c>
      <c r="J108" s="50" t="n">
        <f aca="false">MIN($I$3-I108,K107)</f>
        <v>2271.11237985867</v>
      </c>
      <c r="K108" s="50" t="n">
        <f aca="false">K107-J108</f>
        <v>1750619.26003252</v>
      </c>
      <c r="L108" s="50" t="n">
        <f aca="false">C108+F108+I108</f>
        <v>11836.5498088442</v>
      </c>
      <c r="M108" s="50" t="n">
        <f aca="false">D108+G108+J108</f>
        <v>5352.53047905572</v>
      </c>
      <c r="N108" s="50" t="n">
        <f aca="false">L108+M108</f>
        <v>17189.0802878999</v>
      </c>
      <c r="O108" s="50" t="n">
        <f aca="false">E108+H108+K108</f>
        <v>4416899.9515672</v>
      </c>
    </row>
    <row r="109" customFormat="false" ht="15" hidden="false" customHeight="false" outlineLevel="0" collapsed="false">
      <c r="A109" s="49" t="n">
        <v>103</v>
      </c>
      <c r="B109" s="49" t="n">
        <f aca="false">ROUNDUP(A109/12,0)</f>
        <v>9</v>
      </c>
      <c r="C109" s="50" t="n">
        <f aca="false">E108*Annahmen!$B$58/12</f>
        <v>3395.26085988043</v>
      </c>
      <c r="D109" s="50" t="n">
        <f aca="false">MIN($C$3-C109,E108)</f>
        <v>1854.73914011958</v>
      </c>
      <c r="E109" s="50" t="n">
        <f aca="false">E108-D109</f>
        <v>1627870.47360249</v>
      </c>
      <c r="F109" s="50" t="n">
        <f aca="false">H108*Annahmen!$B$59/12</f>
        <v>2591.38869698019</v>
      </c>
      <c r="G109" s="50" t="n">
        <f aca="false">MIN($F$3-F109,H108)</f>
        <v>1233.61130301981</v>
      </c>
      <c r="H109" s="50" t="n">
        <f aca="false">H108-G109</f>
        <v>1035321.86748906</v>
      </c>
      <c r="I109" s="50" t="n">
        <f aca="false">K108*Annahmen!$B$60/12</f>
        <v>5835.39753344172</v>
      </c>
      <c r="J109" s="50" t="n">
        <f aca="false">MIN($I$3-I109,K108)</f>
        <v>2278.6827544582</v>
      </c>
      <c r="K109" s="50" t="n">
        <f aca="false">K108-J109</f>
        <v>1748340.57727806</v>
      </c>
      <c r="L109" s="50" t="n">
        <f aca="false">C109+F109+I109</f>
        <v>11822.0470903023</v>
      </c>
      <c r="M109" s="50" t="n">
        <f aca="false">D109+G109+J109</f>
        <v>5367.03319759758</v>
      </c>
      <c r="N109" s="50" t="n">
        <f aca="false">L109+M109</f>
        <v>17189.0802878999</v>
      </c>
      <c r="O109" s="50" t="n">
        <f aca="false">E109+H109+K109</f>
        <v>4411532.9183696</v>
      </c>
    </row>
    <row r="110" customFormat="false" ht="15" hidden="false" customHeight="false" outlineLevel="0" collapsed="false">
      <c r="A110" s="49" t="n">
        <v>104</v>
      </c>
      <c r="B110" s="49" t="n">
        <f aca="false">ROUNDUP(A110/12,0)</f>
        <v>9</v>
      </c>
      <c r="C110" s="50" t="n">
        <f aca="false">E109*Annahmen!$B$58/12</f>
        <v>3391.39682000518</v>
      </c>
      <c r="D110" s="50" t="n">
        <f aca="false">MIN($C$3-C110,E109)</f>
        <v>1858.60317999482</v>
      </c>
      <c r="E110" s="50" t="n">
        <f aca="false">E109-D110</f>
        <v>1626011.87042249</v>
      </c>
      <c r="F110" s="50" t="n">
        <f aca="false">H109*Annahmen!$B$59/12</f>
        <v>2588.30466872264</v>
      </c>
      <c r="G110" s="50" t="n">
        <f aca="false">MIN($F$3-F110,H109)</f>
        <v>1236.69533127736</v>
      </c>
      <c r="H110" s="50" t="n">
        <f aca="false">H109-G110</f>
        <v>1034085.17215778</v>
      </c>
      <c r="I110" s="50" t="n">
        <f aca="false">K109*Annahmen!$B$60/12</f>
        <v>5827.8019242602</v>
      </c>
      <c r="J110" s="50" t="n">
        <f aca="false">MIN($I$3-I110,K109)</f>
        <v>2286.27836363972</v>
      </c>
      <c r="K110" s="50" t="n">
        <f aca="false">K109-J110</f>
        <v>1746054.29891442</v>
      </c>
      <c r="L110" s="50" t="n">
        <f aca="false">C110+F110+I110</f>
        <v>11807.503412988</v>
      </c>
      <c r="M110" s="50" t="n">
        <f aca="false">D110+G110+J110</f>
        <v>5381.57687491191</v>
      </c>
      <c r="N110" s="50" t="n">
        <f aca="false">L110+M110</f>
        <v>17189.0802878999</v>
      </c>
      <c r="O110" s="50" t="n">
        <f aca="false">E110+H110+K110</f>
        <v>4406151.34149469</v>
      </c>
    </row>
    <row r="111" customFormat="false" ht="15" hidden="false" customHeight="false" outlineLevel="0" collapsed="false">
      <c r="A111" s="49" t="n">
        <v>105</v>
      </c>
      <c r="B111" s="49" t="n">
        <f aca="false">ROUNDUP(A111/12,0)</f>
        <v>9</v>
      </c>
      <c r="C111" s="50" t="n">
        <f aca="false">E110*Annahmen!$B$58/12</f>
        <v>3387.52473004686</v>
      </c>
      <c r="D111" s="50" t="n">
        <f aca="false">MIN($C$3-C111,E110)</f>
        <v>1862.47526995315</v>
      </c>
      <c r="E111" s="50" t="n">
        <f aca="false">E110-D111</f>
        <v>1624149.39515254</v>
      </c>
      <c r="F111" s="50" t="n">
        <f aca="false">H110*Annahmen!$B$59/12</f>
        <v>2585.21293039445</v>
      </c>
      <c r="G111" s="50" t="n">
        <f aca="false">MIN($F$3-F111,H110)</f>
        <v>1239.78706960556</v>
      </c>
      <c r="H111" s="50" t="n">
        <f aca="false">H110-G111</f>
        <v>1032845.38508817</v>
      </c>
      <c r="I111" s="50" t="n">
        <f aca="false">K110*Annahmen!$B$60/12</f>
        <v>5820.1809963814</v>
      </c>
      <c r="J111" s="50" t="n">
        <f aca="false">MIN($I$3-I111,K110)</f>
        <v>2293.89929151852</v>
      </c>
      <c r="K111" s="50" t="n">
        <f aca="false">K110-J111</f>
        <v>1743760.3996229</v>
      </c>
      <c r="L111" s="50" t="n">
        <f aca="false">C111+F111+I111</f>
        <v>11792.9186568227</v>
      </c>
      <c r="M111" s="50" t="n">
        <f aca="false">D111+G111+J111</f>
        <v>5396.16163107722</v>
      </c>
      <c r="N111" s="50" t="n">
        <f aca="false">L111+M111</f>
        <v>17189.0802878999</v>
      </c>
      <c r="O111" s="50" t="n">
        <f aca="false">E111+H111+K111</f>
        <v>4400755.17986361</v>
      </c>
    </row>
    <row r="112" customFormat="false" ht="15" hidden="false" customHeight="false" outlineLevel="0" collapsed="false">
      <c r="A112" s="49" t="n">
        <v>106</v>
      </c>
      <c r="B112" s="49" t="n">
        <f aca="false">ROUNDUP(A112/12,0)</f>
        <v>9</v>
      </c>
      <c r="C112" s="50" t="n">
        <f aca="false">E111*Annahmen!$B$58/12</f>
        <v>3383.64457323445</v>
      </c>
      <c r="D112" s="50" t="n">
        <f aca="false">MIN($C$3-C112,E111)</f>
        <v>1866.35542676555</v>
      </c>
      <c r="E112" s="50" t="n">
        <f aca="false">E111-D112</f>
        <v>1622283.03972577</v>
      </c>
      <c r="F112" s="50" t="n">
        <f aca="false">H111*Annahmen!$B$59/12</f>
        <v>2582.11346272043</v>
      </c>
      <c r="G112" s="50" t="n">
        <f aca="false">MIN($F$3-F112,H111)</f>
        <v>1242.88653727957</v>
      </c>
      <c r="H112" s="50" t="n">
        <f aca="false">H111-G112</f>
        <v>1031602.49855089</v>
      </c>
      <c r="I112" s="50" t="n">
        <f aca="false">K111*Annahmen!$B$60/12</f>
        <v>5812.53466540967</v>
      </c>
      <c r="J112" s="50" t="n">
        <f aca="false">MIN($I$3-I112,K111)</f>
        <v>2301.54562249025</v>
      </c>
      <c r="K112" s="50" t="n">
        <f aca="false">K111-J112</f>
        <v>1741458.85400041</v>
      </c>
      <c r="L112" s="50" t="n">
        <f aca="false">C112+F112+I112</f>
        <v>11778.2927013646</v>
      </c>
      <c r="M112" s="50" t="n">
        <f aca="false">D112+G112+J112</f>
        <v>5410.78758653537</v>
      </c>
      <c r="N112" s="50" t="n">
        <f aca="false">L112+M112</f>
        <v>17189.0802878999</v>
      </c>
      <c r="O112" s="50" t="n">
        <f aca="false">E112+H112+K112</f>
        <v>4395344.39227708</v>
      </c>
    </row>
    <row r="113" customFormat="false" ht="15" hidden="false" customHeight="false" outlineLevel="0" collapsed="false">
      <c r="A113" s="49" t="n">
        <v>107</v>
      </c>
      <c r="B113" s="49" t="n">
        <f aca="false">ROUNDUP(A113/12,0)</f>
        <v>9</v>
      </c>
      <c r="C113" s="50" t="n">
        <f aca="false">E112*Annahmen!$B$58/12</f>
        <v>3379.75633276203</v>
      </c>
      <c r="D113" s="50" t="n">
        <f aca="false">MIN($C$3-C113,E112)</f>
        <v>1870.24366723798</v>
      </c>
      <c r="E113" s="50" t="n">
        <f aca="false">E112-D113</f>
        <v>1620412.79605853</v>
      </c>
      <c r="F113" s="50" t="n">
        <f aca="false">H112*Annahmen!$B$59/12</f>
        <v>2579.00624637723</v>
      </c>
      <c r="G113" s="50" t="n">
        <f aca="false">MIN($F$3-F113,H112)</f>
        <v>1245.99375362277</v>
      </c>
      <c r="H113" s="50" t="n">
        <f aca="false">H112-G113</f>
        <v>1030356.50479727</v>
      </c>
      <c r="I113" s="50" t="n">
        <f aca="false">K112*Annahmen!$B$60/12</f>
        <v>5804.86284666804</v>
      </c>
      <c r="J113" s="50" t="n">
        <f aca="false">MIN($I$3-I113,K112)</f>
        <v>2309.21744123188</v>
      </c>
      <c r="K113" s="50" t="n">
        <f aca="false">K112-J113</f>
        <v>1739149.63655918</v>
      </c>
      <c r="L113" s="50" t="n">
        <f aca="false">C113+F113+I113</f>
        <v>11763.6254258073</v>
      </c>
      <c r="M113" s="50" t="n">
        <f aca="false">D113+G113+J113</f>
        <v>5425.45486209263</v>
      </c>
      <c r="N113" s="50" t="n">
        <f aca="false">L113+M113</f>
        <v>17189.0802878999</v>
      </c>
      <c r="O113" s="50" t="n">
        <f aca="false">E113+H113+K113</f>
        <v>4389918.93741498</v>
      </c>
    </row>
    <row r="114" customFormat="false" ht="15" hidden="false" customHeight="false" outlineLevel="0" collapsed="false">
      <c r="A114" s="49" t="n">
        <v>108</v>
      </c>
      <c r="B114" s="49" t="n">
        <f aca="false">ROUNDUP(A114/12,0)</f>
        <v>9</v>
      </c>
      <c r="C114" s="50" t="n">
        <f aca="false">E113*Annahmen!$B$58/12</f>
        <v>3375.85999178861</v>
      </c>
      <c r="D114" s="50" t="n">
        <f aca="false">MIN($C$3-C114,E113)</f>
        <v>1874.14000821139</v>
      </c>
      <c r="E114" s="50" t="n">
        <f aca="false">E113-D114</f>
        <v>1618538.65605032</v>
      </c>
      <c r="F114" s="50" t="n">
        <f aca="false">H113*Annahmen!$B$59/12</f>
        <v>2575.89126199318</v>
      </c>
      <c r="G114" s="50" t="n">
        <f aca="false">MIN($F$3-F114,H113)</f>
        <v>1249.10873800683</v>
      </c>
      <c r="H114" s="50" t="n">
        <f aca="false">H113-G114</f>
        <v>1029107.39605926</v>
      </c>
      <c r="I114" s="50" t="n">
        <f aca="false">K113*Annahmen!$B$60/12</f>
        <v>5797.16545519726</v>
      </c>
      <c r="J114" s="50" t="n">
        <f aca="false">MIN($I$3-I114,K113)</f>
        <v>2316.91483270266</v>
      </c>
      <c r="K114" s="50" t="n">
        <f aca="false">K113-J114</f>
        <v>1736832.72172648</v>
      </c>
      <c r="L114" s="50" t="n">
        <f aca="false">C114+F114+I114</f>
        <v>11748.9167089791</v>
      </c>
      <c r="M114" s="50" t="n">
        <f aca="false">D114+G114+J114</f>
        <v>5440.16357892087</v>
      </c>
      <c r="N114" s="50" t="n">
        <f aca="false">L114+M114</f>
        <v>17189.0802878999</v>
      </c>
      <c r="O114" s="50" t="n">
        <f aca="false">E114+H114+K114</f>
        <v>4384478.77383606</v>
      </c>
    </row>
    <row r="115" customFormat="false" ht="15" hidden="false" customHeight="false" outlineLevel="0" collapsed="false">
      <c r="A115" s="49" t="n">
        <v>109</v>
      </c>
      <c r="B115" s="49" t="n">
        <f aca="false">ROUNDUP(A115/12,0)</f>
        <v>10</v>
      </c>
      <c r="C115" s="50" t="n">
        <f aca="false">E114*Annahmen!$B$58/12</f>
        <v>3371.95553343817</v>
      </c>
      <c r="D115" s="50" t="n">
        <f aca="false">MIN($C$3-C115,E114)</f>
        <v>1878.04446656183</v>
      </c>
      <c r="E115" s="50" t="n">
        <f aca="false">E114-D115</f>
        <v>1616660.61158376</v>
      </c>
      <c r="F115" s="50" t="n">
        <f aca="false">H114*Annahmen!$B$59/12</f>
        <v>2572.76849014816</v>
      </c>
      <c r="G115" s="50" t="n">
        <f aca="false">MIN($F$3-F115,H114)</f>
        <v>1252.23150985184</v>
      </c>
      <c r="H115" s="50" t="n">
        <f aca="false">H114-G115</f>
        <v>1027855.16454941</v>
      </c>
      <c r="I115" s="50" t="n">
        <f aca="false">K114*Annahmen!$B$60/12</f>
        <v>5789.44240575492</v>
      </c>
      <c r="J115" s="50" t="n">
        <f aca="false">MIN($I$3-I115,K114)</f>
        <v>2324.637882145</v>
      </c>
      <c r="K115" s="50" t="n">
        <f aca="false">K114-J115</f>
        <v>1734508.08384433</v>
      </c>
      <c r="L115" s="50" t="n">
        <f aca="false">C115+F115+I115</f>
        <v>11734.1664293413</v>
      </c>
      <c r="M115" s="50" t="n">
        <f aca="false">D115+G115+J115</f>
        <v>5454.91385855867</v>
      </c>
      <c r="N115" s="50" t="n">
        <f aca="false">L115+M115</f>
        <v>17189.0802878999</v>
      </c>
      <c r="O115" s="50" t="n">
        <f aca="false">E115+H115+K115</f>
        <v>4379023.8599775</v>
      </c>
    </row>
    <row r="116" customFormat="false" ht="15" hidden="false" customHeight="false" outlineLevel="0" collapsed="false">
      <c r="A116" s="49" t="n">
        <v>110</v>
      </c>
      <c r="B116" s="49" t="n">
        <f aca="false">ROUNDUP(A116/12,0)</f>
        <v>10</v>
      </c>
      <c r="C116" s="50" t="n">
        <f aca="false">E115*Annahmen!$B$58/12</f>
        <v>3368.0429407995</v>
      </c>
      <c r="D116" s="50" t="n">
        <f aca="false">MIN($C$3-C116,E115)</f>
        <v>1881.9570592005</v>
      </c>
      <c r="E116" s="50" t="n">
        <f aca="false">E115-D116</f>
        <v>1614778.65452456</v>
      </c>
      <c r="F116" s="50" t="n">
        <f aca="false">H115*Annahmen!$B$59/12</f>
        <v>2569.63791137353</v>
      </c>
      <c r="G116" s="50" t="n">
        <f aca="false">MIN($F$3-F116,H115)</f>
        <v>1255.36208862647</v>
      </c>
      <c r="H116" s="50" t="n">
        <f aca="false">H115-G116</f>
        <v>1026599.80246079</v>
      </c>
      <c r="I116" s="50" t="n">
        <f aca="false">K115*Annahmen!$B$60/12</f>
        <v>5781.69361281444</v>
      </c>
      <c r="J116" s="50" t="n">
        <f aca="false">MIN($I$3-I116,K115)</f>
        <v>2332.38667508548</v>
      </c>
      <c r="K116" s="50" t="n">
        <f aca="false">K115-J116</f>
        <v>1732175.69716925</v>
      </c>
      <c r="L116" s="50" t="n">
        <f aca="false">C116+F116+I116</f>
        <v>11719.3744649875</v>
      </c>
      <c r="M116" s="50" t="n">
        <f aca="false">D116+G116+J116</f>
        <v>5469.70582291246</v>
      </c>
      <c r="N116" s="50" t="n">
        <f aca="false">L116+M116</f>
        <v>17189.0802878999</v>
      </c>
      <c r="O116" s="50" t="n">
        <f aca="false">E116+H116+K116</f>
        <v>4373554.15415459</v>
      </c>
    </row>
    <row r="117" customFormat="false" ht="15" hidden="false" customHeight="false" outlineLevel="0" collapsed="false">
      <c r="A117" s="49" t="n">
        <v>111</v>
      </c>
      <c r="B117" s="49" t="n">
        <f aca="false">ROUNDUP(A117/12,0)</f>
        <v>10</v>
      </c>
      <c r="C117" s="50" t="n">
        <f aca="false">E116*Annahmen!$B$58/12</f>
        <v>3364.12219692617</v>
      </c>
      <c r="D117" s="50" t="n">
        <f aca="false">MIN($C$3-C117,E116)</f>
        <v>1885.87780307384</v>
      </c>
      <c r="E117" s="50" t="n">
        <f aca="false">E116-D117</f>
        <v>1612892.77672149</v>
      </c>
      <c r="F117" s="50" t="n">
        <f aca="false">H116*Annahmen!$B$59/12</f>
        <v>2566.49950615196</v>
      </c>
      <c r="G117" s="50" t="n">
        <f aca="false">MIN($F$3-F117,H116)</f>
        <v>1258.50049384804</v>
      </c>
      <c r="H117" s="50" t="n">
        <f aca="false">H116-G117</f>
        <v>1025341.30196694</v>
      </c>
      <c r="I117" s="50" t="n">
        <f aca="false">K116*Annahmen!$B$60/12</f>
        <v>5773.91899056415</v>
      </c>
      <c r="J117" s="50" t="n">
        <f aca="false">MIN($I$3-I117,K116)</f>
        <v>2340.16129733577</v>
      </c>
      <c r="K117" s="50" t="n">
        <f aca="false">K116-J117</f>
        <v>1729835.53587191</v>
      </c>
      <c r="L117" s="50" t="n">
        <f aca="false">C117+F117+I117</f>
        <v>11704.5406936423</v>
      </c>
      <c r="M117" s="50" t="n">
        <f aca="false">D117+G117+J117</f>
        <v>5484.53959425764</v>
      </c>
      <c r="N117" s="50" t="n">
        <f aca="false">L117+M117</f>
        <v>17189.0802878999</v>
      </c>
      <c r="O117" s="50" t="n">
        <f aca="false">E117+H117+K117</f>
        <v>4368069.61456033</v>
      </c>
    </row>
    <row r="118" customFormat="false" ht="15" hidden="false" customHeight="false" outlineLevel="0" collapsed="false">
      <c r="A118" s="49" t="n">
        <v>112</v>
      </c>
      <c r="B118" s="49" t="n">
        <f aca="false">ROUNDUP(A118/12,0)</f>
        <v>10</v>
      </c>
      <c r="C118" s="50" t="n">
        <f aca="false">E117*Annahmen!$B$58/12</f>
        <v>3360.19328483643</v>
      </c>
      <c r="D118" s="50" t="n">
        <f aca="false">MIN($C$3-C118,E117)</f>
        <v>1889.80671516357</v>
      </c>
      <c r="E118" s="50" t="n">
        <f aca="false">E117-D118</f>
        <v>1611002.97000632</v>
      </c>
      <c r="F118" s="50" t="n">
        <f aca="false">H117*Annahmen!$B$59/12</f>
        <v>2563.35325491734</v>
      </c>
      <c r="G118" s="50" t="n">
        <f aca="false">MIN($F$3-F118,H117)</f>
        <v>1261.64674508266</v>
      </c>
      <c r="H118" s="50" t="n">
        <f aca="false">H117-G118</f>
        <v>1024079.65522185</v>
      </c>
      <c r="I118" s="50" t="n">
        <f aca="false">K117*Annahmen!$B$60/12</f>
        <v>5766.11845290637</v>
      </c>
      <c r="J118" s="50" t="n">
        <f aca="false">MIN($I$3-I118,K117)</f>
        <v>2347.96183499355</v>
      </c>
      <c r="K118" s="50" t="n">
        <f aca="false">K117-J118</f>
        <v>1727487.57403692</v>
      </c>
      <c r="L118" s="50" t="n">
        <f aca="false">C118+F118+I118</f>
        <v>11689.6649926601</v>
      </c>
      <c r="M118" s="50" t="n">
        <f aca="false">D118+G118+J118</f>
        <v>5499.41529523978</v>
      </c>
      <c r="N118" s="50" t="n">
        <f aca="false">L118+M118</f>
        <v>17189.0802878999</v>
      </c>
      <c r="O118" s="50" t="n">
        <f aca="false">E118+H118+K118</f>
        <v>4362570.19926509</v>
      </c>
    </row>
    <row r="119" customFormat="false" ht="15" hidden="false" customHeight="false" outlineLevel="0" collapsed="false">
      <c r="A119" s="49" t="n">
        <v>113</v>
      </c>
      <c r="B119" s="49" t="n">
        <f aca="false">ROUNDUP(A119/12,0)</f>
        <v>10</v>
      </c>
      <c r="C119" s="50" t="n">
        <f aca="false">E118*Annahmen!$B$58/12</f>
        <v>3356.25618751317</v>
      </c>
      <c r="D119" s="50" t="n">
        <f aca="false">MIN($C$3-C119,E118)</f>
        <v>1893.74381248683</v>
      </c>
      <c r="E119" s="50" t="n">
        <f aca="false">E118-D119</f>
        <v>1609109.22619384</v>
      </c>
      <c r="F119" s="50" t="n">
        <f aca="false">H118*Annahmen!$B$59/12</f>
        <v>2560.19913805464</v>
      </c>
      <c r="G119" s="50" t="n">
        <f aca="false">MIN($F$3-F119,H118)</f>
        <v>1264.80086194536</v>
      </c>
      <c r="H119" s="50" t="n">
        <f aca="false">H118-G119</f>
        <v>1022814.85435991</v>
      </c>
      <c r="I119" s="50" t="n">
        <f aca="false">K118*Annahmen!$B$60/12</f>
        <v>5758.29191345639</v>
      </c>
      <c r="J119" s="50" t="n">
        <f aca="false">MIN($I$3-I119,K118)</f>
        <v>2355.78837444353</v>
      </c>
      <c r="K119" s="50" t="n">
        <f aca="false">K118-J119</f>
        <v>1725131.78566247</v>
      </c>
      <c r="L119" s="50" t="n">
        <f aca="false">C119+F119+I119</f>
        <v>11674.7472390242</v>
      </c>
      <c r="M119" s="50" t="n">
        <f aca="false">D119+G119+J119</f>
        <v>5514.33304887573</v>
      </c>
      <c r="N119" s="50" t="n">
        <f aca="false">L119+M119</f>
        <v>17189.0802878999</v>
      </c>
      <c r="O119" s="50" t="n">
        <f aca="false">E119+H119+K119</f>
        <v>4357055.86621622</v>
      </c>
    </row>
    <row r="120" customFormat="false" ht="15" hidden="false" customHeight="false" outlineLevel="0" collapsed="false">
      <c r="A120" s="49" t="n">
        <v>114</v>
      </c>
      <c r="B120" s="49" t="n">
        <f aca="false">ROUNDUP(A120/12,0)</f>
        <v>10</v>
      </c>
      <c r="C120" s="50" t="n">
        <f aca="false">E119*Annahmen!$B$58/12</f>
        <v>3352.31088790383</v>
      </c>
      <c r="D120" s="50" t="n">
        <f aca="false">MIN($C$3-C120,E119)</f>
        <v>1897.68911209618</v>
      </c>
      <c r="E120" s="50" t="n">
        <f aca="false">E119-D120</f>
        <v>1607211.53708174</v>
      </c>
      <c r="F120" s="50" t="n">
        <f aca="false">H119*Annahmen!$B$59/12</f>
        <v>2557.03713589977</v>
      </c>
      <c r="G120" s="50" t="n">
        <f aca="false">MIN($F$3-F120,H119)</f>
        <v>1267.96286410023</v>
      </c>
      <c r="H120" s="50" t="n">
        <f aca="false">H119-G120</f>
        <v>1021546.89149581</v>
      </c>
      <c r="I120" s="50" t="n">
        <f aca="false">K119*Annahmen!$B$60/12</f>
        <v>5750.43928554158</v>
      </c>
      <c r="J120" s="50" t="n">
        <f aca="false">MIN($I$3-I120,K119)</f>
        <v>2363.64100235834</v>
      </c>
      <c r="K120" s="50" t="n">
        <f aca="false">K119-J120</f>
        <v>1722768.14466011</v>
      </c>
      <c r="L120" s="50" t="n">
        <f aca="false">C120+F120+I120</f>
        <v>11659.7873093452</v>
      </c>
      <c r="M120" s="50" t="n">
        <f aca="false">D120+G120+J120</f>
        <v>5529.29297855475</v>
      </c>
      <c r="N120" s="50" t="n">
        <f aca="false">L120+M120</f>
        <v>17189.0802878999</v>
      </c>
      <c r="O120" s="50" t="n">
        <f aca="false">E120+H120+K120</f>
        <v>4351526.57323766</v>
      </c>
    </row>
    <row r="121" customFormat="false" ht="15" hidden="false" customHeight="false" outlineLevel="0" collapsed="false">
      <c r="A121" s="49" t="n">
        <v>115</v>
      </c>
      <c r="B121" s="49" t="n">
        <f aca="false">ROUNDUP(A121/12,0)</f>
        <v>10</v>
      </c>
      <c r="C121" s="50" t="n">
        <f aca="false">E120*Annahmen!$B$58/12</f>
        <v>3348.35736892029</v>
      </c>
      <c r="D121" s="50" t="n">
        <f aca="false">MIN($C$3-C121,E120)</f>
        <v>1901.64263107971</v>
      </c>
      <c r="E121" s="50" t="n">
        <f aca="false">E120-D121</f>
        <v>1605309.89445066</v>
      </c>
      <c r="F121" s="50" t="n">
        <f aca="false">H120*Annahmen!$B$59/12</f>
        <v>2553.86722873952</v>
      </c>
      <c r="G121" s="50" t="n">
        <f aca="false">MIN($F$3-F121,H120)</f>
        <v>1271.13277126048</v>
      </c>
      <c r="H121" s="50" t="n">
        <f aca="false">H120-G121</f>
        <v>1020275.75872455</v>
      </c>
      <c r="I121" s="50" t="n">
        <f aca="false">K120*Annahmen!$B$60/12</f>
        <v>5742.56048220038</v>
      </c>
      <c r="J121" s="50" t="n">
        <f aca="false">MIN($I$3-I121,K120)</f>
        <v>2371.51980569954</v>
      </c>
      <c r="K121" s="50" t="n">
        <f aca="false">K120-J121</f>
        <v>1720396.62485441</v>
      </c>
      <c r="L121" s="50" t="n">
        <f aca="false">C121+F121+I121</f>
        <v>11644.7850798602</v>
      </c>
      <c r="M121" s="50" t="n">
        <f aca="false">D121+G121+J121</f>
        <v>5544.29520803973</v>
      </c>
      <c r="N121" s="50" t="n">
        <f aca="false">L121+M121</f>
        <v>17189.0802878999</v>
      </c>
      <c r="O121" s="50" t="n">
        <f aca="false">E121+H121+K121</f>
        <v>4345982.27802962</v>
      </c>
    </row>
    <row r="122" customFormat="false" ht="15" hidden="false" customHeight="false" outlineLevel="0" collapsed="false">
      <c r="A122" s="49" t="n">
        <v>116</v>
      </c>
      <c r="B122" s="49" t="n">
        <f aca="false">ROUNDUP(A122/12,0)</f>
        <v>10</v>
      </c>
      <c r="C122" s="50" t="n">
        <f aca="false">E121*Annahmen!$B$58/12</f>
        <v>3344.39561343888</v>
      </c>
      <c r="D122" s="50" t="n">
        <f aca="false">MIN($C$3-C122,E121)</f>
        <v>1905.60438656113</v>
      </c>
      <c r="E122" s="50" t="n">
        <f aca="false">E121-D122</f>
        <v>1603404.2900641</v>
      </c>
      <c r="F122" s="50" t="n">
        <f aca="false">H121*Annahmen!$B$59/12</f>
        <v>2550.68939681137</v>
      </c>
      <c r="G122" s="50" t="n">
        <f aca="false">MIN($F$3-F122,H121)</f>
        <v>1274.31060318863</v>
      </c>
      <c r="H122" s="50" t="n">
        <f aca="false">H121-G122</f>
        <v>1019001.44812136</v>
      </c>
      <c r="I122" s="50" t="n">
        <f aca="false">K121*Annahmen!$B$60/12</f>
        <v>5734.65541618138</v>
      </c>
      <c r="J122" s="50" t="n">
        <f aca="false">MIN($I$3-I122,K121)</f>
        <v>2379.42487171854</v>
      </c>
      <c r="K122" s="50" t="n">
        <f aca="false">K121-J122</f>
        <v>1718017.1999827</v>
      </c>
      <c r="L122" s="50" t="n">
        <f aca="false">C122+F122+I122</f>
        <v>11629.7404264316</v>
      </c>
      <c r="M122" s="50" t="n">
        <f aca="false">D122+G122+J122</f>
        <v>5559.33986146829</v>
      </c>
      <c r="N122" s="50" t="n">
        <f aca="false">L122+M122</f>
        <v>17189.0802878999</v>
      </c>
      <c r="O122" s="50" t="n">
        <f aca="false">E122+H122+K122</f>
        <v>4340422.93816816</v>
      </c>
    </row>
    <row r="123" customFormat="false" ht="15" hidden="false" customHeight="false" outlineLevel="0" collapsed="false">
      <c r="A123" s="49" t="n">
        <v>117</v>
      </c>
      <c r="B123" s="49" t="n">
        <f aca="false">ROUNDUP(A123/12,0)</f>
        <v>10</v>
      </c>
      <c r="C123" s="50" t="n">
        <f aca="false">E122*Annahmen!$B$58/12</f>
        <v>3340.42560430021</v>
      </c>
      <c r="D123" s="50" t="n">
        <f aca="false">MIN($C$3-C123,E122)</f>
        <v>1909.5743956998</v>
      </c>
      <c r="E123" s="50" t="n">
        <f aca="false">E122-D123</f>
        <v>1601494.7156684</v>
      </c>
      <c r="F123" s="50" t="n">
        <f aca="false">H122*Annahmen!$B$59/12</f>
        <v>2547.5036203034</v>
      </c>
      <c r="G123" s="50" t="n">
        <f aca="false">MIN($F$3-F123,H122)</f>
        <v>1277.4963796966</v>
      </c>
      <c r="H123" s="50" t="n">
        <f aca="false">H122-G123</f>
        <v>1017723.95174166</v>
      </c>
      <c r="I123" s="50" t="n">
        <f aca="false">K122*Annahmen!$B$60/12</f>
        <v>5726.72399994232</v>
      </c>
      <c r="J123" s="50" t="n">
        <f aca="false">MIN($I$3-I123,K122)</f>
        <v>2387.3562879576</v>
      </c>
      <c r="K123" s="50" t="n">
        <f aca="false">K122-J123</f>
        <v>1715629.84369474</v>
      </c>
      <c r="L123" s="50" t="n">
        <f aca="false">C123+F123+I123</f>
        <v>11614.6532245459</v>
      </c>
      <c r="M123" s="50" t="n">
        <f aca="false">D123+G123+J123</f>
        <v>5574.427063354</v>
      </c>
      <c r="N123" s="50" t="n">
        <f aca="false">L123+M123</f>
        <v>17189.0802878999</v>
      </c>
      <c r="O123" s="50" t="n">
        <f aca="false">E123+H123+K123</f>
        <v>4334848.5111048</v>
      </c>
    </row>
    <row r="124" customFormat="false" ht="15" hidden="false" customHeight="false" outlineLevel="0" collapsed="false">
      <c r="A124" s="49" t="n">
        <v>118</v>
      </c>
      <c r="B124" s="49" t="n">
        <f aca="false">ROUNDUP(A124/12,0)</f>
        <v>10</v>
      </c>
      <c r="C124" s="50" t="n">
        <f aca="false">E123*Annahmen!$B$58/12</f>
        <v>3336.44732430917</v>
      </c>
      <c r="D124" s="50" t="n">
        <f aca="false">MIN($C$3-C124,E123)</f>
        <v>1913.55267569084</v>
      </c>
      <c r="E124" s="50" t="n">
        <f aca="false">E123-D124</f>
        <v>1599581.16299271</v>
      </c>
      <c r="F124" s="50" t="n">
        <f aca="false">H123*Annahmen!$B$59/12</f>
        <v>2544.30987935416</v>
      </c>
      <c r="G124" s="50" t="n">
        <f aca="false">MIN($F$3-F124,H123)</f>
        <v>1280.69012064584</v>
      </c>
      <c r="H124" s="50" t="n">
        <f aca="false">H123-G124</f>
        <v>1016443.26162102</v>
      </c>
      <c r="I124" s="50" t="n">
        <f aca="false">K123*Annahmen!$B$60/12</f>
        <v>5718.76614564913</v>
      </c>
      <c r="J124" s="50" t="n">
        <f aca="false">MIN($I$3-I124,K123)</f>
        <v>2395.31414225079</v>
      </c>
      <c r="K124" s="50" t="n">
        <f aca="false">K123-J124</f>
        <v>1713234.52955249</v>
      </c>
      <c r="L124" s="50" t="n">
        <f aca="false">C124+F124+I124</f>
        <v>11599.5233493125</v>
      </c>
      <c r="M124" s="50" t="n">
        <f aca="false">D124+G124+J124</f>
        <v>5589.55693858747</v>
      </c>
      <c r="N124" s="50" t="n">
        <f aca="false">L124+M124</f>
        <v>17189.0802878999</v>
      </c>
      <c r="O124" s="50" t="n">
        <f aca="false">E124+H124+K124</f>
        <v>4329258.95416621</v>
      </c>
    </row>
    <row r="125" customFormat="false" ht="15" hidden="false" customHeight="false" outlineLevel="0" collapsed="false">
      <c r="A125" s="49" t="n">
        <v>119</v>
      </c>
      <c r="B125" s="49" t="n">
        <f aca="false">ROUNDUP(A125/12,0)</f>
        <v>10</v>
      </c>
      <c r="C125" s="50" t="n">
        <f aca="false">E124*Annahmen!$B$58/12</f>
        <v>3332.46075623481</v>
      </c>
      <c r="D125" s="50" t="n">
        <f aca="false">MIN($C$3-C125,E124)</f>
        <v>1917.53924376519</v>
      </c>
      <c r="E125" s="50" t="n">
        <f aca="false">E124-D125</f>
        <v>1597663.62374894</v>
      </c>
      <c r="F125" s="50" t="n">
        <f aca="false">H124*Annahmen!$B$59/12</f>
        <v>2541.10815405254</v>
      </c>
      <c r="G125" s="50" t="n">
        <f aca="false">MIN($F$3-F125,H124)</f>
        <v>1283.89184594746</v>
      </c>
      <c r="H125" s="50" t="n">
        <f aca="false">H124-G125</f>
        <v>1015159.36977507</v>
      </c>
      <c r="I125" s="50" t="n">
        <f aca="false">K124*Annahmen!$B$60/12</f>
        <v>5710.78176517496</v>
      </c>
      <c r="J125" s="50" t="n">
        <f aca="false">MIN($I$3-I125,K124)</f>
        <v>2403.29852272496</v>
      </c>
      <c r="K125" s="50" t="n">
        <f aca="false">K124-J125</f>
        <v>1710831.23102976</v>
      </c>
      <c r="L125" s="50" t="n">
        <f aca="false">C125+F125+I125</f>
        <v>11584.3506754623</v>
      </c>
      <c r="M125" s="50" t="n">
        <f aca="false">D125+G125+J125</f>
        <v>5604.72961243761</v>
      </c>
      <c r="N125" s="50" t="n">
        <f aca="false">L125+M125</f>
        <v>17189.0802878999</v>
      </c>
      <c r="O125" s="50" t="n">
        <f aca="false">E125+H125+K125</f>
        <v>4323654.22455378</v>
      </c>
    </row>
    <row r="126" customFormat="false" ht="15" hidden="false" customHeight="false" outlineLevel="0" collapsed="false">
      <c r="A126" s="49" t="n">
        <v>120</v>
      </c>
      <c r="B126" s="49" t="n">
        <f aca="false">ROUNDUP(A126/12,0)</f>
        <v>10</v>
      </c>
      <c r="C126" s="50" t="n">
        <f aca="false">E125*Annahmen!$B$58/12</f>
        <v>3328.4658828103</v>
      </c>
      <c r="D126" s="50" t="n">
        <f aca="false">MIN($C$3-C126,E125)</f>
        <v>1921.5341171897</v>
      </c>
      <c r="E126" s="50" t="n">
        <f aca="false">E125-D126</f>
        <v>1595742.08963175</v>
      </c>
      <c r="F126" s="50" t="n">
        <f aca="false">H125*Annahmen!$B$59/12</f>
        <v>2537.89842443768</v>
      </c>
      <c r="G126" s="50" t="n">
        <f aca="false">MIN($F$3-F126,H125)</f>
        <v>1287.10157556233</v>
      </c>
      <c r="H126" s="50" t="n">
        <f aca="false">H125-G126</f>
        <v>1013872.26819951</v>
      </c>
      <c r="I126" s="50" t="n">
        <f aca="false">K125*Annahmen!$B$60/12</f>
        <v>5702.77077009921</v>
      </c>
      <c r="J126" s="50" t="n">
        <f aca="false">MIN($I$3-I126,K125)</f>
        <v>2411.30951780071</v>
      </c>
      <c r="K126" s="50" t="n">
        <f aca="false">K125-J126</f>
        <v>1708419.92151196</v>
      </c>
      <c r="L126" s="50" t="n">
        <f aca="false">C126+F126+I126</f>
        <v>11569.1350773472</v>
      </c>
      <c r="M126" s="50" t="n">
        <f aca="false">D126+G126+J126</f>
        <v>5619.94521055274</v>
      </c>
      <c r="N126" s="50" t="n">
        <f aca="false">L126+M126</f>
        <v>17189.0802878999</v>
      </c>
      <c r="O126" s="50" t="n">
        <f aca="false">E126+H126+K126</f>
        <v>4318034.27934322</v>
      </c>
    </row>
    <row r="127" customFormat="false" ht="15" hidden="false" customHeight="false" outlineLevel="0" collapsed="false">
      <c r="A127" s="49" t="n">
        <v>121</v>
      </c>
      <c r="B127" s="49" t="n">
        <f aca="false">ROUNDUP(A127/12,0)</f>
        <v>11</v>
      </c>
      <c r="C127" s="50" t="n">
        <f aca="false">E126*Annahmen!$B$58/12</f>
        <v>3324.46268673282</v>
      </c>
      <c r="D127" s="50" t="n">
        <f aca="false">MIN($C$3-C127,E126)</f>
        <v>1925.53731326718</v>
      </c>
      <c r="E127" s="50" t="n">
        <f aca="false">E126-D127</f>
        <v>1593816.55231849</v>
      </c>
      <c r="F127" s="50" t="n">
        <f aca="false">H126*Annahmen!$B$59/12</f>
        <v>2534.68067049877</v>
      </c>
      <c r="G127" s="50" t="n">
        <f aca="false">MIN($F$3-F127,H126)</f>
        <v>1290.31932950123</v>
      </c>
      <c r="H127" s="50" t="n">
        <f aca="false">H126-G127</f>
        <v>1012581.94887001</v>
      </c>
      <c r="I127" s="50" t="n">
        <f aca="false">K126*Annahmen!$B$60/12</f>
        <v>5694.73307170654</v>
      </c>
      <c r="J127" s="50" t="n">
        <f aca="false">MIN($I$3-I127,K126)</f>
        <v>2419.34721619338</v>
      </c>
      <c r="K127" s="50" t="n">
        <f aca="false">K126-J127</f>
        <v>1706000.57429577</v>
      </c>
      <c r="L127" s="50" t="n">
        <f aca="false">C127+F127+I127</f>
        <v>11553.8764289381</v>
      </c>
      <c r="M127" s="50" t="n">
        <f aca="false">D127+G127+J127</f>
        <v>5635.20385896179</v>
      </c>
      <c r="N127" s="50" t="n">
        <f aca="false">L127+M127</f>
        <v>17189.0802878999</v>
      </c>
      <c r="O127" s="50" t="n">
        <f aca="false">E127+H127+K127</f>
        <v>4312399.07548426</v>
      </c>
    </row>
    <row r="128" customFormat="false" ht="15" hidden="false" customHeight="false" outlineLevel="0" collapsed="false">
      <c r="A128" s="49" t="n">
        <v>122</v>
      </c>
      <c r="B128" s="49" t="n">
        <f aca="false">ROUNDUP(A128/12,0)</f>
        <v>11</v>
      </c>
      <c r="C128" s="50" t="n">
        <f aca="false">E127*Annahmen!$B$58/12</f>
        <v>3320.45115066352</v>
      </c>
      <c r="D128" s="50" t="n">
        <f aca="false">MIN($C$3-C128,E127)</f>
        <v>1929.54884933649</v>
      </c>
      <c r="E128" s="50" t="n">
        <f aca="false">E127-D128</f>
        <v>1591887.00346915</v>
      </c>
      <c r="F128" s="50" t="n">
        <f aca="false">H127*Annahmen!$B$59/12</f>
        <v>2531.45487217502</v>
      </c>
      <c r="G128" s="50" t="n">
        <f aca="false">MIN($F$3-F128,H127)</f>
        <v>1293.54512782499</v>
      </c>
      <c r="H128" s="50" t="n">
        <f aca="false">H127-G128</f>
        <v>1011288.40374218</v>
      </c>
      <c r="I128" s="50" t="n">
        <f aca="false">K127*Annahmen!$B$60/12</f>
        <v>5686.6685809859</v>
      </c>
      <c r="J128" s="50" t="n">
        <f aca="false">MIN($I$3-I128,K127)</f>
        <v>2427.41170691402</v>
      </c>
      <c r="K128" s="50" t="n">
        <f aca="false">K127-J128</f>
        <v>1703573.16258885</v>
      </c>
      <c r="L128" s="50" t="n">
        <f aca="false">C128+F128+I128</f>
        <v>11538.5746038244</v>
      </c>
      <c r="M128" s="50" t="n">
        <f aca="false">D128+G128+J128</f>
        <v>5650.5056840755</v>
      </c>
      <c r="N128" s="50" t="n">
        <f aca="false">L128+M128</f>
        <v>17189.0802878999</v>
      </c>
      <c r="O128" s="50" t="n">
        <f aca="false">E128+H128+K128</f>
        <v>4306748.56980019</v>
      </c>
    </row>
    <row r="129" customFormat="false" ht="15" hidden="false" customHeight="false" outlineLevel="0" collapsed="false">
      <c r="A129" s="49" t="n">
        <v>123</v>
      </c>
      <c r="B129" s="49" t="n">
        <f aca="false">ROUNDUP(A129/12,0)</f>
        <v>11</v>
      </c>
      <c r="C129" s="50" t="n">
        <f aca="false">E128*Annahmen!$B$58/12</f>
        <v>3316.4312572274</v>
      </c>
      <c r="D129" s="50" t="n">
        <f aca="false">MIN($C$3-C129,E128)</f>
        <v>1933.56874277261</v>
      </c>
      <c r="E129" s="50" t="n">
        <f aca="false">E128-D129</f>
        <v>1589953.43472638</v>
      </c>
      <c r="F129" s="50" t="n">
        <f aca="false">H128*Annahmen!$B$59/12</f>
        <v>2528.22100935545</v>
      </c>
      <c r="G129" s="50" t="n">
        <f aca="false">MIN($F$3-F129,H128)</f>
        <v>1296.77899064455</v>
      </c>
      <c r="H129" s="50" t="n">
        <f aca="false">H128-G129</f>
        <v>1009991.62475154</v>
      </c>
      <c r="I129" s="50" t="n">
        <f aca="false">K128*Annahmen!$B$60/12</f>
        <v>5678.57720862952</v>
      </c>
      <c r="J129" s="50" t="n">
        <f aca="false">MIN($I$3-I129,K128)</f>
        <v>2435.5030792704</v>
      </c>
      <c r="K129" s="50" t="n">
        <f aca="false">K128-J129</f>
        <v>1701137.65950958</v>
      </c>
      <c r="L129" s="50" t="n">
        <f aca="false">C129+F129+I129</f>
        <v>11523.2294752124</v>
      </c>
      <c r="M129" s="50" t="n">
        <f aca="false">D129+G129+J129</f>
        <v>5665.85081268756</v>
      </c>
      <c r="N129" s="50" t="n">
        <f aca="false">L129+M129</f>
        <v>17189.0802878999</v>
      </c>
      <c r="O129" s="50" t="n">
        <f aca="false">E129+H129+K129</f>
        <v>4301082.7189875</v>
      </c>
    </row>
    <row r="130" customFormat="false" ht="15" hidden="false" customHeight="false" outlineLevel="0" collapsed="false">
      <c r="A130" s="49" t="n">
        <v>124</v>
      </c>
      <c r="B130" s="49" t="n">
        <f aca="false">ROUNDUP(A130/12,0)</f>
        <v>11</v>
      </c>
      <c r="C130" s="50" t="n">
        <f aca="false">E129*Annahmen!$B$58/12</f>
        <v>3312.40298901329</v>
      </c>
      <c r="D130" s="50" t="n">
        <f aca="false">MIN($C$3-C130,E129)</f>
        <v>1937.59701098672</v>
      </c>
      <c r="E130" s="50" t="n">
        <f aca="false">E129-D130</f>
        <v>1588015.83771539</v>
      </c>
      <c r="F130" s="50" t="n">
        <f aca="false">H129*Annahmen!$B$59/12</f>
        <v>2524.97906187884</v>
      </c>
      <c r="G130" s="50" t="n">
        <f aca="false">MIN($F$3-F130,H129)</f>
        <v>1300.02093812116</v>
      </c>
      <c r="H130" s="50" t="n">
        <f aca="false">H129-G130</f>
        <v>1008691.60381342</v>
      </c>
      <c r="I130" s="50" t="n">
        <f aca="false">K129*Annahmen!$B$60/12</f>
        <v>5670.45886503195</v>
      </c>
      <c r="J130" s="50" t="n">
        <f aca="false">MIN($I$3-I130,K129)</f>
        <v>2443.62142286797</v>
      </c>
      <c r="K130" s="50" t="n">
        <f aca="false">K129-J130</f>
        <v>1698694.03808672</v>
      </c>
      <c r="L130" s="50" t="n">
        <f aca="false">C130+F130+I130</f>
        <v>11507.8409159241</v>
      </c>
      <c r="M130" s="50" t="n">
        <f aca="false">D130+G130+J130</f>
        <v>5681.23937197585</v>
      </c>
      <c r="N130" s="50" t="n">
        <f aca="false">L130+M130</f>
        <v>17189.0802878999</v>
      </c>
      <c r="O130" s="50" t="n">
        <f aca="false">E130+H130+K130</f>
        <v>4295401.47961552</v>
      </c>
    </row>
    <row r="131" customFormat="false" ht="15" hidden="false" customHeight="false" outlineLevel="0" collapsed="false">
      <c r="A131" s="49" t="n">
        <v>125</v>
      </c>
      <c r="B131" s="49" t="n">
        <f aca="false">ROUNDUP(A131/12,0)</f>
        <v>11</v>
      </c>
      <c r="C131" s="50" t="n">
        <f aca="false">E130*Annahmen!$B$58/12</f>
        <v>3308.36632857373</v>
      </c>
      <c r="D131" s="50" t="n">
        <f aca="false">MIN($C$3-C131,E130)</f>
        <v>1941.63367142627</v>
      </c>
      <c r="E131" s="50" t="n">
        <f aca="false">E130-D131</f>
        <v>1586074.20404396</v>
      </c>
      <c r="F131" s="50" t="n">
        <f aca="false">H130*Annahmen!$B$59/12</f>
        <v>2521.72900953354</v>
      </c>
      <c r="G131" s="50" t="n">
        <f aca="false">MIN($F$3-F131,H130)</f>
        <v>1303.27099046646</v>
      </c>
      <c r="H131" s="50" t="n">
        <f aca="false">H130-G131</f>
        <v>1007388.33282295</v>
      </c>
      <c r="I131" s="50" t="n">
        <f aca="false">K130*Annahmen!$B$60/12</f>
        <v>5662.31346028905</v>
      </c>
      <c r="J131" s="50" t="n">
        <f aca="false">MIN($I$3-I131,K130)</f>
        <v>2451.76682761087</v>
      </c>
      <c r="K131" s="50" t="n">
        <f aca="false">K130-J131</f>
        <v>1696242.27125911</v>
      </c>
      <c r="L131" s="50" t="n">
        <f aca="false">C131+F131+I131</f>
        <v>11492.4087983963</v>
      </c>
      <c r="M131" s="50" t="n">
        <f aca="false">D131+G131+J131</f>
        <v>5696.6714895036</v>
      </c>
      <c r="N131" s="50" t="n">
        <f aca="false">L131+M131</f>
        <v>17189.0802878999</v>
      </c>
      <c r="O131" s="50" t="n">
        <f aca="false">E131+H131+K131</f>
        <v>4289704.80812602</v>
      </c>
    </row>
    <row r="132" customFormat="false" ht="15" hidden="false" customHeight="false" outlineLevel="0" collapsed="false">
      <c r="A132" s="49" t="n">
        <v>126</v>
      </c>
      <c r="B132" s="49" t="n">
        <f aca="false">ROUNDUP(A132/12,0)</f>
        <v>11</v>
      </c>
      <c r="C132" s="50" t="n">
        <f aca="false">E131*Annahmen!$B$58/12</f>
        <v>3304.32125842493</v>
      </c>
      <c r="D132" s="50" t="n">
        <f aca="false">MIN($C$3-C132,E131)</f>
        <v>1945.67874157508</v>
      </c>
      <c r="E132" s="50" t="n">
        <f aca="false">E131-D132</f>
        <v>1584128.52530239</v>
      </c>
      <c r="F132" s="50" t="n">
        <f aca="false">H131*Annahmen!$B$59/12</f>
        <v>2518.47083205737</v>
      </c>
      <c r="G132" s="50" t="n">
        <f aca="false">MIN($F$3-F132,H131)</f>
        <v>1306.52916794263</v>
      </c>
      <c r="H132" s="50" t="n">
        <f aca="false">H131-G132</f>
        <v>1006081.80365501</v>
      </c>
      <c r="I132" s="50" t="n">
        <f aca="false">K131*Annahmen!$B$60/12</f>
        <v>5654.14090419702</v>
      </c>
      <c r="J132" s="50" t="n">
        <f aca="false">MIN($I$3-I132,K131)</f>
        <v>2459.9393837029</v>
      </c>
      <c r="K132" s="50" t="n">
        <f aca="false">K131-J132</f>
        <v>1693782.3318754</v>
      </c>
      <c r="L132" s="50" t="n">
        <f aca="false">C132+F132+I132</f>
        <v>11476.9329946793</v>
      </c>
      <c r="M132" s="50" t="n">
        <f aca="false">D132+G132+J132</f>
        <v>5712.14729322061</v>
      </c>
      <c r="N132" s="50" t="n">
        <f aca="false">L132+M132</f>
        <v>17189.0802878999</v>
      </c>
      <c r="O132" s="50" t="n">
        <f aca="false">E132+H132+K132</f>
        <v>4283992.6608328</v>
      </c>
    </row>
    <row r="133" customFormat="false" ht="15" hidden="false" customHeight="false" outlineLevel="0" collapsed="false">
      <c r="A133" s="49" t="n">
        <v>127</v>
      </c>
      <c r="B133" s="49" t="n">
        <f aca="false">ROUNDUP(A133/12,0)</f>
        <v>11</v>
      </c>
      <c r="C133" s="50" t="n">
        <f aca="false">E132*Annahmen!$B$58/12</f>
        <v>3300.26776104665</v>
      </c>
      <c r="D133" s="50" t="n">
        <f aca="false">MIN($C$3-C133,E132)</f>
        <v>1949.73223895336</v>
      </c>
      <c r="E133" s="50" t="n">
        <f aca="false">E132-D133</f>
        <v>1582178.79306344</v>
      </c>
      <c r="F133" s="50" t="n">
        <f aca="false">H132*Annahmen!$B$59/12</f>
        <v>2515.20450913752</v>
      </c>
      <c r="G133" s="50" t="n">
        <f aca="false">MIN($F$3-F133,H132)</f>
        <v>1309.79549086248</v>
      </c>
      <c r="H133" s="50" t="n">
        <f aca="false">H132-G133</f>
        <v>1004772.00816414</v>
      </c>
      <c r="I133" s="50" t="n">
        <f aca="false">K132*Annahmen!$B$60/12</f>
        <v>5645.94110625134</v>
      </c>
      <c r="J133" s="50" t="n">
        <f aca="false">MIN($I$3-I133,K132)</f>
        <v>2468.13918164858</v>
      </c>
      <c r="K133" s="50" t="n">
        <f aca="false">K132-J133</f>
        <v>1691314.19269375</v>
      </c>
      <c r="L133" s="50" t="n">
        <f aca="false">C133+F133+I133</f>
        <v>11461.4133764355</v>
      </c>
      <c r="M133" s="50" t="n">
        <f aca="false">D133+G133+J133</f>
        <v>5727.66691146442</v>
      </c>
      <c r="N133" s="50" t="n">
        <f aca="false">L133+M133</f>
        <v>17189.0802878999</v>
      </c>
      <c r="O133" s="50" t="n">
        <f aca="false">E133+H133+K133</f>
        <v>4278264.99392134</v>
      </c>
    </row>
    <row r="134" customFormat="false" ht="15" hidden="false" customHeight="false" outlineLevel="0" collapsed="false">
      <c r="A134" s="49" t="n">
        <v>128</v>
      </c>
      <c r="B134" s="49" t="n">
        <f aca="false">ROUNDUP(A134/12,0)</f>
        <v>11</v>
      </c>
      <c r="C134" s="50" t="n">
        <f aca="false">E133*Annahmen!$B$58/12</f>
        <v>3296.20581888216</v>
      </c>
      <c r="D134" s="50" t="n">
        <f aca="false">MIN($C$3-C134,E133)</f>
        <v>1953.79418111784</v>
      </c>
      <c r="E134" s="50" t="n">
        <f aca="false">E133-D134</f>
        <v>1580224.99888232</v>
      </c>
      <c r="F134" s="50" t="n">
        <f aca="false">H133*Annahmen!$B$59/12</f>
        <v>2511.93002041036</v>
      </c>
      <c r="G134" s="50" t="n">
        <f aca="false">MIN($F$3-F134,H133)</f>
        <v>1313.06997958964</v>
      </c>
      <c r="H134" s="50" t="n">
        <f aca="false">H133-G134</f>
        <v>1003458.93818455</v>
      </c>
      <c r="I134" s="50" t="n">
        <f aca="false">K133*Annahmen!$B$60/12</f>
        <v>5637.71397564585</v>
      </c>
      <c r="J134" s="50" t="n">
        <f aca="false">MIN($I$3-I134,K133)</f>
        <v>2476.36631225407</v>
      </c>
      <c r="K134" s="50" t="n">
        <f aca="false">K133-J134</f>
        <v>1688837.8263815</v>
      </c>
      <c r="L134" s="50" t="n">
        <f aca="false">C134+F134+I134</f>
        <v>11445.8498149384</v>
      </c>
      <c r="M134" s="50" t="n">
        <f aca="false">D134+G134+J134</f>
        <v>5743.23047296156</v>
      </c>
      <c r="N134" s="50" t="n">
        <f aca="false">L134+M134</f>
        <v>17189.0802878999</v>
      </c>
      <c r="O134" s="50" t="n">
        <f aca="false">E134+H134+K134</f>
        <v>4272521.76344837</v>
      </c>
    </row>
    <row r="135" customFormat="false" ht="15" hidden="false" customHeight="false" outlineLevel="0" collapsed="false">
      <c r="A135" s="49" t="n">
        <v>129</v>
      </c>
      <c r="B135" s="49" t="n">
        <f aca="false">ROUNDUP(A135/12,0)</f>
        <v>11</v>
      </c>
      <c r="C135" s="50" t="n">
        <f aca="false">E134*Annahmen!$B$58/12</f>
        <v>3292.13541433816</v>
      </c>
      <c r="D135" s="50" t="n">
        <f aca="false">MIN($C$3-C135,E134)</f>
        <v>1957.86458566184</v>
      </c>
      <c r="E135" s="50" t="n">
        <f aca="false">E134-D135</f>
        <v>1578267.13429666</v>
      </c>
      <c r="F135" s="50" t="n">
        <f aca="false">H134*Annahmen!$B$59/12</f>
        <v>2508.64734546139</v>
      </c>
      <c r="G135" s="50" t="n">
        <f aca="false">MIN($F$3-F135,H134)</f>
        <v>1316.35265453861</v>
      </c>
      <c r="H135" s="50" t="n">
        <f aca="false">H134-G135</f>
        <v>1002142.58553002</v>
      </c>
      <c r="I135" s="50" t="n">
        <f aca="false">K134*Annahmen!$B$60/12</f>
        <v>5629.45942127167</v>
      </c>
      <c r="J135" s="50" t="n">
        <f aca="false">MIN($I$3-I135,K134)</f>
        <v>2484.62086662825</v>
      </c>
      <c r="K135" s="50" t="n">
        <f aca="false">K134-J135</f>
        <v>1686353.20551487</v>
      </c>
      <c r="L135" s="50" t="n">
        <f aca="false">C135+F135+I135</f>
        <v>11430.2421810712</v>
      </c>
      <c r="M135" s="50" t="n">
        <f aca="false">D135+G135+J135</f>
        <v>5758.83810682871</v>
      </c>
      <c r="N135" s="50" t="n">
        <f aca="false">L135+M135</f>
        <v>17189.0802878999</v>
      </c>
      <c r="O135" s="50" t="n">
        <f aca="false">E135+H135+K135</f>
        <v>4266762.92534155</v>
      </c>
    </row>
    <row r="136" customFormat="false" ht="15" hidden="false" customHeight="false" outlineLevel="0" collapsed="false">
      <c r="A136" s="49" t="n">
        <v>130</v>
      </c>
      <c r="B136" s="49" t="n">
        <f aca="false">ROUNDUP(A136/12,0)</f>
        <v>11</v>
      </c>
      <c r="C136" s="50" t="n">
        <f aca="false">E135*Annahmen!$B$58/12</f>
        <v>3288.0565297847</v>
      </c>
      <c r="D136" s="50" t="n">
        <f aca="false">MIN($C$3-C136,E135)</f>
        <v>1961.9434702153</v>
      </c>
      <c r="E136" s="50" t="n">
        <f aca="false">E135-D136</f>
        <v>1576305.19082644</v>
      </c>
      <c r="F136" s="50" t="n">
        <f aca="false">H135*Annahmen!$B$59/12</f>
        <v>2505.35646382504</v>
      </c>
      <c r="G136" s="50" t="n">
        <f aca="false">MIN($F$3-F136,H135)</f>
        <v>1319.64353617496</v>
      </c>
      <c r="H136" s="50" t="n">
        <f aca="false">H135-G136</f>
        <v>1000822.94199384</v>
      </c>
      <c r="I136" s="50" t="n">
        <f aca="false">K135*Annahmen!$B$60/12</f>
        <v>5621.17735171624</v>
      </c>
      <c r="J136" s="50" t="n">
        <f aca="false">MIN($I$3-I136,K135)</f>
        <v>2492.90293618368</v>
      </c>
      <c r="K136" s="50" t="n">
        <f aca="false">K135-J136</f>
        <v>1683860.30257869</v>
      </c>
      <c r="L136" s="50" t="n">
        <f aca="false">C136+F136+I136</f>
        <v>11414.590345326</v>
      </c>
      <c r="M136" s="50" t="n">
        <f aca="false">D136+G136+J136</f>
        <v>5774.48994257394</v>
      </c>
      <c r="N136" s="50" t="n">
        <f aca="false">L136+M136</f>
        <v>17189.0802878999</v>
      </c>
      <c r="O136" s="50" t="n">
        <f aca="false">E136+H136+K136</f>
        <v>4260988.43539897</v>
      </c>
    </row>
    <row r="137" customFormat="false" ht="15" hidden="false" customHeight="false" outlineLevel="0" collapsed="false">
      <c r="A137" s="49" t="n">
        <v>131</v>
      </c>
      <c r="B137" s="49" t="n">
        <f aca="false">ROUNDUP(A137/12,0)</f>
        <v>11</v>
      </c>
      <c r="C137" s="50" t="n">
        <f aca="false">E136*Annahmen!$B$58/12</f>
        <v>3283.96914755509</v>
      </c>
      <c r="D137" s="50" t="n">
        <f aca="false">MIN($C$3-C137,E136)</f>
        <v>1966.03085244492</v>
      </c>
      <c r="E137" s="50" t="n">
        <f aca="false">E136-D137</f>
        <v>1574339.159974</v>
      </c>
      <c r="F137" s="50" t="n">
        <f aca="false">H136*Annahmen!$B$59/12</f>
        <v>2502.0573549846</v>
      </c>
      <c r="G137" s="50" t="n">
        <f aca="false">MIN($F$3-F137,H136)</f>
        <v>1322.9426450154</v>
      </c>
      <c r="H137" s="50" t="n">
        <f aca="false">H136-G137</f>
        <v>999499.999348826</v>
      </c>
      <c r="I137" s="50" t="n">
        <f aca="false">K136*Annahmen!$B$60/12</f>
        <v>5612.86767526229</v>
      </c>
      <c r="J137" s="50" t="n">
        <f aca="false">MIN($I$3-I137,K136)</f>
        <v>2501.21261263763</v>
      </c>
      <c r="K137" s="50" t="n">
        <f aca="false">K136-J137</f>
        <v>1681359.08996605</v>
      </c>
      <c r="L137" s="50" t="n">
        <f aca="false">C137+F137+I137</f>
        <v>11398.894177802</v>
      </c>
      <c r="M137" s="50" t="n">
        <f aca="false">D137+G137+J137</f>
        <v>5790.18611009794</v>
      </c>
      <c r="N137" s="50" t="n">
        <f aca="false">L137+M137</f>
        <v>17189.0802878999</v>
      </c>
      <c r="O137" s="50" t="n">
        <f aca="false">E137+H137+K137</f>
        <v>4255198.24928887</v>
      </c>
    </row>
    <row r="138" customFormat="false" ht="15" hidden="false" customHeight="false" outlineLevel="0" collapsed="false">
      <c r="A138" s="49" t="n">
        <v>132</v>
      </c>
      <c r="B138" s="49" t="n">
        <f aca="false">ROUNDUP(A138/12,0)</f>
        <v>11</v>
      </c>
      <c r="C138" s="50" t="n">
        <f aca="false">E137*Annahmen!$B$58/12</f>
        <v>3279.87324994583</v>
      </c>
      <c r="D138" s="50" t="n">
        <f aca="false">MIN($C$3-C138,E137)</f>
        <v>1970.12675005418</v>
      </c>
      <c r="E138" s="50" t="n">
        <f aca="false">E137-D138</f>
        <v>1572369.03322394</v>
      </c>
      <c r="F138" s="50" t="n">
        <f aca="false">H137*Annahmen!$B$59/12</f>
        <v>2498.74999837206</v>
      </c>
      <c r="G138" s="50" t="n">
        <f aca="false">MIN($F$3-F138,H137)</f>
        <v>1326.25000162794</v>
      </c>
      <c r="H138" s="50" t="n">
        <f aca="false">H137-G138</f>
        <v>998173.749347198</v>
      </c>
      <c r="I138" s="50" t="n">
        <f aca="false">K137*Annahmen!$B$60/12</f>
        <v>5604.53029988684</v>
      </c>
      <c r="J138" s="50" t="n">
        <f aca="false">MIN($I$3-I138,K137)</f>
        <v>2509.54998801308</v>
      </c>
      <c r="K138" s="50" t="n">
        <f aca="false">K137-J138</f>
        <v>1678849.53997804</v>
      </c>
      <c r="L138" s="50" t="n">
        <f aca="false">C138+F138+I138</f>
        <v>11383.1535482047</v>
      </c>
      <c r="M138" s="50" t="n">
        <f aca="false">D138+G138+J138</f>
        <v>5805.9267396952</v>
      </c>
      <c r="N138" s="50" t="n">
        <f aca="false">L138+M138</f>
        <v>17189.0802878999</v>
      </c>
      <c r="O138" s="50" t="n">
        <f aca="false">E138+H138+K138</f>
        <v>4249392.32254918</v>
      </c>
    </row>
    <row r="139" customFormat="false" ht="15" hidden="false" customHeight="false" outlineLevel="0" collapsed="false">
      <c r="A139" s="49" t="n">
        <v>133</v>
      </c>
      <c r="B139" s="49" t="n">
        <f aca="false">ROUNDUP(A139/12,0)</f>
        <v>12</v>
      </c>
      <c r="C139" s="50" t="n">
        <f aca="false">E138*Annahmen!$B$58/12</f>
        <v>3275.76881921655</v>
      </c>
      <c r="D139" s="50" t="n">
        <f aca="false">MIN($C$3-C139,E138)</f>
        <v>1974.23118078346</v>
      </c>
      <c r="E139" s="50" t="n">
        <f aca="false">E138-D139</f>
        <v>1570394.80204316</v>
      </c>
      <c r="F139" s="50" t="n">
        <f aca="false">H138*Annahmen!$B$59/12</f>
        <v>2495.43437336799</v>
      </c>
      <c r="G139" s="50" t="n">
        <f aca="false">MIN($F$3-F139,H138)</f>
        <v>1329.56562663201</v>
      </c>
      <c r="H139" s="50" t="n">
        <f aca="false">H138-G139</f>
        <v>996844.183720566</v>
      </c>
      <c r="I139" s="50" t="n">
        <f aca="false">K138*Annahmen!$B$60/12</f>
        <v>5596.16513326013</v>
      </c>
      <c r="J139" s="50" t="n">
        <f aca="false">MIN($I$3-I139,K138)</f>
        <v>2517.91515463979</v>
      </c>
      <c r="K139" s="50" t="n">
        <f aca="false">K138-J139</f>
        <v>1676331.6248234</v>
      </c>
      <c r="L139" s="50" t="n">
        <f aca="false">C139+F139+I139</f>
        <v>11367.3683258447</v>
      </c>
      <c r="M139" s="50" t="n">
        <f aca="false">D139+G139+J139</f>
        <v>5821.71196205526</v>
      </c>
      <c r="N139" s="50" t="n">
        <f aca="false">L139+M139</f>
        <v>17189.0802878999</v>
      </c>
      <c r="O139" s="50" t="n">
        <f aca="false">E139+H139+K139</f>
        <v>4243570.61058712</v>
      </c>
    </row>
    <row r="140" customFormat="false" ht="15" hidden="false" customHeight="false" outlineLevel="0" collapsed="false">
      <c r="A140" s="49" t="n">
        <v>134</v>
      </c>
      <c r="B140" s="49" t="n">
        <f aca="false">ROUNDUP(A140/12,0)</f>
        <v>12</v>
      </c>
      <c r="C140" s="50" t="n">
        <f aca="false">E139*Annahmen!$B$58/12</f>
        <v>3271.65583758992</v>
      </c>
      <c r="D140" s="50" t="n">
        <f aca="false">MIN($C$3-C140,E139)</f>
        <v>1978.34416241009</v>
      </c>
      <c r="E140" s="50" t="n">
        <f aca="false">E139-D140</f>
        <v>1568416.45788075</v>
      </c>
      <c r="F140" s="50" t="n">
        <f aca="false">H139*Annahmen!$B$59/12</f>
        <v>2492.11045930141</v>
      </c>
      <c r="G140" s="50" t="n">
        <f aca="false">MIN($F$3-F140,H139)</f>
        <v>1332.88954069859</v>
      </c>
      <c r="H140" s="50" t="n">
        <f aca="false">H139-G140</f>
        <v>995511.294179867</v>
      </c>
      <c r="I140" s="50" t="n">
        <f aca="false">K139*Annahmen!$B$60/12</f>
        <v>5587.77208274466</v>
      </c>
      <c r="J140" s="50" t="n">
        <f aca="false">MIN($I$3-I140,K139)</f>
        <v>2526.30820515526</v>
      </c>
      <c r="K140" s="50" t="n">
        <f aca="false">K139-J140</f>
        <v>1673805.31661824</v>
      </c>
      <c r="L140" s="50" t="n">
        <f aca="false">C140+F140+I140</f>
        <v>11351.538379636</v>
      </c>
      <c r="M140" s="50" t="n">
        <f aca="false">D140+G140+J140</f>
        <v>5837.54190826394</v>
      </c>
      <c r="N140" s="50" t="n">
        <f aca="false">L140+M140</f>
        <v>17189.0802878999</v>
      </c>
      <c r="O140" s="50" t="n">
        <f aca="false">E140+H140+K140</f>
        <v>4237733.06867886</v>
      </c>
    </row>
    <row r="141" customFormat="false" ht="15" hidden="false" customHeight="false" outlineLevel="0" collapsed="false">
      <c r="A141" s="49" t="n">
        <v>135</v>
      </c>
      <c r="B141" s="49" t="n">
        <f aca="false">ROUNDUP(A141/12,0)</f>
        <v>12</v>
      </c>
      <c r="C141" s="50" t="n">
        <f aca="false">E140*Annahmen!$B$58/12</f>
        <v>3267.53428725156</v>
      </c>
      <c r="D141" s="50" t="n">
        <f aca="false">MIN($C$3-C141,E140)</f>
        <v>1982.46571274844</v>
      </c>
      <c r="E141" s="50" t="n">
        <f aca="false">E140-D141</f>
        <v>1566433.992168</v>
      </c>
      <c r="F141" s="50" t="n">
        <f aca="false">H140*Annahmen!$B$59/12</f>
        <v>2488.77823544967</v>
      </c>
      <c r="G141" s="50" t="n">
        <f aca="false">MIN($F$3-F141,H140)</f>
        <v>1336.22176455033</v>
      </c>
      <c r="H141" s="50" t="n">
        <f aca="false">H140-G141</f>
        <v>994175.072415317</v>
      </c>
      <c r="I141" s="50" t="n">
        <f aca="false">K140*Annahmen!$B$60/12</f>
        <v>5579.35105539414</v>
      </c>
      <c r="J141" s="50" t="n">
        <f aca="false">MIN($I$3-I141,K140)</f>
        <v>2534.72923250578</v>
      </c>
      <c r="K141" s="50" t="n">
        <f aca="false">K140-J141</f>
        <v>1671270.58738574</v>
      </c>
      <c r="L141" s="50" t="n">
        <f aca="false">C141+F141+I141</f>
        <v>11335.6635780954</v>
      </c>
      <c r="M141" s="50" t="n">
        <f aca="false">D141+G141+J141</f>
        <v>5853.41670980455</v>
      </c>
      <c r="N141" s="50" t="n">
        <f aca="false">L141+M141</f>
        <v>17189.0802878999</v>
      </c>
      <c r="O141" s="50" t="n">
        <f aca="false">E141+H141+K141</f>
        <v>4231879.65196906</v>
      </c>
    </row>
    <row r="142" customFormat="false" ht="15" hidden="false" customHeight="false" outlineLevel="0" collapsed="false">
      <c r="A142" s="49" t="n">
        <v>136</v>
      </c>
      <c r="B142" s="49" t="n">
        <f aca="false">ROUNDUP(A142/12,0)</f>
        <v>12</v>
      </c>
      <c r="C142" s="50" t="n">
        <f aca="false">E141*Annahmen!$B$58/12</f>
        <v>3263.40415035</v>
      </c>
      <c r="D142" s="50" t="n">
        <f aca="false">MIN($C$3-C142,E141)</f>
        <v>1986.59584965</v>
      </c>
      <c r="E142" s="50" t="n">
        <f aca="false">E141-D142</f>
        <v>1564447.39631835</v>
      </c>
      <c r="F142" s="50" t="n">
        <f aca="false">H141*Annahmen!$B$59/12</f>
        <v>2485.43768103829</v>
      </c>
      <c r="G142" s="50" t="n">
        <f aca="false">MIN($F$3-F142,H141)</f>
        <v>1339.56231896171</v>
      </c>
      <c r="H142" s="50" t="n">
        <f aca="false">H141-G142</f>
        <v>992835.510096355</v>
      </c>
      <c r="I142" s="50" t="n">
        <f aca="false">K141*Annahmen!$B$60/12</f>
        <v>5570.90195795246</v>
      </c>
      <c r="J142" s="50" t="n">
        <f aca="false">MIN($I$3-I142,K141)</f>
        <v>2543.17832994746</v>
      </c>
      <c r="K142" s="50" t="n">
        <f aca="false">K141-J142</f>
        <v>1668727.40905579</v>
      </c>
      <c r="L142" s="50" t="n">
        <f aca="false">C142+F142+I142</f>
        <v>11319.7437893408</v>
      </c>
      <c r="M142" s="50" t="n">
        <f aca="false">D142+G142+J142</f>
        <v>5869.33649855917</v>
      </c>
      <c r="N142" s="50" t="n">
        <f aca="false">L142+M142</f>
        <v>17189.0802878999</v>
      </c>
      <c r="O142" s="50" t="n">
        <f aca="false">E142+H142+K142</f>
        <v>4226010.3154705</v>
      </c>
    </row>
    <row r="143" customFormat="false" ht="15" hidden="false" customHeight="false" outlineLevel="0" collapsed="false">
      <c r="A143" s="49" t="n">
        <v>137</v>
      </c>
      <c r="B143" s="49" t="n">
        <f aca="false">ROUNDUP(A143/12,0)</f>
        <v>12</v>
      </c>
      <c r="C143" s="50" t="n">
        <f aca="false">E142*Annahmen!$B$58/12</f>
        <v>3259.26540899656</v>
      </c>
      <c r="D143" s="50" t="n">
        <f aca="false">MIN($C$3-C143,E142)</f>
        <v>1990.73459100344</v>
      </c>
      <c r="E143" s="50" t="n">
        <f aca="false">E142-D143</f>
        <v>1562456.66172735</v>
      </c>
      <c r="F143" s="50" t="n">
        <f aca="false">H142*Annahmen!$B$59/12</f>
        <v>2482.08877524089</v>
      </c>
      <c r="G143" s="50" t="n">
        <f aca="false">MIN($F$3-F143,H142)</f>
        <v>1342.91122475911</v>
      </c>
      <c r="H143" s="50" t="n">
        <f aca="false">H142-G143</f>
        <v>991492.598871596</v>
      </c>
      <c r="I143" s="50" t="n">
        <f aca="false">K142*Annahmen!$B$60/12</f>
        <v>5562.42469685263</v>
      </c>
      <c r="J143" s="50" t="n">
        <f aca="false">MIN($I$3-I143,K142)</f>
        <v>2551.65559104729</v>
      </c>
      <c r="K143" s="50" t="n">
        <f aca="false">K142-J143</f>
        <v>1666175.75346474</v>
      </c>
      <c r="L143" s="50" t="n">
        <f aca="false">C143+F143+I143</f>
        <v>11303.7788810901</v>
      </c>
      <c r="M143" s="50" t="n">
        <f aca="false">D143+G143+J143</f>
        <v>5885.30140680984</v>
      </c>
      <c r="N143" s="50" t="n">
        <f aca="false">L143+M143</f>
        <v>17189.0802878999</v>
      </c>
      <c r="O143" s="50" t="n">
        <f aca="false">E143+H143+K143</f>
        <v>4220125.01406369</v>
      </c>
    </row>
    <row r="144" customFormat="false" ht="15" hidden="false" customHeight="false" outlineLevel="0" collapsed="false">
      <c r="A144" s="49" t="n">
        <v>138</v>
      </c>
      <c r="B144" s="49" t="n">
        <f aca="false">ROUNDUP(A144/12,0)</f>
        <v>12</v>
      </c>
      <c r="C144" s="50" t="n">
        <f aca="false">E143*Annahmen!$B$58/12</f>
        <v>3255.11804526531</v>
      </c>
      <c r="D144" s="50" t="n">
        <f aca="false">MIN($C$3-C144,E143)</f>
        <v>1994.8819547347</v>
      </c>
      <c r="E144" s="50" t="n">
        <f aca="false">E143-D144</f>
        <v>1560461.77977261</v>
      </c>
      <c r="F144" s="50" t="n">
        <f aca="false">H143*Annahmen!$B$59/12</f>
        <v>2478.73149717899</v>
      </c>
      <c r="G144" s="50" t="n">
        <f aca="false">MIN($F$3-F144,H143)</f>
        <v>1346.26850282101</v>
      </c>
      <c r="H144" s="50" t="n">
        <f aca="false">H143-G144</f>
        <v>990146.330368775</v>
      </c>
      <c r="I144" s="50" t="n">
        <f aca="false">K143*Annahmen!$B$60/12</f>
        <v>5553.91917821581</v>
      </c>
      <c r="J144" s="50" t="n">
        <f aca="false">MIN($I$3-I144,K143)</f>
        <v>2560.16110968411</v>
      </c>
      <c r="K144" s="50" t="n">
        <f aca="false">K143-J144</f>
        <v>1663615.59235506</v>
      </c>
      <c r="L144" s="50" t="n">
        <f aca="false">C144+F144+I144</f>
        <v>11287.7687206601</v>
      </c>
      <c r="M144" s="50" t="n">
        <f aca="false">D144+G144+J144</f>
        <v>5901.31156723982</v>
      </c>
      <c r="N144" s="50" t="n">
        <f aca="false">L144+M144</f>
        <v>17189.0802878999</v>
      </c>
      <c r="O144" s="50" t="n">
        <f aca="false">E144+H144+K144</f>
        <v>4214223.70249645</v>
      </c>
    </row>
    <row r="145" customFormat="false" ht="15" hidden="false" customHeight="false" outlineLevel="0" collapsed="false">
      <c r="A145" s="49" t="n">
        <v>139</v>
      </c>
      <c r="B145" s="49" t="n">
        <f aca="false">ROUNDUP(A145/12,0)</f>
        <v>12</v>
      </c>
      <c r="C145" s="50" t="n">
        <f aca="false">E144*Annahmen!$B$58/12</f>
        <v>3250.96204119294</v>
      </c>
      <c r="D145" s="50" t="n">
        <f aca="false">MIN($C$3-C145,E144)</f>
        <v>1999.03795880706</v>
      </c>
      <c r="E145" s="50" t="n">
        <f aca="false">E144-D145</f>
        <v>1558462.74181381</v>
      </c>
      <c r="F145" s="50" t="n">
        <f aca="false">H144*Annahmen!$B$59/12</f>
        <v>2475.36582592194</v>
      </c>
      <c r="G145" s="50" t="n">
        <f aca="false">MIN($F$3-F145,H144)</f>
        <v>1349.63417407806</v>
      </c>
      <c r="H145" s="50" t="n">
        <f aca="false">H144-G145</f>
        <v>988796.696194697</v>
      </c>
      <c r="I145" s="50" t="n">
        <f aca="false">K144*Annahmen!$B$60/12</f>
        <v>5545.38530785019</v>
      </c>
      <c r="J145" s="50" t="n">
        <f aca="false">MIN($I$3-I145,K144)</f>
        <v>2568.69498004973</v>
      </c>
      <c r="K145" s="50" t="n">
        <f aca="false">K144-J145</f>
        <v>1661046.89737501</v>
      </c>
      <c r="L145" s="50" t="n">
        <f aca="false">C145+F145+I145</f>
        <v>11271.7131749651</v>
      </c>
      <c r="M145" s="50" t="n">
        <f aca="false">D145+G145+J145</f>
        <v>5917.36711293485</v>
      </c>
      <c r="N145" s="50" t="n">
        <f aca="false">L145+M145</f>
        <v>17189.0802878999</v>
      </c>
      <c r="O145" s="50" t="n">
        <f aca="false">E145+H145+K145</f>
        <v>4208306.33538351</v>
      </c>
    </row>
    <row r="146" customFormat="false" ht="15" hidden="false" customHeight="false" outlineLevel="0" collapsed="false">
      <c r="A146" s="49" t="n">
        <v>140</v>
      </c>
      <c r="B146" s="49" t="n">
        <f aca="false">ROUNDUP(A146/12,0)</f>
        <v>12</v>
      </c>
      <c r="C146" s="50" t="n">
        <f aca="false">E145*Annahmen!$B$58/12</f>
        <v>3246.79737877876</v>
      </c>
      <c r="D146" s="50" t="n">
        <f aca="false">MIN($C$3-C146,E145)</f>
        <v>2003.20262122124</v>
      </c>
      <c r="E146" s="50" t="n">
        <f aca="false">E145-D146</f>
        <v>1556459.53919258</v>
      </c>
      <c r="F146" s="50" t="n">
        <f aca="false">H145*Annahmen!$B$59/12</f>
        <v>2471.99174048674</v>
      </c>
      <c r="G146" s="50" t="n">
        <f aca="false">MIN($F$3-F146,H145)</f>
        <v>1353.00825951326</v>
      </c>
      <c r="H146" s="50" t="n">
        <f aca="false">H145-G146</f>
        <v>987443.687935184</v>
      </c>
      <c r="I146" s="50" t="n">
        <f aca="false">K145*Annahmen!$B$60/12</f>
        <v>5536.82299125003</v>
      </c>
      <c r="J146" s="50" t="n">
        <f aca="false">MIN($I$3-I146,K145)</f>
        <v>2577.25729664989</v>
      </c>
      <c r="K146" s="50" t="n">
        <f aca="false">K145-J146</f>
        <v>1658469.64007836</v>
      </c>
      <c r="L146" s="50" t="n">
        <f aca="false">C146+F146+I146</f>
        <v>11255.6121105155</v>
      </c>
      <c r="M146" s="50" t="n">
        <f aca="false">D146+G146+J146</f>
        <v>5933.46817738439</v>
      </c>
      <c r="N146" s="50" t="n">
        <f aca="false">L146+M146</f>
        <v>17189.0802878999</v>
      </c>
      <c r="O146" s="50" t="n">
        <f aca="false">E146+H146+K146</f>
        <v>4202372.86720613</v>
      </c>
    </row>
    <row r="147" customFormat="false" ht="15" hidden="false" customHeight="false" outlineLevel="0" collapsed="false">
      <c r="A147" s="49" t="n">
        <v>141</v>
      </c>
      <c r="B147" s="49" t="n">
        <f aca="false">ROUNDUP(A147/12,0)</f>
        <v>12</v>
      </c>
      <c r="C147" s="50" t="n">
        <f aca="false">E146*Annahmen!$B$58/12</f>
        <v>3242.62403998455</v>
      </c>
      <c r="D147" s="50" t="n">
        <f aca="false">MIN($C$3-C147,E146)</f>
        <v>2007.37596001545</v>
      </c>
      <c r="E147" s="50" t="n">
        <f aca="false">E146-D147</f>
        <v>1554452.16323257</v>
      </c>
      <c r="F147" s="50" t="n">
        <f aca="false">H146*Annahmen!$B$59/12</f>
        <v>2468.60921983796</v>
      </c>
      <c r="G147" s="50" t="n">
        <f aca="false">MIN($F$3-F147,H146)</f>
        <v>1356.39078016204</v>
      </c>
      <c r="H147" s="50" t="n">
        <f aca="false">H146-G147</f>
        <v>986087.297155022</v>
      </c>
      <c r="I147" s="50" t="n">
        <f aca="false">K146*Annahmen!$B$60/12</f>
        <v>5528.23213359453</v>
      </c>
      <c r="J147" s="50" t="n">
        <f aca="false">MIN($I$3-I147,K146)</f>
        <v>2585.84815430539</v>
      </c>
      <c r="K147" s="50" t="n">
        <f aca="false">K146-J147</f>
        <v>1655883.79192405</v>
      </c>
      <c r="L147" s="50" t="n">
        <f aca="false">C147+F147+I147</f>
        <v>11239.465393417</v>
      </c>
      <c r="M147" s="50" t="n">
        <f aca="false">D147+G147+J147</f>
        <v>5949.61489448289</v>
      </c>
      <c r="N147" s="50" t="n">
        <f aca="false">L147+M147</f>
        <v>17189.0802878999</v>
      </c>
      <c r="O147" s="50" t="n">
        <f aca="false">E147+H147+K147</f>
        <v>4196423.25231164</v>
      </c>
    </row>
    <row r="148" customFormat="false" ht="15" hidden="false" customHeight="false" outlineLevel="0" collapsed="false">
      <c r="A148" s="49" t="n">
        <v>142</v>
      </c>
      <c r="B148" s="49" t="n">
        <f aca="false">ROUNDUP(A148/12,0)</f>
        <v>12</v>
      </c>
      <c r="C148" s="50" t="n">
        <f aca="false">E147*Annahmen!$B$58/12</f>
        <v>3238.44200673452</v>
      </c>
      <c r="D148" s="50" t="n">
        <f aca="false">MIN($C$3-C148,E147)</f>
        <v>2011.55799326548</v>
      </c>
      <c r="E148" s="50" t="n">
        <f aca="false">E147-D148</f>
        <v>1552440.6052393</v>
      </c>
      <c r="F148" s="50" t="n">
        <f aca="false">H147*Annahmen!$B$59/12</f>
        <v>2465.21824288755</v>
      </c>
      <c r="G148" s="50" t="n">
        <f aca="false">MIN($F$3-F148,H147)</f>
        <v>1359.78175711245</v>
      </c>
      <c r="H148" s="50" t="n">
        <f aca="false">H147-G148</f>
        <v>984727.515397909</v>
      </c>
      <c r="I148" s="50" t="n">
        <f aca="false">K147*Annahmen!$B$60/12</f>
        <v>5519.61263974684</v>
      </c>
      <c r="J148" s="50" t="n">
        <f aca="false">MIN($I$3-I148,K147)</f>
        <v>2594.46764815308</v>
      </c>
      <c r="K148" s="50" t="n">
        <f aca="false">K147-J148</f>
        <v>1653289.3242759</v>
      </c>
      <c r="L148" s="50" t="n">
        <f aca="false">C148+F148+I148</f>
        <v>11223.2728893689</v>
      </c>
      <c r="M148" s="50" t="n">
        <f aca="false">D148+G148+J148</f>
        <v>5965.80739853101</v>
      </c>
      <c r="N148" s="50" t="n">
        <f aca="false">L148+M148</f>
        <v>17189.0802878999</v>
      </c>
      <c r="O148" s="50" t="n">
        <f aca="false">E148+H148+K148</f>
        <v>4190457.44491311</v>
      </c>
    </row>
    <row r="149" customFormat="false" ht="15" hidden="false" customHeight="false" outlineLevel="0" collapsed="false">
      <c r="A149" s="49" t="n">
        <v>143</v>
      </c>
      <c r="B149" s="49" t="n">
        <f aca="false">ROUNDUP(A149/12,0)</f>
        <v>12</v>
      </c>
      <c r="C149" s="50" t="n">
        <f aca="false">E148*Annahmen!$B$58/12</f>
        <v>3234.25126091522</v>
      </c>
      <c r="D149" s="50" t="n">
        <f aca="false">MIN($C$3-C149,E148)</f>
        <v>2015.74873908479</v>
      </c>
      <c r="E149" s="50" t="n">
        <f aca="false">E148-D149</f>
        <v>1550424.85650022</v>
      </c>
      <c r="F149" s="50" t="n">
        <f aca="false">H148*Annahmen!$B$59/12</f>
        <v>2461.81878849477</v>
      </c>
      <c r="G149" s="50" t="n">
        <f aca="false">MIN($F$3-F149,H148)</f>
        <v>1363.18121150523</v>
      </c>
      <c r="H149" s="50" t="n">
        <f aca="false">H148-G149</f>
        <v>983364.334186404</v>
      </c>
      <c r="I149" s="50" t="n">
        <f aca="false">K148*Annahmen!$B$60/12</f>
        <v>5510.964414253</v>
      </c>
      <c r="J149" s="50" t="n">
        <f aca="false">MIN($I$3-I149,K148)</f>
        <v>2603.11587364692</v>
      </c>
      <c r="K149" s="50" t="n">
        <f aca="false">K148-J149</f>
        <v>1650686.20840225</v>
      </c>
      <c r="L149" s="50" t="n">
        <f aca="false">C149+F149+I149</f>
        <v>11207.034463663</v>
      </c>
      <c r="M149" s="50" t="n">
        <f aca="false">D149+G149+J149</f>
        <v>5982.04582423694</v>
      </c>
      <c r="N149" s="50" t="n">
        <f aca="false">L149+M149</f>
        <v>17189.0802878999</v>
      </c>
      <c r="O149" s="50" t="n">
        <f aca="false">E149+H149+K149</f>
        <v>4184475.39908888</v>
      </c>
    </row>
    <row r="150" customFormat="false" ht="15" hidden="false" customHeight="false" outlineLevel="0" collapsed="false">
      <c r="A150" s="49" t="n">
        <v>144</v>
      </c>
      <c r="B150" s="49" t="n">
        <f aca="false">ROUNDUP(A150/12,0)</f>
        <v>12</v>
      </c>
      <c r="C150" s="50" t="n">
        <f aca="false">E149*Annahmen!$B$58/12</f>
        <v>3230.05178437546</v>
      </c>
      <c r="D150" s="50" t="n">
        <f aca="false">MIN($C$3-C150,E149)</f>
        <v>2019.94821562455</v>
      </c>
      <c r="E150" s="50" t="n">
        <f aca="false">E149-D150</f>
        <v>1548404.90828459</v>
      </c>
      <c r="F150" s="50" t="n">
        <f aca="false">H149*Annahmen!$B$59/12</f>
        <v>2458.41083546601</v>
      </c>
      <c r="G150" s="50" t="n">
        <f aca="false">MIN($F$3-F150,H149)</f>
        <v>1366.58916453399</v>
      </c>
      <c r="H150" s="50" t="n">
        <f aca="false">H149-G150</f>
        <v>981997.74502187</v>
      </c>
      <c r="I150" s="50" t="n">
        <f aca="false">K149*Annahmen!$B$60/12</f>
        <v>5502.28736134084</v>
      </c>
      <c r="J150" s="50" t="n">
        <f aca="false">MIN($I$3-I150,K149)</f>
        <v>2611.79292655908</v>
      </c>
      <c r="K150" s="50" t="n">
        <f aca="false">K149-J150</f>
        <v>1648074.41547569</v>
      </c>
      <c r="L150" s="50" t="n">
        <f aca="false">C150+F150+I150</f>
        <v>11190.7499811823</v>
      </c>
      <c r="M150" s="50" t="n">
        <f aca="false">D150+G150+J150</f>
        <v>5998.33030671762</v>
      </c>
      <c r="N150" s="50" t="n">
        <f aca="false">L150+M150</f>
        <v>17189.0802878999</v>
      </c>
      <c r="O150" s="50" t="n">
        <f aca="false">E150+H150+K150</f>
        <v>4178477.06878216</v>
      </c>
    </row>
    <row r="151" customFormat="false" ht="15" hidden="false" customHeight="false" outlineLevel="0" collapsed="false">
      <c r="A151" s="49" t="n">
        <v>145</v>
      </c>
      <c r="B151" s="49" t="n">
        <f aca="false">ROUNDUP(A151/12,0)</f>
        <v>13</v>
      </c>
      <c r="C151" s="50" t="n">
        <f aca="false">E150*Annahmen!$B$58/12</f>
        <v>3225.84355892624</v>
      </c>
      <c r="D151" s="50" t="n">
        <f aca="false">MIN($C$3-C151,E150)</f>
        <v>2024.15644107377</v>
      </c>
      <c r="E151" s="50" t="n">
        <f aca="false">E150-D151</f>
        <v>1546380.75184352</v>
      </c>
      <c r="F151" s="50" t="n">
        <f aca="false">H150*Annahmen!$B$59/12</f>
        <v>2454.99436255468</v>
      </c>
      <c r="G151" s="50" t="n">
        <f aca="false">MIN($F$3-F151,H150)</f>
        <v>1370.00563744533</v>
      </c>
      <c r="H151" s="50" t="n">
        <f aca="false">H150-G151</f>
        <v>980627.739384425</v>
      </c>
      <c r="I151" s="50" t="n">
        <f aca="false">K150*Annahmen!$B$60/12</f>
        <v>5493.58138491898</v>
      </c>
      <c r="J151" s="50" t="n">
        <f aca="false">MIN($I$3-I151,K150)</f>
        <v>2620.49890298094</v>
      </c>
      <c r="K151" s="50" t="n">
        <f aca="false">K150-J151</f>
        <v>1645453.91657271</v>
      </c>
      <c r="L151" s="50" t="n">
        <f aca="false">C151+F151+I151</f>
        <v>11174.4193063999</v>
      </c>
      <c r="M151" s="50" t="n">
        <f aca="false">D151+G151+J151</f>
        <v>6014.66098150003</v>
      </c>
      <c r="N151" s="50" t="n">
        <f aca="false">L151+M151</f>
        <v>17189.0802878999</v>
      </c>
      <c r="O151" s="50" t="n">
        <f aca="false">E151+H151+K151</f>
        <v>4172462.40780066</v>
      </c>
    </row>
    <row r="152" customFormat="false" ht="15" hidden="false" customHeight="false" outlineLevel="0" collapsed="false">
      <c r="A152" s="49" t="n">
        <v>146</v>
      </c>
      <c r="B152" s="49" t="n">
        <f aca="false">ROUNDUP(A152/12,0)</f>
        <v>13</v>
      </c>
      <c r="C152" s="50" t="n">
        <f aca="false">E151*Annahmen!$B$58/12</f>
        <v>3221.62656634067</v>
      </c>
      <c r="D152" s="50" t="n">
        <f aca="false">MIN($C$3-C152,E151)</f>
        <v>2028.37343365934</v>
      </c>
      <c r="E152" s="50" t="n">
        <f aca="false">E151-D152</f>
        <v>1544352.37840986</v>
      </c>
      <c r="F152" s="50" t="n">
        <f aca="false">H151*Annahmen!$B$59/12</f>
        <v>2451.56934846106</v>
      </c>
      <c r="G152" s="50" t="n">
        <f aca="false">MIN($F$3-F152,H151)</f>
        <v>1373.43065153894</v>
      </c>
      <c r="H152" s="50" t="n">
        <f aca="false">H151-G152</f>
        <v>979254.308732886</v>
      </c>
      <c r="I152" s="50" t="n">
        <f aca="false">K151*Annahmen!$B$60/12</f>
        <v>5484.84638857571</v>
      </c>
      <c r="J152" s="50" t="n">
        <f aca="false">MIN($I$3-I152,K151)</f>
        <v>2629.23389932421</v>
      </c>
      <c r="K152" s="50" t="n">
        <f aca="false">K151-J152</f>
        <v>1642824.68267339</v>
      </c>
      <c r="L152" s="50" t="n">
        <f aca="false">C152+F152+I152</f>
        <v>11158.0423033774</v>
      </c>
      <c r="M152" s="50" t="n">
        <f aca="false">D152+G152+J152</f>
        <v>6031.03798452249</v>
      </c>
      <c r="N152" s="50" t="n">
        <f aca="false">L152+M152</f>
        <v>17189.0802878999</v>
      </c>
      <c r="O152" s="50" t="n">
        <f aca="false">E152+H152+K152</f>
        <v>4166431.36981614</v>
      </c>
    </row>
    <row r="153" customFormat="false" ht="15" hidden="false" customHeight="false" outlineLevel="0" collapsed="false">
      <c r="A153" s="49" t="n">
        <v>147</v>
      </c>
      <c r="B153" s="49" t="n">
        <f aca="false">ROUNDUP(A153/12,0)</f>
        <v>13</v>
      </c>
      <c r="C153" s="50" t="n">
        <f aca="false">E152*Annahmen!$B$58/12</f>
        <v>3217.40078835388</v>
      </c>
      <c r="D153" s="50" t="n">
        <f aca="false">MIN($C$3-C153,E152)</f>
        <v>2032.59921164613</v>
      </c>
      <c r="E153" s="50" t="n">
        <f aca="false">E152-D153</f>
        <v>1542319.77919821</v>
      </c>
      <c r="F153" s="50" t="n">
        <f aca="false">H152*Annahmen!$B$59/12</f>
        <v>2448.13577183221</v>
      </c>
      <c r="G153" s="50" t="n">
        <f aca="false">MIN($F$3-F153,H152)</f>
        <v>1376.86422816779</v>
      </c>
      <c r="H153" s="50" t="n">
        <f aca="false">H152-G153</f>
        <v>977877.444504718</v>
      </c>
      <c r="I153" s="50" t="n">
        <f aca="false">K152*Annahmen!$B$60/12</f>
        <v>5476.08227557796</v>
      </c>
      <c r="J153" s="50" t="n">
        <f aca="false">MIN($I$3-I153,K152)</f>
        <v>2637.99801232196</v>
      </c>
      <c r="K153" s="50" t="n">
        <f aca="false">K152-J153</f>
        <v>1640186.68466107</v>
      </c>
      <c r="L153" s="50" t="n">
        <f aca="false">C153+F153+I153</f>
        <v>11141.6188357641</v>
      </c>
      <c r="M153" s="50" t="n">
        <f aca="false">D153+G153+J153</f>
        <v>6047.46145213587</v>
      </c>
      <c r="N153" s="50" t="n">
        <f aca="false">L153+M153</f>
        <v>17189.0802878999</v>
      </c>
      <c r="O153" s="50" t="n">
        <f aca="false">E153+H153+K153</f>
        <v>4160383.908364</v>
      </c>
    </row>
    <row r="154" customFormat="false" ht="15" hidden="false" customHeight="false" outlineLevel="0" collapsed="false">
      <c r="A154" s="49" t="n">
        <v>148</v>
      </c>
      <c r="B154" s="49" t="n">
        <f aca="false">ROUNDUP(A154/12,0)</f>
        <v>13</v>
      </c>
      <c r="C154" s="50" t="n">
        <f aca="false">E153*Annahmen!$B$58/12</f>
        <v>3213.16620666295</v>
      </c>
      <c r="D154" s="50" t="n">
        <f aca="false">MIN($C$3-C154,E153)</f>
        <v>2036.83379333706</v>
      </c>
      <c r="E154" s="50" t="n">
        <f aca="false">E153-D154</f>
        <v>1540282.94540488</v>
      </c>
      <c r="F154" s="50" t="n">
        <f aca="false">H153*Annahmen!$B$59/12</f>
        <v>2444.69361126179</v>
      </c>
      <c r="G154" s="50" t="n">
        <f aca="false">MIN($F$3-F154,H153)</f>
        <v>1380.30638873821</v>
      </c>
      <c r="H154" s="50" t="n">
        <f aca="false">H153-G154</f>
        <v>976497.13811598</v>
      </c>
      <c r="I154" s="50" t="n">
        <f aca="false">K153*Annahmen!$B$60/12</f>
        <v>5467.28894887022</v>
      </c>
      <c r="J154" s="50" t="n">
        <f aca="false">MIN($I$3-I154,K153)</f>
        <v>2646.7913390297</v>
      </c>
      <c r="K154" s="50" t="n">
        <f aca="false">K153-J154</f>
        <v>1637539.89332204</v>
      </c>
      <c r="L154" s="50" t="n">
        <f aca="false">C154+F154+I154</f>
        <v>11125.148766795</v>
      </c>
      <c r="M154" s="50" t="n">
        <f aca="false">D154+G154+J154</f>
        <v>6063.93152110496</v>
      </c>
      <c r="N154" s="50" t="n">
        <f aca="false">L154+M154</f>
        <v>17189.0802878999</v>
      </c>
      <c r="O154" s="50" t="n">
        <f aca="false">E154+H154+K154</f>
        <v>4154319.97684289</v>
      </c>
    </row>
    <row r="155" customFormat="false" ht="15" hidden="false" customHeight="false" outlineLevel="0" collapsed="false">
      <c r="A155" s="49" t="n">
        <v>149</v>
      </c>
      <c r="B155" s="49" t="n">
        <f aca="false">ROUNDUP(A155/12,0)</f>
        <v>13</v>
      </c>
      <c r="C155" s="50" t="n">
        <f aca="false">E154*Annahmen!$B$58/12</f>
        <v>3208.92280292683</v>
      </c>
      <c r="D155" s="50" t="n">
        <f aca="false">MIN($C$3-C155,E154)</f>
        <v>2041.07719707317</v>
      </c>
      <c r="E155" s="50" t="n">
        <f aca="false">E154-D155</f>
        <v>1538241.8682078</v>
      </c>
      <c r="F155" s="50" t="n">
        <f aca="false">H154*Annahmen!$B$59/12</f>
        <v>2441.24284528995</v>
      </c>
      <c r="G155" s="50" t="n">
        <f aca="false">MIN($F$3-F155,H154)</f>
        <v>1383.75715471005</v>
      </c>
      <c r="H155" s="50" t="n">
        <f aca="false">H154-G155</f>
        <v>975113.38096127</v>
      </c>
      <c r="I155" s="50" t="n">
        <f aca="false">K154*Annahmen!$B$60/12</f>
        <v>5458.46631107346</v>
      </c>
      <c r="J155" s="50" t="n">
        <f aca="false">MIN($I$3-I155,K154)</f>
        <v>2655.61397682646</v>
      </c>
      <c r="K155" s="50" t="n">
        <f aca="false">K154-J155</f>
        <v>1634884.27934521</v>
      </c>
      <c r="L155" s="50" t="n">
        <f aca="false">C155+F155+I155</f>
        <v>11108.6319592902</v>
      </c>
      <c r="M155" s="50" t="n">
        <f aca="false">D155+G155+J155</f>
        <v>6080.44832860969</v>
      </c>
      <c r="N155" s="50" t="n">
        <f aca="false">L155+M155</f>
        <v>17189.0802878999</v>
      </c>
      <c r="O155" s="50" t="n">
        <f aca="false">E155+H155+K155</f>
        <v>4148239.52851428</v>
      </c>
    </row>
    <row r="156" customFormat="false" ht="15" hidden="false" customHeight="false" outlineLevel="0" collapsed="false">
      <c r="A156" s="49" t="n">
        <v>150</v>
      </c>
      <c r="B156" s="49" t="n">
        <f aca="false">ROUNDUP(A156/12,0)</f>
        <v>13</v>
      </c>
      <c r="C156" s="50" t="n">
        <f aca="false">E155*Annahmen!$B$58/12</f>
        <v>3204.67055876626</v>
      </c>
      <c r="D156" s="50" t="n">
        <f aca="false">MIN($C$3-C156,E155)</f>
        <v>2045.32944123374</v>
      </c>
      <c r="E156" s="50" t="n">
        <f aca="false">E155-D156</f>
        <v>1536196.53876657</v>
      </c>
      <c r="F156" s="50" t="n">
        <f aca="false">H155*Annahmen!$B$59/12</f>
        <v>2437.78345240317</v>
      </c>
      <c r="G156" s="50" t="n">
        <f aca="false">MIN($F$3-F156,H155)</f>
        <v>1387.21654759683</v>
      </c>
      <c r="H156" s="50" t="n">
        <f aca="false">H155-G156</f>
        <v>973726.164413673</v>
      </c>
      <c r="I156" s="50" t="n">
        <f aca="false">K155*Annahmen!$B$60/12</f>
        <v>5449.61426448404</v>
      </c>
      <c r="J156" s="50" t="n">
        <f aca="false">MIN($I$3-I156,K155)</f>
        <v>2664.46602341588</v>
      </c>
      <c r="K156" s="50" t="n">
        <f aca="false">K155-J156</f>
        <v>1632219.81332179</v>
      </c>
      <c r="L156" s="50" t="n">
        <f aca="false">C156+F156+I156</f>
        <v>11092.0682756535</v>
      </c>
      <c r="M156" s="50" t="n">
        <f aca="false">D156+G156+J156</f>
        <v>6097.01201224645</v>
      </c>
      <c r="N156" s="50" t="n">
        <f aca="false">L156+M156</f>
        <v>17189.0802878999</v>
      </c>
      <c r="O156" s="50" t="n">
        <f aca="false">E156+H156+K156</f>
        <v>4142142.51650204</v>
      </c>
    </row>
    <row r="157" customFormat="false" ht="15" hidden="false" customHeight="false" outlineLevel="0" collapsed="false">
      <c r="A157" s="49" t="n">
        <v>151</v>
      </c>
      <c r="B157" s="49" t="n">
        <f aca="false">ROUNDUP(A157/12,0)</f>
        <v>13</v>
      </c>
      <c r="C157" s="50" t="n">
        <f aca="false">E156*Annahmen!$B$58/12</f>
        <v>3200.40945576369</v>
      </c>
      <c r="D157" s="50" t="n">
        <f aca="false">MIN($C$3-C157,E156)</f>
        <v>2049.59054423631</v>
      </c>
      <c r="E157" s="50" t="n">
        <f aca="false">E156-D157</f>
        <v>1534146.94822233</v>
      </c>
      <c r="F157" s="50" t="n">
        <f aca="false">H156*Annahmen!$B$59/12</f>
        <v>2434.31541103418</v>
      </c>
      <c r="G157" s="50" t="n">
        <f aca="false">MIN($F$3-F157,H156)</f>
        <v>1390.68458896582</v>
      </c>
      <c r="H157" s="50" t="n">
        <f aca="false">H156-G157</f>
        <v>972335.479824707</v>
      </c>
      <c r="I157" s="50" t="n">
        <f aca="false">K156*Annahmen!$B$60/12</f>
        <v>5440.73271107265</v>
      </c>
      <c r="J157" s="50" t="n">
        <f aca="false">MIN($I$3-I157,K156)</f>
        <v>2673.34757682727</v>
      </c>
      <c r="K157" s="50" t="n">
        <f aca="false">K156-J157</f>
        <v>1629546.46574497</v>
      </c>
      <c r="L157" s="50" t="n">
        <f aca="false">C157+F157+I157</f>
        <v>11075.4575778705</v>
      </c>
      <c r="M157" s="50" t="n">
        <f aca="false">D157+G157+J157</f>
        <v>6113.6227100294</v>
      </c>
      <c r="N157" s="50" t="n">
        <f aca="false">L157+M157</f>
        <v>17189.0802878999</v>
      </c>
      <c r="O157" s="50" t="n">
        <f aca="false">E157+H157+K157</f>
        <v>4136028.89379201</v>
      </c>
    </row>
    <row r="158" customFormat="false" ht="15" hidden="false" customHeight="false" outlineLevel="0" collapsed="false">
      <c r="A158" s="49" t="n">
        <v>152</v>
      </c>
      <c r="B158" s="49" t="n">
        <f aca="false">ROUNDUP(A158/12,0)</f>
        <v>13</v>
      </c>
      <c r="C158" s="50" t="n">
        <f aca="false">E157*Annahmen!$B$58/12</f>
        <v>3196.1394754632</v>
      </c>
      <c r="D158" s="50" t="n">
        <f aca="false">MIN($C$3-C158,E157)</f>
        <v>2053.86052453681</v>
      </c>
      <c r="E158" s="50" t="n">
        <f aca="false">E157-D158</f>
        <v>1532093.0876978</v>
      </c>
      <c r="F158" s="50" t="n">
        <f aca="false">H157*Annahmen!$B$59/12</f>
        <v>2430.83869956177</v>
      </c>
      <c r="G158" s="50" t="n">
        <f aca="false">MIN($F$3-F158,H157)</f>
        <v>1394.16130043823</v>
      </c>
      <c r="H158" s="50" t="n">
        <f aca="false">H157-G158</f>
        <v>970941.318524269</v>
      </c>
      <c r="I158" s="50" t="n">
        <f aca="false">K157*Annahmen!$B$60/12</f>
        <v>5431.82155248323</v>
      </c>
      <c r="J158" s="50" t="n">
        <f aca="false">MIN($I$3-I158,K157)</f>
        <v>2682.25873541669</v>
      </c>
      <c r="K158" s="50" t="n">
        <f aca="false">K157-J158</f>
        <v>1626864.20700955</v>
      </c>
      <c r="L158" s="50" t="n">
        <f aca="false">C158+F158+I158</f>
        <v>11058.7997275082</v>
      </c>
      <c r="M158" s="50" t="n">
        <f aca="false">D158+G158+J158</f>
        <v>6130.28056039173</v>
      </c>
      <c r="N158" s="50" t="n">
        <f aca="false">L158+M158</f>
        <v>17189.0802878999</v>
      </c>
      <c r="O158" s="50" t="n">
        <f aca="false">E158+H158+K158</f>
        <v>4129898.61323162</v>
      </c>
    </row>
    <row r="159" customFormat="false" ht="15" hidden="false" customHeight="false" outlineLevel="0" collapsed="false">
      <c r="A159" s="49" t="n">
        <v>153</v>
      </c>
      <c r="B159" s="49" t="n">
        <f aca="false">ROUNDUP(A159/12,0)</f>
        <v>13</v>
      </c>
      <c r="C159" s="50" t="n">
        <f aca="false">E158*Annahmen!$B$58/12</f>
        <v>3191.86059937041</v>
      </c>
      <c r="D159" s="50" t="n">
        <f aca="false">MIN($C$3-C159,E158)</f>
        <v>2058.13940062959</v>
      </c>
      <c r="E159" s="50" t="n">
        <f aca="false">E158-D159</f>
        <v>1530034.94829717</v>
      </c>
      <c r="F159" s="50" t="n">
        <f aca="false">H158*Annahmen!$B$59/12</f>
        <v>2427.35329631067</v>
      </c>
      <c r="G159" s="50" t="n">
        <f aca="false">MIN($F$3-F159,H158)</f>
        <v>1397.64670368933</v>
      </c>
      <c r="H159" s="50" t="n">
        <f aca="false">H158-G159</f>
        <v>969543.671820579</v>
      </c>
      <c r="I159" s="50" t="n">
        <f aca="false">K158*Annahmen!$B$60/12</f>
        <v>5422.88069003184</v>
      </c>
      <c r="J159" s="50" t="n">
        <f aca="false">MIN($I$3-I159,K158)</f>
        <v>2691.19959786808</v>
      </c>
      <c r="K159" s="50" t="n">
        <f aca="false">K158-J159</f>
        <v>1624173.00741168</v>
      </c>
      <c r="L159" s="50" t="n">
        <f aca="false">C159+F159+I159</f>
        <v>11042.0945857129</v>
      </c>
      <c r="M159" s="50" t="n">
        <f aca="false">D159+G159+J159</f>
        <v>6146.985702187</v>
      </c>
      <c r="N159" s="50" t="n">
        <f aca="false">L159+M159</f>
        <v>17189.0802878999</v>
      </c>
      <c r="O159" s="50" t="n">
        <f aca="false">E159+H159+K159</f>
        <v>4123751.62752943</v>
      </c>
    </row>
    <row r="160" customFormat="false" ht="15" hidden="false" customHeight="false" outlineLevel="0" collapsed="false">
      <c r="A160" s="49" t="n">
        <v>154</v>
      </c>
      <c r="B160" s="49" t="n">
        <f aca="false">ROUNDUP(A160/12,0)</f>
        <v>13</v>
      </c>
      <c r="C160" s="50" t="n">
        <f aca="false">E159*Annahmen!$B$58/12</f>
        <v>3187.57280895243</v>
      </c>
      <c r="D160" s="50" t="n">
        <f aca="false">MIN($C$3-C160,E159)</f>
        <v>2062.42719104757</v>
      </c>
      <c r="E160" s="50" t="n">
        <f aca="false">E159-D160</f>
        <v>1527972.52110612</v>
      </c>
      <c r="F160" s="50" t="n">
        <f aca="false">H159*Annahmen!$B$59/12</f>
        <v>2423.85917955145</v>
      </c>
      <c r="G160" s="50" t="n">
        <f aca="false">MIN($F$3-F160,H159)</f>
        <v>1401.14082044855</v>
      </c>
      <c r="H160" s="50" t="n">
        <f aca="false">H159-G160</f>
        <v>968142.531000131</v>
      </c>
      <c r="I160" s="50" t="n">
        <f aca="false">K159*Annahmen!$B$60/12</f>
        <v>5413.91002470561</v>
      </c>
      <c r="J160" s="50" t="n">
        <f aca="false">MIN($I$3-I160,K159)</f>
        <v>2700.17026319431</v>
      </c>
      <c r="K160" s="50" t="n">
        <f aca="false">K159-J160</f>
        <v>1621472.83714849</v>
      </c>
      <c r="L160" s="50" t="n">
        <f aca="false">C160+F160+I160</f>
        <v>11025.3420132095</v>
      </c>
      <c r="M160" s="50" t="n">
        <f aca="false">D160+G160+J160</f>
        <v>6163.73827469043</v>
      </c>
      <c r="N160" s="50" t="n">
        <f aca="false">L160+M160</f>
        <v>17189.0802878999</v>
      </c>
      <c r="O160" s="50" t="n">
        <f aca="false">E160+H160+K160</f>
        <v>4117587.88925474</v>
      </c>
    </row>
    <row r="161" customFormat="false" ht="15" hidden="false" customHeight="false" outlineLevel="0" collapsed="false">
      <c r="A161" s="49" t="n">
        <v>155</v>
      </c>
      <c r="B161" s="49" t="n">
        <f aca="false">ROUNDUP(A161/12,0)</f>
        <v>13</v>
      </c>
      <c r="C161" s="50" t="n">
        <f aca="false">E160*Annahmen!$B$58/12</f>
        <v>3183.27608563775</v>
      </c>
      <c r="D161" s="50" t="n">
        <f aca="false">MIN($C$3-C161,E160)</f>
        <v>2066.72391436225</v>
      </c>
      <c r="E161" s="50" t="n">
        <f aca="false">E160-D161</f>
        <v>1525905.79719176</v>
      </c>
      <c r="F161" s="50" t="n">
        <f aca="false">H160*Annahmen!$B$59/12</f>
        <v>2420.35632750033</v>
      </c>
      <c r="G161" s="50" t="n">
        <f aca="false">MIN($F$3-F161,H160)</f>
        <v>1404.64367249967</v>
      </c>
      <c r="H161" s="50" t="n">
        <f aca="false">H160-G161</f>
        <v>966737.887327631</v>
      </c>
      <c r="I161" s="50" t="n">
        <f aca="false">K160*Annahmen!$B$60/12</f>
        <v>5404.90945716163</v>
      </c>
      <c r="J161" s="50" t="n">
        <f aca="false">MIN($I$3-I161,K160)</f>
        <v>2709.17083073829</v>
      </c>
      <c r="K161" s="50" t="n">
        <f aca="false">K160-J161</f>
        <v>1618763.66631775</v>
      </c>
      <c r="L161" s="50" t="n">
        <f aca="false">C161+F161+I161</f>
        <v>11008.5418702997</v>
      </c>
      <c r="M161" s="50" t="n">
        <f aca="false">D161+G161+J161</f>
        <v>6180.53841760022</v>
      </c>
      <c r="N161" s="50" t="n">
        <f aca="false">L161+M161</f>
        <v>17189.0802878999</v>
      </c>
      <c r="O161" s="50" t="n">
        <f aca="false">E161+H161+K161</f>
        <v>4111407.35083714</v>
      </c>
    </row>
    <row r="162" customFormat="false" ht="15" hidden="false" customHeight="false" outlineLevel="0" collapsed="false">
      <c r="A162" s="49" t="n">
        <v>156</v>
      </c>
      <c r="B162" s="49" t="n">
        <f aca="false">ROUNDUP(A162/12,0)</f>
        <v>13</v>
      </c>
      <c r="C162" s="50" t="n">
        <f aca="false">E161*Annahmen!$B$58/12</f>
        <v>3178.97041081616</v>
      </c>
      <c r="D162" s="50" t="n">
        <f aca="false">MIN($C$3-C162,E161)</f>
        <v>2071.02958918384</v>
      </c>
      <c r="E162" s="50" t="n">
        <f aca="false">E161-D162</f>
        <v>1523834.76760257</v>
      </c>
      <c r="F162" s="50" t="n">
        <f aca="false">H161*Annahmen!$B$59/12</f>
        <v>2416.84471831908</v>
      </c>
      <c r="G162" s="50" t="n">
        <f aca="false">MIN($F$3-F162,H161)</f>
        <v>1408.15528168092</v>
      </c>
      <c r="H162" s="50" t="n">
        <f aca="false">H161-G162</f>
        <v>965329.73204595</v>
      </c>
      <c r="I162" s="50" t="n">
        <f aca="false">K161*Annahmen!$B$60/12</f>
        <v>5395.87888772584</v>
      </c>
      <c r="J162" s="50" t="n">
        <f aca="false">MIN($I$3-I162,K161)</f>
        <v>2718.20140017408</v>
      </c>
      <c r="K162" s="50" t="n">
        <f aca="false">K161-J162</f>
        <v>1616045.46491758</v>
      </c>
      <c r="L162" s="50" t="n">
        <f aca="false">C162+F162+I162</f>
        <v>10991.6940168611</v>
      </c>
      <c r="M162" s="50" t="n">
        <f aca="false">D162+G162+J162</f>
        <v>6197.38627103885</v>
      </c>
      <c r="N162" s="50" t="n">
        <f aca="false">L162+M162</f>
        <v>17189.0802878999</v>
      </c>
      <c r="O162" s="50" t="n">
        <f aca="false">E162+H162+K162</f>
        <v>4105209.9645661</v>
      </c>
    </row>
    <row r="163" customFormat="false" ht="15" hidden="false" customHeight="false" outlineLevel="0" collapsed="false">
      <c r="A163" s="49" t="n">
        <v>157</v>
      </c>
      <c r="B163" s="49" t="n">
        <f aca="false">ROUNDUP(A163/12,0)</f>
        <v>14</v>
      </c>
      <c r="C163" s="50" t="n">
        <f aca="false">E162*Annahmen!$B$58/12</f>
        <v>3174.6557658387</v>
      </c>
      <c r="D163" s="50" t="n">
        <f aca="false">MIN($C$3-C163,E162)</f>
        <v>2075.34423416131</v>
      </c>
      <c r="E163" s="50" t="n">
        <f aca="false">E162-D163</f>
        <v>1521759.42336841</v>
      </c>
      <c r="F163" s="50" t="n">
        <f aca="false">H162*Annahmen!$B$59/12</f>
        <v>2413.32433011488</v>
      </c>
      <c r="G163" s="50" t="n">
        <f aca="false">MIN($F$3-F163,H162)</f>
        <v>1411.67566988513</v>
      </c>
      <c r="H163" s="50" t="n">
        <f aca="false">H162-G163</f>
        <v>963918.056376065</v>
      </c>
      <c r="I163" s="50" t="n">
        <f aca="false">K162*Annahmen!$B$60/12</f>
        <v>5386.81821639192</v>
      </c>
      <c r="J163" s="50" t="n">
        <f aca="false">MIN($I$3-I163,K162)</f>
        <v>2727.262071508</v>
      </c>
      <c r="K163" s="50" t="n">
        <f aca="false">K162-J163</f>
        <v>1613318.20284607</v>
      </c>
      <c r="L163" s="50" t="n">
        <f aca="false">C163+F163+I163</f>
        <v>10974.7983123455</v>
      </c>
      <c r="M163" s="50" t="n">
        <f aca="false">D163+G163+J163</f>
        <v>6214.28197555443</v>
      </c>
      <c r="N163" s="50" t="n">
        <f aca="false">L163+M163</f>
        <v>17189.0802878999</v>
      </c>
      <c r="O163" s="50" t="n">
        <f aca="false">E163+H163+K163</f>
        <v>4098995.68259055</v>
      </c>
    </row>
    <row r="164" customFormat="false" ht="15" hidden="false" customHeight="false" outlineLevel="0" collapsed="false">
      <c r="A164" s="49" t="n">
        <v>158</v>
      </c>
      <c r="B164" s="49" t="n">
        <f aca="false">ROUNDUP(A164/12,0)</f>
        <v>14</v>
      </c>
      <c r="C164" s="50" t="n">
        <f aca="false">E163*Annahmen!$B$58/12</f>
        <v>3170.33213201753</v>
      </c>
      <c r="D164" s="50" t="n">
        <f aca="false">MIN($C$3-C164,E163)</f>
        <v>2079.66786798248</v>
      </c>
      <c r="E164" s="50" t="n">
        <f aca="false">E163-D164</f>
        <v>1519679.75550043</v>
      </c>
      <c r="F164" s="50" t="n">
        <f aca="false">H163*Annahmen!$B$59/12</f>
        <v>2409.79514094016</v>
      </c>
      <c r="G164" s="50" t="n">
        <f aca="false">MIN($F$3-F164,H163)</f>
        <v>1415.20485905984</v>
      </c>
      <c r="H164" s="50" t="n">
        <f aca="false">H163-G164</f>
        <v>962502.851517005</v>
      </c>
      <c r="I164" s="50" t="n">
        <f aca="false">K163*Annahmen!$B$60/12</f>
        <v>5377.72734282023</v>
      </c>
      <c r="J164" s="50" t="n">
        <f aca="false">MIN($I$3-I164,K163)</f>
        <v>2736.35294507969</v>
      </c>
      <c r="K164" s="50" t="n">
        <f aca="false">K163-J164</f>
        <v>1610581.84990099</v>
      </c>
      <c r="L164" s="50" t="n">
        <f aca="false">C164+F164+I164</f>
        <v>10957.8546157779</v>
      </c>
      <c r="M164" s="50" t="n">
        <f aca="false">D164+G164+J164</f>
        <v>6231.22567212201</v>
      </c>
      <c r="N164" s="50" t="n">
        <f aca="false">L164+M164</f>
        <v>17189.0802878999</v>
      </c>
      <c r="O164" s="50" t="n">
        <f aca="false">E164+H164+K164</f>
        <v>4092764.45691842</v>
      </c>
    </row>
    <row r="165" customFormat="false" ht="15" hidden="false" customHeight="false" outlineLevel="0" collapsed="false">
      <c r="A165" s="49" t="n">
        <v>159</v>
      </c>
      <c r="B165" s="49" t="n">
        <f aca="false">ROUNDUP(A165/12,0)</f>
        <v>14</v>
      </c>
      <c r="C165" s="50" t="n">
        <f aca="false">E164*Annahmen!$B$58/12</f>
        <v>3165.9994906259</v>
      </c>
      <c r="D165" s="50" t="n">
        <f aca="false">MIN($C$3-C165,E164)</f>
        <v>2084.00050937411</v>
      </c>
      <c r="E165" s="50" t="n">
        <f aca="false">E164-D165</f>
        <v>1517595.75499106</v>
      </c>
      <c r="F165" s="50" t="n">
        <f aca="false">H164*Annahmen!$B$59/12</f>
        <v>2406.25712879251</v>
      </c>
      <c r="G165" s="50" t="n">
        <f aca="false">MIN($F$3-F165,H164)</f>
        <v>1418.74287120749</v>
      </c>
      <c r="H165" s="50" t="n">
        <f aca="false">H164-G165</f>
        <v>961084.108645798</v>
      </c>
      <c r="I165" s="50" t="n">
        <f aca="false">K164*Annahmen!$B$60/12</f>
        <v>5368.60616633663</v>
      </c>
      <c r="J165" s="50" t="n">
        <f aca="false">MIN($I$3-I165,K164)</f>
        <v>2745.47412156329</v>
      </c>
      <c r="K165" s="50" t="n">
        <f aca="false">K164-J165</f>
        <v>1607836.37577943</v>
      </c>
      <c r="L165" s="50" t="n">
        <f aca="false">C165+F165+I165</f>
        <v>10940.862785755</v>
      </c>
      <c r="M165" s="50" t="n">
        <f aca="false">D165+G165+J165</f>
        <v>6248.21750214489</v>
      </c>
      <c r="N165" s="50" t="n">
        <f aca="false">L165+M165</f>
        <v>17189.0802878999</v>
      </c>
      <c r="O165" s="50" t="n">
        <f aca="false">E165+H165+K165</f>
        <v>4086516.23941628</v>
      </c>
    </row>
    <row r="166" customFormat="false" ht="15" hidden="false" customHeight="false" outlineLevel="0" collapsed="false">
      <c r="A166" s="49" t="n">
        <v>160</v>
      </c>
      <c r="B166" s="49" t="n">
        <f aca="false">ROUNDUP(A166/12,0)</f>
        <v>14</v>
      </c>
      <c r="C166" s="50" t="n">
        <f aca="false">E165*Annahmen!$B$58/12</f>
        <v>3161.65782289803</v>
      </c>
      <c r="D166" s="50" t="n">
        <f aca="false">MIN($C$3-C166,E165)</f>
        <v>2088.34217710197</v>
      </c>
      <c r="E166" s="50" t="n">
        <f aca="false">E165-D166</f>
        <v>1515507.41281395</v>
      </c>
      <c r="F166" s="50" t="n">
        <f aca="false">H165*Annahmen!$B$59/12</f>
        <v>2402.71027161449</v>
      </c>
      <c r="G166" s="50" t="n">
        <f aca="false">MIN($F$3-F166,H165)</f>
        <v>1422.28972838551</v>
      </c>
      <c r="H166" s="50" t="n">
        <f aca="false">H165-G166</f>
        <v>959661.818917412</v>
      </c>
      <c r="I166" s="50" t="n">
        <f aca="false">K165*Annahmen!$B$60/12</f>
        <v>5359.45458593142</v>
      </c>
      <c r="J166" s="50" t="n">
        <f aca="false">MIN($I$3-I166,K165)</f>
        <v>2754.6257019685</v>
      </c>
      <c r="K166" s="50" t="n">
        <f aca="false">K165-J166</f>
        <v>1605081.75007746</v>
      </c>
      <c r="L166" s="50" t="n">
        <f aca="false">C166+F166+I166</f>
        <v>10923.8226804439</v>
      </c>
      <c r="M166" s="50" t="n">
        <f aca="false">D166+G166+J166</f>
        <v>6265.25760745598</v>
      </c>
      <c r="N166" s="50" t="n">
        <f aca="false">L166+M166</f>
        <v>17189.0802878999</v>
      </c>
      <c r="O166" s="50" t="n">
        <f aca="false">E166+H166+K166</f>
        <v>4080250.98180882</v>
      </c>
    </row>
    <row r="167" customFormat="false" ht="15" hidden="false" customHeight="false" outlineLevel="0" collapsed="false">
      <c r="A167" s="49" t="n">
        <v>161</v>
      </c>
      <c r="B167" s="49" t="n">
        <f aca="false">ROUNDUP(A167/12,0)</f>
        <v>14</v>
      </c>
      <c r="C167" s="50" t="n">
        <f aca="false">E166*Annahmen!$B$58/12</f>
        <v>3157.30711002907</v>
      </c>
      <c r="D167" s="50" t="n">
        <f aca="false">MIN($C$3-C167,E166)</f>
        <v>2092.69288997093</v>
      </c>
      <c r="E167" s="50" t="n">
        <f aca="false">E166-D167</f>
        <v>1513414.71992398</v>
      </c>
      <c r="F167" s="50" t="n">
        <f aca="false">H166*Annahmen!$B$59/12</f>
        <v>2399.15454729353</v>
      </c>
      <c r="G167" s="50" t="n">
        <f aca="false">MIN($F$3-F167,H166)</f>
        <v>1425.84545270647</v>
      </c>
      <c r="H167" s="50" t="n">
        <f aca="false">H166-G167</f>
        <v>958235.973464706</v>
      </c>
      <c r="I167" s="50" t="n">
        <f aca="false">K166*Annahmen!$B$60/12</f>
        <v>5350.27250025819</v>
      </c>
      <c r="J167" s="50" t="n">
        <f aca="false">MIN($I$3-I167,K166)</f>
        <v>2763.80778764173</v>
      </c>
      <c r="K167" s="50" t="n">
        <f aca="false">K166-J167</f>
        <v>1602317.94228981</v>
      </c>
      <c r="L167" s="50" t="n">
        <f aca="false">C167+F167+I167</f>
        <v>10906.7341575808</v>
      </c>
      <c r="M167" s="50" t="n">
        <f aca="false">D167+G167+J167</f>
        <v>6282.34613031913</v>
      </c>
      <c r="N167" s="50" t="n">
        <f aca="false">L167+M167</f>
        <v>17189.0802878999</v>
      </c>
      <c r="O167" s="50" t="n">
        <f aca="false">E167+H167+K167</f>
        <v>4073968.6356785</v>
      </c>
    </row>
    <row r="168" customFormat="false" ht="15" hidden="false" customHeight="false" outlineLevel="0" collapsed="false">
      <c r="A168" s="49" t="n">
        <v>162</v>
      </c>
      <c r="B168" s="49" t="n">
        <f aca="false">ROUNDUP(A168/12,0)</f>
        <v>14</v>
      </c>
      <c r="C168" s="50" t="n">
        <f aca="false">E167*Annahmen!$B$58/12</f>
        <v>3152.94733317497</v>
      </c>
      <c r="D168" s="50" t="n">
        <f aca="false">MIN($C$3-C168,E167)</f>
        <v>2097.05266682504</v>
      </c>
      <c r="E168" s="50" t="n">
        <f aca="false">E167-D168</f>
        <v>1511317.66725716</v>
      </c>
      <c r="F168" s="50" t="n">
        <f aca="false">H167*Annahmen!$B$59/12</f>
        <v>2395.58993366176</v>
      </c>
      <c r="G168" s="50" t="n">
        <f aca="false">MIN($F$3-F168,H167)</f>
        <v>1429.41006633824</v>
      </c>
      <c r="H168" s="50" t="n">
        <f aca="false">H167-G168</f>
        <v>956806.563398368</v>
      </c>
      <c r="I168" s="50" t="n">
        <f aca="false">K167*Annahmen!$B$60/12</f>
        <v>5341.05980763272</v>
      </c>
      <c r="J168" s="50" t="n">
        <f aca="false">MIN($I$3-I168,K167)</f>
        <v>2773.0204802672</v>
      </c>
      <c r="K168" s="50" t="n">
        <f aca="false">K167-J168</f>
        <v>1599544.92180955</v>
      </c>
      <c r="L168" s="50" t="n">
        <f aca="false">C168+F168+I168</f>
        <v>10889.5970744694</v>
      </c>
      <c r="M168" s="50" t="n">
        <f aca="false">D168+G168+J168</f>
        <v>6299.48321343048</v>
      </c>
      <c r="N168" s="50" t="n">
        <f aca="false">L168+M168</f>
        <v>17189.0802878999</v>
      </c>
      <c r="O168" s="50" t="n">
        <f aca="false">E168+H168+K168</f>
        <v>4067669.15246507</v>
      </c>
    </row>
    <row r="169" customFormat="false" ht="15" hidden="false" customHeight="false" outlineLevel="0" collapsed="false">
      <c r="A169" s="49" t="n">
        <v>163</v>
      </c>
      <c r="B169" s="49" t="n">
        <f aca="false">ROUNDUP(A169/12,0)</f>
        <v>14</v>
      </c>
      <c r="C169" s="50" t="n">
        <f aca="false">E168*Annahmen!$B$58/12</f>
        <v>3148.57847345241</v>
      </c>
      <c r="D169" s="50" t="n">
        <f aca="false">MIN($C$3-C169,E168)</f>
        <v>2101.42152654759</v>
      </c>
      <c r="E169" s="50" t="n">
        <f aca="false">E168-D169</f>
        <v>1509216.24573061</v>
      </c>
      <c r="F169" s="50" t="n">
        <f aca="false">H168*Annahmen!$B$59/12</f>
        <v>2392.01640849592</v>
      </c>
      <c r="G169" s="50" t="n">
        <f aca="false">MIN($F$3-F169,H168)</f>
        <v>1432.98359150408</v>
      </c>
      <c r="H169" s="50" t="n">
        <f aca="false">H168-G169</f>
        <v>955373.579806864</v>
      </c>
      <c r="I169" s="50" t="n">
        <f aca="false">K168*Annahmen!$B$60/12</f>
        <v>5331.81640603183</v>
      </c>
      <c r="J169" s="50" t="n">
        <f aca="false">MIN($I$3-I169,K168)</f>
        <v>2782.26388186809</v>
      </c>
      <c r="K169" s="50" t="n">
        <f aca="false">K168-J169</f>
        <v>1596762.65792768</v>
      </c>
      <c r="L169" s="50" t="n">
        <f aca="false">C169+F169+I169</f>
        <v>10872.4112879802</v>
      </c>
      <c r="M169" s="50" t="n">
        <f aca="false">D169+G169+J169</f>
        <v>6316.66899991977</v>
      </c>
      <c r="N169" s="50" t="n">
        <f aca="false">L169+M169</f>
        <v>17189.0802878999</v>
      </c>
      <c r="O169" s="50" t="n">
        <f aca="false">E169+H169+K169</f>
        <v>4061352.48346515</v>
      </c>
    </row>
    <row r="170" customFormat="false" ht="15" hidden="false" customHeight="false" outlineLevel="0" collapsed="false">
      <c r="A170" s="49" t="n">
        <v>164</v>
      </c>
      <c r="B170" s="49" t="n">
        <f aca="false">ROUNDUP(A170/12,0)</f>
        <v>14</v>
      </c>
      <c r="C170" s="50" t="n">
        <f aca="false">E169*Annahmen!$B$58/12</f>
        <v>3144.20051193877</v>
      </c>
      <c r="D170" s="50" t="n">
        <f aca="false">MIN($C$3-C170,E169)</f>
        <v>2105.79948806123</v>
      </c>
      <c r="E170" s="50" t="n">
        <f aca="false">E169-D170</f>
        <v>1507110.44624255</v>
      </c>
      <c r="F170" s="50" t="n">
        <f aca="false">H169*Annahmen!$B$59/12</f>
        <v>2388.43394951716</v>
      </c>
      <c r="G170" s="50" t="n">
        <f aca="false">MIN($F$3-F170,H169)</f>
        <v>1436.56605048284</v>
      </c>
      <c r="H170" s="50" t="n">
        <f aca="false">H169-G170</f>
        <v>953937.013756381</v>
      </c>
      <c r="I170" s="50" t="n">
        <f aca="false">K169*Annahmen!$B$60/12</f>
        <v>5322.54219309227</v>
      </c>
      <c r="J170" s="50" t="n">
        <f aca="false">MIN($I$3-I170,K169)</f>
        <v>2791.53809480765</v>
      </c>
      <c r="K170" s="50" t="n">
        <f aca="false">K169-J170</f>
        <v>1593971.11983287</v>
      </c>
      <c r="L170" s="50" t="n">
        <f aca="false">C170+F170+I170</f>
        <v>10855.1766545482</v>
      </c>
      <c r="M170" s="50" t="n">
        <f aca="false">D170+G170+J170</f>
        <v>6333.90363335173</v>
      </c>
      <c r="N170" s="50" t="n">
        <f aca="false">L170+M170</f>
        <v>17189.0802878999</v>
      </c>
      <c r="O170" s="50" t="n">
        <f aca="false">E170+H170+K170</f>
        <v>4055018.5798318</v>
      </c>
    </row>
    <row r="171" customFormat="false" ht="15" hidden="false" customHeight="false" outlineLevel="0" collapsed="false">
      <c r="A171" s="49" t="n">
        <v>165</v>
      </c>
      <c r="B171" s="49" t="n">
        <f aca="false">ROUNDUP(A171/12,0)</f>
        <v>14</v>
      </c>
      <c r="C171" s="50" t="n">
        <f aca="false">E170*Annahmen!$B$58/12</f>
        <v>3139.81342967198</v>
      </c>
      <c r="D171" s="50" t="n">
        <f aca="false">MIN($C$3-C171,E170)</f>
        <v>2110.18657032802</v>
      </c>
      <c r="E171" s="50" t="n">
        <f aca="false">E170-D171</f>
        <v>1505000.25967222</v>
      </c>
      <c r="F171" s="50" t="n">
        <f aca="false">H170*Annahmen!$B$59/12</f>
        <v>2384.84253439095</v>
      </c>
      <c r="G171" s="50" t="n">
        <f aca="false">MIN($F$3-F171,H170)</f>
        <v>1440.15746560905</v>
      </c>
      <c r="H171" s="50" t="n">
        <f aca="false">H170-G171</f>
        <v>952496.856290772</v>
      </c>
      <c r="I171" s="50" t="n">
        <f aca="false">K170*Annahmen!$B$60/12</f>
        <v>5313.23706610957</v>
      </c>
      <c r="J171" s="50" t="n">
        <f aca="false">MIN($I$3-I171,K170)</f>
        <v>2800.84322179035</v>
      </c>
      <c r="K171" s="50" t="n">
        <f aca="false">K170-J171</f>
        <v>1591170.27661108</v>
      </c>
      <c r="L171" s="50" t="n">
        <f aca="false">C171+F171+I171</f>
        <v>10837.8930301725</v>
      </c>
      <c r="M171" s="50" t="n">
        <f aca="false">D171+G171+J171</f>
        <v>6351.18725772742</v>
      </c>
      <c r="N171" s="50" t="n">
        <f aca="false">L171+M171</f>
        <v>17189.0802878999</v>
      </c>
      <c r="O171" s="50" t="n">
        <f aca="false">E171+H171+K171</f>
        <v>4048667.39257407</v>
      </c>
    </row>
    <row r="172" customFormat="false" ht="15" hidden="false" customHeight="false" outlineLevel="0" collapsed="false">
      <c r="A172" s="49" t="n">
        <v>166</v>
      </c>
      <c r="B172" s="49" t="n">
        <f aca="false">ROUNDUP(A172/12,0)</f>
        <v>14</v>
      </c>
      <c r="C172" s="50" t="n">
        <f aca="false">E171*Annahmen!$B$58/12</f>
        <v>3135.41720765046</v>
      </c>
      <c r="D172" s="50" t="n">
        <f aca="false">MIN($C$3-C172,E171)</f>
        <v>2114.58279234954</v>
      </c>
      <c r="E172" s="50" t="n">
        <f aca="false">E171-D172</f>
        <v>1502885.67687987</v>
      </c>
      <c r="F172" s="50" t="n">
        <f aca="false">H171*Annahmen!$B$59/12</f>
        <v>2381.24214072693</v>
      </c>
      <c r="G172" s="50" t="n">
        <f aca="false">MIN($F$3-F172,H171)</f>
        <v>1443.75785927307</v>
      </c>
      <c r="H172" s="50" t="n">
        <f aca="false">H171-G172</f>
        <v>951053.098431499</v>
      </c>
      <c r="I172" s="50" t="n">
        <f aca="false">K171*Annahmen!$B$60/12</f>
        <v>5303.90092203694</v>
      </c>
      <c r="J172" s="50" t="n">
        <f aca="false">MIN($I$3-I172,K171)</f>
        <v>2810.17936586298</v>
      </c>
      <c r="K172" s="50" t="n">
        <f aca="false">K171-J172</f>
        <v>1588360.09724522</v>
      </c>
      <c r="L172" s="50" t="n">
        <f aca="false">C172+F172+I172</f>
        <v>10820.5602704143</v>
      </c>
      <c r="M172" s="50" t="n">
        <f aca="false">D172+G172+J172</f>
        <v>6368.52001748559</v>
      </c>
      <c r="N172" s="50" t="n">
        <f aca="false">L172+M172</f>
        <v>17189.0802878999</v>
      </c>
      <c r="O172" s="50" t="n">
        <f aca="false">E172+H172+K172</f>
        <v>4042298.87255659</v>
      </c>
    </row>
    <row r="173" customFormat="false" ht="15" hidden="false" customHeight="false" outlineLevel="0" collapsed="false">
      <c r="A173" s="49" t="n">
        <v>167</v>
      </c>
      <c r="B173" s="49" t="n">
        <f aca="false">ROUNDUP(A173/12,0)</f>
        <v>14</v>
      </c>
      <c r="C173" s="50" t="n">
        <f aca="false">E172*Annahmen!$B$58/12</f>
        <v>3131.01182683307</v>
      </c>
      <c r="D173" s="50" t="n">
        <f aca="false">MIN($C$3-C173,E172)</f>
        <v>2118.98817316694</v>
      </c>
      <c r="E173" s="50" t="n">
        <f aca="false">E172-D173</f>
        <v>1500766.68870671</v>
      </c>
      <c r="F173" s="50" t="n">
        <f aca="false">H172*Annahmen!$B$59/12</f>
        <v>2377.63274607875</v>
      </c>
      <c r="G173" s="50" t="n">
        <f aca="false">MIN($F$3-F173,H172)</f>
        <v>1447.36725392126</v>
      </c>
      <c r="H173" s="50" t="n">
        <f aca="false">H172-G173</f>
        <v>949605.731177577</v>
      </c>
      <c r="I173" s="50" t="n">
        <f aca="false">K172*Annahmen!$B$60/12</f>
        <v>5294.53365748406</v>
      </c>
      <c r="J173" s="50" t="n">
        <f aca="false">MIN($I$3-I173,K172)</f>
        <v>2819.54663041586</v>
      </c>
      <c r="K173" s="50" t="n">
        <f aca="false">K172-J173</f>
        <v>1585540.5506148</v>
      </c>
      <c r="L173" s="50" t="n">
        <f aca="false">C173+F173+I173</f>
        <v>10803.1782303959</v>
      </c>
      <c r="M173" s="50" t="n">
        <f aca="false">D173+G173+J173</f>
        <v>6385.90205750405</v>
      </c>
      <c r="N173" s="50" t="n">
        <f aca="false">L173+M173</f>
        <v>17189.0802878999</v>
      </c>
      <c r="O173" s="50" t="n">
        <f aca="false">E173+H173+K173</f>
        <v>4035912.97049909</v>
      </c>
    </row>
    <row r="174" customFormat="false" ht="15" hidden="false" customHeight="false" outlineLevel="0" collapsed="false">
      <c r="A174" s="49" t="n">
        <v>168</v>
      </c>
      <c r="B174" s="49" t="n">
        <f aca="false">ROUNDUP(A174/12,0)</f>
        <v>14</v>
      </c>
      <c r="C174" s="50" t="n">
        <f aca="false">E173*Annahmen!$B$58/12</f>
        <v>3126.59726813897</v>
      </c>
      <c r="D174" s="50" t="n">
        <f aca="false">MIN($C$3-C174,E173)</f>
        <v>2123.40273186103</v>
      </c>
      <c r="E174" s="50" t="n">
        <f aca="false">E173-D174</f>
        <v>1498643.28597484</v>
      </c>
      <c r="F174" s="50" t="n">
        <f aca="false">H173*Annahmen!$B$59/12</f>
        <v>2374.01432794394</v>
      </c>
      <c r="G174" s="50" t="n">
        <f aca="false">MIN($F$3-F174,H173)</f>
        <v>1450.98567205606</v>
      </c>
      <c r="H174" s="50" t="n">
        <f aca="false">H173-G174</f>
        <v>948154.745505521</v>
      </c>
      <c r="I174" s="50" t="n">
        <f aca="false">K173*Annahmen!$B$60/12</f>
        <v>5285.13516871601</v>
      </c>
      <c r="J174" s="50" t="n">
        <f aca="false">MIN($I$3-I174,K173)</f>
        <v>2828.94511918391</v>
      </c>
      <c r="K174" s="50" t="n">
        <f aca="false">K173-J174</f>
        <v>1582711.60549562</v>
      </c>
      <c r="L174" s="50" t="n">
        <f aca="false">C174+F174+I174</f>
        <v>10785.7467647989</v>
      </c>
      <c r="M174" s="50" t="n">
        <f aca="false">D174+G174+J174</f>
        <v>6403.333523101</v>
      </c>
      <c r="N174" s="50" t="n">
        <f aca="false">L174+M174</f>
        <v>17189.0802878999</v>
      </c>
      <c r="O174" s="50" t="n">
        <f aca="false">E174+H174+K174</f>
        <v>4029509.63697598</v>
      </c>
    </row>
    <row r="175" customFormat="false" ht="15" hidden="false" customHeight="false" outlineLevel="0" collapsed="false">
      <c r="A175" s="49" t="n">
        <v>169</v>
      </c>
      <c r="B175" s="49" t="n">
        <f aca="false">ROUNDUP(A175/12,0)</f>
        <v>15</v>
      </c>
      <c r="C175" s="50" t="n">
        <f aca="false">E174*Annahmen!$B$58/12</f>
        <v>3122.17351244759</v>
      </c>
      <c r="D175" s="50" t="n">
        <f aca="false">MIN($C$3-C175,E174)</f>
        <v>2127.82648755241</v>
      </c>
      <c r="E175" s="50" t="n">
        <f aca="false">E174-D175</f>
        <v>1496515.45948729</v>
      </c>
      <c r="F175" s="50" t="n">
        <f aca="false">H174*Annahmen!$B$59/12</f>
        <v>2370.3868637638</v>
      </c>
      <c r="G175" s="50" t="n">
        <f aca="false">MIN($F$3-F175,H174)</f>
        <v>1454.6131362362</v>
      </c>
      <c r="H175" s="50" t="n">
        <f aca="false">H174-G175</f>
        <v>946700.132369285</v>
      </c>
      <c r="I175" s="50" t="n">
        <f aca="false">K174*Annahmen!$B$60/12</f>
        <v>5275.70535165206</v>
      </c>
      <c r="J175" s="50" t="n">
        <f aca="false">MIN($I$3-I175,K174)</f>
        <v>2838.37493624786</v>
      </c>
      <c r="K175" s="50" t="n">
        <f aca="false">K174-J175</f>
        <v>1579873.23055937</v>
      </c>
      <c r="L175" s="50" t="n">
        <f aca="false">C175+F175+I175</f>
        <v>10768.2657278635</v>
      </c>
      <c r="M175" s="50" t="n">
        <f aca="false">D175+G175+J175</f>
        <v>6420.81456003647</v>
      </c>
      <c r="N175" s="50" t="n">
        <f aca="false">L175+M175</f>
        <v>17189.0802878999</v>
      </c>
      <c r="O175" s="50" t="n">
        <f aca="false">E175+H175+K175</f>
        <v>4023088.82241595</v>
      </c>
    </row>
    <row r="176" customFormat="false" ht="15" hidden="false" customHeight="false" outlineLevel="0" collapsed="false">
      <c r="A176" s="49" t="n">
        <v>170</v>
      </c>
      <c r="B176" s="49" t="n">
        <f aca="false">ROUNDUP(A176/12,0)</f>
        <v>15</v>
      </c>
      <c r="C176" s="50" t="n">
        <f aca="false">E175*Annahmen!$B$58/12</f>
        <v>3117.74054059852</v>
      </c>
      <c r="D176" s="50" t="n">
        <f aca="false">MIN($C$3-C176,E175)</f>
        <v>2132.25945940148</v>
      </c>
      <c r="E176" s="50" t="n">
        <f aca="false">E175-D176</f>
        <v>1494383.20002789</v>
      </c>
      <c r="F176" s="50" t="n">
        <f aca="false">H175*Annahmen!$B$59/12</f>
        <v>2366.75033092321</v>
      </c>
      <c r="G176" s="50" t="n">
        <f aca="false">MIN($F$3-F176,H175)</f>
        <v>1458.24966907679</v>
      </c>
      <c r="H176" s="50" t="n">
        <f aca="false">H175-G176</f>
        <v>945241.882700208</v>
      </c>
      <c r="I176" s="50" t="n">
        <f aca="false">K175*Annahmen!$B$60/12</f>
        <v>5266.24410186457</v>
      </c>
      <c r="J176" s="50" t="n">
        <f aca="false">MIN($I$3-I176,K175)</f>
        <v>2847.83618603535</v>
      </c>
      <c r="K176" s="50" t="n">
        <f aca="false">K175-J176</f>
        <v>1577025.39437334</v>
      </c>
      <c r="L176" s="50" t="n">
        <f aca="false">C176+F176+I176</f>
        <v>10750.7349733863</v>
      </c>
      <c r="M176" s="50" t="n">
        <f aca="false">D176+G176+J176</f>
        <v>6438.34531451362</v>
      </c>
      <c r="N176" s="50" t="n">
        <f aca="false">L176+M176</f>
        <v>17189.0802878999</v>
      </c>
      <c r="O176" s="50" t="n">
        <f aca="false">E176+H176+K176</f>
        <v>4016650.47710143</v>
      </c>
    </row>
    <row r="177" customFormat="false" ht="15" hidden="false" customHeight="false" outlineLevel="0" collapsed="false">
      <c r="A177" s="49" t="n">
        <v>171</v>
      </c>
      <c r="B177" s="49" t="n">
        <f aca="false">ROUNDUP(A177/12,0)</f>
        <v>15</v>
      </c>
      <c r="C177" s="50" t="n">
        <f aca="false">E176*Annahmen!$B$58/12</f>
        <v>3113.29833339144</v>
      </c>
      <c r="D177" s="50" t="n">
        <f aca="false">MIN($C$3-C177,E176)</f>
        <v>2136.70166660856</v>
      </c>
      <c r="E177" s="50" t="n">
        <f aca="false">E176-D177</f>
        <v>1492246.49836128</v>
      </c>
      <c r="F177" s="50" t="n">
        <f aca="false">H176*Annahmen!$B$59/12</f>
        <v>2363.10470675052</v>
      </c>
      <c r="G177" s="50" t="n">
        <f aca="false">MIN($F$3-F177,H176)</f>
        <v>1461.89529324948</v>
      </c>
      <c r="H177" s="50" t="n">
        <f aca="false">H176-G177</f>
        <v>943779.987406959</v>
      </c>
      <c r="I177" s="50" t="n">
        <f aca="false">K176*Annahmen!$B$60/12</f>
        <v>5256.75131457779</v>
      </c>
      <c r="J177" s="50" t="n">
        <f aca="false">MIN($I$3-I177,K176)</f>
        <v>2857.32897332213</v>
      </c>
      <c r="K177" s="50" t="n">
        <f aca="false">K176-J177</f>
        <v>1574168.06540001</v>
      </c>
      <c r="L177" s="50" t="n">
        <f aca="false">C177+F177+I177</f>
        <v>10733.1543547197</v>
      </c>
      <c r="M177" s="50" t="n">
        <f aca="false">D177+G177+J177</f>
        <v>6455.92593318018</v>
      </c>
      <c r="N177" s="50" t="n">
        <f aca="false">L177+M177</f>
        <v>17189.0802878999</v>
      </c>
      <c r="O177" s="50" t="n">
        <f aca="false">E177+H177+K177</f>
        <v>4010194.55116825</v>
      </c>
    </row>
    <row r="178" customFormat="false" ht="15" hidden="false" customHeight="false" outlineLevel="0" collapsed="false">
      <c r="A178" s="49" t="n">
        <v>172</v>
      </c>
      <c r="B178" s="49" t="n">
        <f aca="false">ROUNDUP(A178/12,0)</f>
        <v>15</v>
      </c>
      <c r="C178" s="50" t="n">
        <f aca="false">E177*Annahmen!$B$58/12</f>
        <v>3108.846871586</v>
      </c>
      <c r="D178" s="50" t="n">
        <f aca="false">MIN($C$3-C178,E177)</f>
        <v>2141.153128414</v>
      </c>
      <c r="E178" s="50" t="n">
        <f aca="false">E177-D178</f>
        <v>1490105.34523287</v>
      </c>
      <c r="F178" s="50" t="n">
        <f aca="false">H177*Annahmen!$B$59/12</f>
        <v>2359.4499685174</v>
      </c>
      <c r="G178" s="50" t="n">
        <f aca="false">MIN($F$3-F178,H177)</f>
        <v>1465.55003148261</v>
      </c>
      <c r="H178" s="50" t="n">
        <f aca="false">H177-G178</f>
        <v>942314.437375476</v>
      </c>
      <c r="I178" s="50" t="n">
        <f aca="false">K177*Annahmen!$B$60/12</f>
        <v>5247.22688466671</v>
      </c>
      <c r="J178" s="50" t="n">
        <f aca="false">MIN($I$3-I178,K177)</f>
        <v>2866.85340323321</v>
      </c>
      <c r="K178" s="50" t="n">
        <f aca="false">K177-J178</f>
        <v>1571301.21199678</v>
      </c>
      <c r="L178" s="50" t="n">
        <f aca="false">C178+F178+I178</f>
        <v>10715.5237247701</v>
      </c>
      <c r="M178" s="50" t="n">
        <f aca="false">D178+G178+J178</f>
        <v>6473.55656312981</v>
      </c>
      <c r="N178" s="50" t="n">
        <f aca="false">L178+M178</f>
        <v>17189.0802878999</v>
      </c>
      <c r="O178" s="50" t="n">
        <f aca="false">E178+H178+K178</f>
        <v>4003720.99460512</v>
      </c>
    </row>
    <row r="179" customFormat="false" ht="15" hidden="false" customHeight="false" outlineLevel="0" collapsed="false">
      <c r="A179" s="49" t="n">
        <v>173</v>
      </c>
      <c r="B179" s="49" t="n">
        <f aca="false">ROUNDUP(A179/12,0)</f>
        <v>15</v>
      </c>
      <c r="C179" s="50" t="n">
        <f aca="false">E178*Annahmen!$B$58/12</f>
        <v>3104.38613590181</v>
      </c>
      <c r="D179" s="50" t="n">
        <f aca="false">MIN($C$3-C179,E178)</f>
        <v>2145.61386409819</v>
      </c>
      <c r="E179" s="50" t="n">
        <f aca="false">E178-D179</f>
        <v>1487959.73136877</v>
      </c>
      <c r="F179" s="50" t="n">
        <f aca="false">H178*Annahmen!$B$59/12</f>
        <v>2355.78609343869</v>
      </c>
      <c r="G179" s="50" t="n">
        <f aca="false">MIN($F$3-F179,H178)</f>
        <v>1469.21390656131</v>
      </c>
      <c r="H179" s="50" t="n">
        <f aca="false">H178-G179</f>
        <v>940845.223468915</v>
      </c>
      <c r="I179" s="50" t="n">
        <f aca="false">K178*Annahmen!$B$60/12</f>
        <v>5237.67070665593</v>
      </c>
      <c r="J179" s="50" t="n">
        <f aca="false">MIN($I$3-I179,K178)</f>
        <v>2876.40958124399</v>
      </c>
      <c r="K179" s="50" t="n">
        <f aca="false">K178-J179</f>
        <v>1568424.80241554</v>
      </c>
      <c r="L179" s="50" t="n">
        <f aca="false">C179+F179+I179</f>
        <v>10697.8429359964</v>
      </c>
      <c r="M179" s="50" t="n">
        <f aca="false">D179+G179+J179</f>
        <v>6491.23735190349</v>
      </c>
      <c r="N179" s="50" t="n">
        <f aca="false">L179+M179</f>
        <v>17189.0802878999</v>
      </c>
      <c r="O179" s="50" t="n">
        <f aca="false">E179+H179+K179</f>
        <v>3997229.75725322</v>
      </c>
    </row>
    <row r="180" customFormat="false" ht="15" hidden="false" customHeight="false" outlineLevel="0" collapsed="false">
      <c r="A180" s="49" t="n">
        <v>174</v>
      </c>
      <c r="B180" s="49" t="n">
        <f aca="false">ROUNDUP(A180/12,0)</f>
        <v>15</v>
      </c>
      <c r="C180" s="50" t="n">
        <f aca="false">E179*Annahmen!$B$58/12</f>
        <v>3099.91610701827</v>
      </c>
      <c r="D180" s="50" t="n">
        <f aca="false">MIN($C$3-C180,E179)</f>
        <v>2150.08389298173</v>
      </c>
      <c r="E180" s="50" t="n">
        <f aca="false">E179-D180</f>
        <v>1485809.64747579</v>
      </c>
      <c r="F180" s="50" t="n">
        <f aca="false">H179*Annahmen!$B$59/12</f>
        <v>2352.11305867229</v>
      </c>
      <c r="G180" s="50" t="n">
        <f aca="false">MIN($F$3-F180,H179)</f>
        <v>1472.88694132771</v>
      </c>
      <c r="H180" s="50" t="n">
        <f aca="false">H179-G180</f>
        <v>939372.336527587</v>
      </c>
      <c r="I180" s="50" t="n">
        <f aca="false">K179*Annahmen!$B$60/12</f>
        <v>5228.08267471845</v>
      </c>
      <c r="J180" s="50" t="n">
        <f aca="false">MIN($I$3-I180,K179)</f>
        <v>2885.99761318147</v>
      </c>
      <c r="K180" s="50" t="n">
        <f aca="false">K179-J180</f>
        <v>1565538.80480235</v>
      </c>
      <c r="L180" s="50" t="n">
        <f aca="false">C180+F180+I180</f>
        <v>10680.111840409</v>
      </c>
      <c r="M180" s="50" t="n">
        <f aca="false">D180+G180+J180</f>
        <v>6508.96844749091</v>
      </c>
      <c r="N180" s="50" t="n">
        <f aca="false">L180+M180</f>
        <v>17189.0802878999</v>
      </c>
      <c r="O180" s="50" t="n">
        <f aca="false">E180+H180+K180</f>
        <v>3990720.78880573</v>
      </c>
    </row>
    <row r="181" customFormat="false" ht="15" hidden="false" customHeight="false" outlineLevel="0" collapsed="false">
      <c r="A181" s="49" t="n">
        <v>175</v>
      </c>
      <c r="B181" s="49" t="n">
        <f aca="false">ROUNDUP(A181/12,0)</f>
        <v>15</v>
      </c>
      <c r="C181" s="50" t="n">
        <f aca="false">E180*Annahmen!$B$58/12</f>
        <v>3095.43676557456</v>
      </c>
      <c r="D181" s="50" t="n">
        <f aca="false">MIN($C$3-C181,E180)</f>
        <v>2154.56323442544</v>
      </c>
      <c r="E181" s="50" t="n">
        <f aca="false">E180-D181</f>
        <v>1483655.08424136</v>
      </c>
      <c r="F181" s="50" t="n">
        <f aca="false">H180*Annahmen!$B$59/12</f>
        <v>2348.43084131897</v>
      </c>
      <c r="G181" s="50" t="n">
        <f aca="false">MIN($F$3-F181,H180)</f>
        <v>1476.56915868103</v>
      </c>
      <c r="H181" s="50" t="n">
        <f aca="false">H180-G181</f>
        <v>937895.767368906</v>
      </c>
      <c r="I181" s="50" t="n">
        <f aca="false">K180*Annahmen!$B$60/12</f>
        <v>5218.46268267452</v>
      </c>
      <c r="J181" s="50" t="n">
        <f aca="false">MIN($I$3-I181,K180)</f>
        <v>2895.6176052254</v>
      </c>
      <c r="K181" s="50" t="n">
        <f aca="false">K180-J181</f>
        <v>1562643.18719713</v>
      </c>
      <c r="L181" s="50" t="n">
        <f aca="false">C181+F181+I181</f>
        <v>10662.330289568</v>
      </c>
      <c r="M181" s="50" t="n">
        <f aca="false">D181+G181+J181</f>
        <v>6526.74999833188</v>
      </c>
      <c r="N181" s="50" t="n">
        <f aca="false">L181+M181</f>
        <v>17189.0802878999</v>
      </c>
      <c r="O181" s="50" t="n">
        <f aca="false">E181+H181+K181</f>
        <v>3984194.0388074</v>
      </c>
    </row>
    <row r="182" customFormat="false" ht="15" hidden="false" customHeight="false" outlineLevel="0" collapsed="false">
      <c r="A182" s="49" t="n">
        <v>176</v>
      </c>
      <c r="B182" s="49" t="n">
        <f aca="false">ROUNDUP(A182/12,0)</f>
        <v>15</v>
      </c>
      <c r="C182" s="50" t="n">
        <f aca="false">E181*Annahmen!$B$58/12</f>
        <v>3090.94809216951</v>
      </c>
      <c r="D182" s="50" t="n">
        <f aca="false">MIN($C$3-C182,E181)</f>
        <v>2159.0519078305</v>
      </c>
      <c r="E182" s="50" t="n">
        <f aca="false">E181-D182</f>
        <v>1481496.03233353</v>
      </c>
      <c r="F182" s="50" t="n">
        <f aca="false">H181*Annahmen!$B$59/12</f>
        <v>2344.73941842227</v>
      </c>
      <c r="G182" s="50" t="n">
        <f aca="false">MIN($F$3-F182,H181)</f>
        <v>1480.26058157774</v>
      </c>
      <c r="H182" s="50" t="n">
        <f aca="false">H181-G182</f>
        <v>936415.506787328</v>
      </c>
      <c r="I182" s="50" t="n">
        <f aca="false">K181*Annahmen!$B$60/12</f>
        <v>5208.81062399043</v>
      </c>
      <c r="J182" s="50" t="n">
        <f aca="false">MIN($I$3-I182,K181)</f>
        <v>2905.26966390949</v>
      </c>
      <c r="K182" s="50" t="n">
        <f aca="false">K181-J182</f>
        <v>1559737.91753322</v>
      </c>
      <c r="L182" s="50" t="n">
        <f aca="false">C182+F182+I182</f>
        <v>10644.4981345822</v>
      </c>
      <c r="M182" s="50" t="n">
        <f aca="false">D182+G182+J182</f>
        <v>6544.58215331772</v>
      </c>
      <c r="N182" s="50" t="n">
        <f aca="false">L182+M182</f>
        <v>17189.0802878999</v>
      </c>
      <c r="O182" s="50" t="n">
        <f aca="false">E182+H182+K182</f>
        <v>3977649.45665408</v>
      </c>
    </row>
    <row r="183" customFormat="false" ht="15" hidden="false" customHeight="false" outlineLevel="0" collapsed="false">
      <c r="A183" s="49" t="n">
        <v>177</v>
      </c>
      <c r="B183" s="49" t="n">
        <f aca="false">ROUNDUP(A183/12,0)</f>
        <v>15</v>
      </c>
      <c r="C183" s="50" t="n">
        <f aca="false">E182*Annahmen!$B$58/12</f>
        <v>3086.45006736153</v>
      </c>
      <c r="D183" s="50" t="n">
        <f aca="false">MIN($C$3-C183,E182)</f>
        <v>2163.54993263848</v>
      </c>
      <c r="E183" s="50" t="n">
        <f aca="false">E182-D183</f>
        <v>1479332.48240089</v>
      </c>
      <c r="F183" s="50" t="n">
        <f aca="false">H182*Annahmen!$B$59/12</f>
        <v>2341.03876696832</v>
      </c>
      <c r="G183" s="50" t="n">
        <f aca="false">MIN($F$3-F183,H182)</f>
        <v>1483.96123303168</v>
      </c>
      <c r="H183" s="50" t="n">
        <f aca="false">H182-G183</f>
        <v>934931.545554297</v>
      </c>
      <c r="I183" s="50" t="n">
        <f aca="false">K182*Annahmen!$B$60/12</f>
        <v>5199.1263917774</v>
      </c>
      <c r="J183" s="50" t="n">
        <f aca="false">MIN($I$3-I183,K182)</f>
        <v>2914.95389612252</v>
      </c>
      <c r="K183" s="50" t="n">
        <f aca="false">K182-J183</f>
        <v>1556822.9636371</v>
      </c>
      <c r="L183" s="50" t="n">
        <f aca="false">C183+F183+I183</f>
        <v>10626.6152261072</v>
      </c>
      <c r="M183" s="50" t="n">
        <f aca="false">D183+G183+J183</f>
        <v>6562.46506179268</v>
      </c>
      <c r="N183" s="50" t="n">
        <f aca="false">L183+M183</f>
        <v>17189.0802878999</v>
      </c>
      <c r="O183" s="50" t="n">
        <f aca="false">E183+H183+K183</f>
        <v>3971086.99159229</v>
      </c>
    </row>
    <row r="184" customFormat="false" ht="15" hidden="false" customHeight="false" outlineLevel="0" collapsed="false">
      <c r="A184" s="49" t="n">
        <v>178</v>
      </c>
      <c r="B184" s="49" t="n">
        <f aca="false">ROUNDUP(A184/12,0)</f>
        <v>15</v>
      </c>
      <c r="C184" s="50" t="n">
        <f aca="false">E183*Annahmen!$B$58/12</f>
        <v>3081.94267166853</v>
      </c>
      <c r="D184" s="50" t="n">
        <f aca="false">MIN($C$3-C184,E183)</f>
        <v>2168.05732833147</v>
      </c>
      <c r="E184" s="50" t="n">
        <f aca="false">E183-D184</f>
        <v>1477164.42507256</v>
      </c>
      <c r="F184" s="50" t="n">
        <f aca="false">H183*Annahmen!$B$59/12</f>
        <v>2337.32886388574</v>
      </c>
      <c r="G184" s="50" t="n">
        <f aca="false">MIN($F$3-F184,H183)</f>
        <v>1487.67113611426</v>
      </c>
      <c r="H184" s="50" t="n">
        <f aca="false">H183-G184</f>
        <v>933443.874418182</v>
      </c>
      <c r="I184" s="50" t="n">
        <f aca="false">K183*Annahmen!$B$60/12</f>
        <v>5189.40987879033</v>
      </c>
      <c r="J184" s="50" t="n">
        <f aca="false">MIN($I$3-I184,K183)</f>
        <v>2924.67040910959</v>
      </c>
      <c r="K184" s="50" t="n">
        <f aca="false">K183-J184</f>
        <v>1553898.29322799</v>
      </c>
      <c r="L184" s="50" t="n">
        <f aca="false">C184+F184+I184</f>
        <v>10608.6814143446</v>
      </c>
      <c r="M184" s="50" t="n">
        <f aca="false">D184+G184+J184</f>
        <v>6580.39887355533</v>
      </c>
      <c r="N184" s="50" t="n">
        <f aca="false">L184+M184</f>
        <v>17189.0802878999</v>
      </c>
      <c r="O184" s="50" t="n">
        <f aca="false">E184+H184+K184</f>
        <v>3964506.59271873</v>
      </c>
    </row>
    <row r="185" customFormat="false" ht="15" hidden="false" customHeight="false" outlineLevel="0" collapsed="false">
      <c r="A185" s="49" t="n">
        <v>179</v>
      </c>
      <c r="B185" s="49" t="n">
        <f aca="false">ROUNDUP(A185/12,0)</f>
        <v>15</v>
      </c>
      <c r="C185" s="50" t="n">
        <f aca="false">E184*Annahmen!$B$58/12</f>
        <v>3077.42588556784</v>
      </c>
      <c r="D185" s="50" t="n">
        <f aca="false">MIN($C$3-C185,E184)</f>
        <v>2172.57411443216</v>
      </c>
      <c r="E185" s="50" t="n">
        <f aca="false">E184-D185</f>
        <v>1474991.85095813</v>
      </c>
      <c r="F185" s="50" t="n">
        <f aca="false">H184*Annahmen!$B$59/12</f>
        <v>2333.60968604546</v>
      </c>
      <c r="G185" s="50" t="n">
        <f aca="false">MIN($F$3-F185,H184)</f>
        <v>1491.39031395455</v>
      </c>
      <c r="H185" s="50" t="n">
        <f aca="false">H184-G185</f>
        <v>931952.484104228</v>
      </c>
      <c r="I185" s="50" t="n">
        <f aca="false">K184*Annahmen!$B$60/12</f>
        <v>5179.66097742663</v>
      </c>
      <c r="J185" s="50" t="n">
        <f aca="false">MIN($I$3-I185,K184)</f>
        <v>2934.41931047329</v>
      </c>
      <c r="K185" s="50" t="n">
        <f aca="false">K184-J185</f>
        <v>1550963.87391751</v>
      </c>
      <c r="L185" s="50" t="n">
        <f aca="false">C185+F185+I185</f>
        <v>10590.6965490399</v>
      </c>
      <c r="M185" s="50" t="n">
        <f aca="false">D185+G185+J185</f>
        <v>6598.38373886</v>
      </c>
      <c r="N185" s="50" t="n">
        <f aca="false">L185+M185</f>
        <v>17189.0802878999</v>
      </c>
      <c r="O185" s="50" t="n">
        <f aca="false">E185+H185+K185</f>
        <v>3957908.20897987</v>
      </c>
    </row>
    <row r="186" customFormat="false" ht="15" hidden="false" customHeight="false" outlineLevel="0" collapsed="false">
      <c r="A186" s="49" t="n">
        <v>180</v>
      </c>
      <c r="B186" s="49" t="n">
        <f aca="false">ROUNDUP(A186/12,0)</f>
        <v>15</v>
      </c>
      <c r="C186" s="50" t="n">
        <f aca="false">E185*Annahmen!$B$58/12</f>
        <v>3072.8996894961</v>
      </c>
      <c r="D186" s="50" t="n">
        <f aca="false">MIN($C$3-C186,E185)</f>
        <v>2177.1003105039</v>
      </c>
      <c r="E186" s="50" t="n">
        <f aca="false">E185-D186</f>
        <v>1472814.75064763</v>
      </c>
      <c r="F186" s="50" t="n">
        <f aca="false">H185*Annahmen!$B$59/12</f>
        <v>2329.88121026057</v>
      </c>
      <c r="G186" s="50" t="n">
        <f aca="false">MIN($F$3-F186,H185)</f>
        <v>1495.11878973943</v>
      </c>
      <c r="H186" s="50" t="n">
        <f aca="false">H185-G186</f>
        <v>930457.365314488</v>
      </c>
      <c r="I186" s="50" t="n">
        <f aca="false">K185*Annahmen!$B$60/12</f>
        <v>5169.87957972505</v>
      </c>
      <c r="J186" s="50" t="n">
        <f aca="false">MIN($I$3-I186,K185)</f>
        <v>2944.20070817487</v>
      </c>
      <c r="K186" s="50" t="n">
        <f aca="false">K185-J186</f>
        <v>1548019.67320934</v>
      </c>
      <c r="L186" s="50" t="n">
        <f aca="false">C186+F186+I186</f>
        <v>10572.6604794817</v>
      </c>
      <c r="M186" s="50" t="n">
        <f aca="false">D186+G186+J186</f>
        <v>6616.4198084182</v>
      </c>
      <c r="N186" s="50" t="n">
        <f aca="false">L186+M186</f>
        <v>17189.0802878999</v>
      </c>
      <c r="O186" s="50" t="n">
        <f aca="false">E186+H186+K186</f>
        <v>3951291.78917145</v>
      </c>
    </row>
    <row r="187" customFormat="false" ht="15" hidden="false" customHeight="false" outlineLevel="0" collapsed="false">
      <c r="A187" s="49" t="n">
        <v>181</v>
      </c>
      <c r="B187" s="49" t="n">
        <f aca="false">ROUNDUP(A187/12,0)</f>
        <v>16</v>
      </c>
      <c r="C187" s="50" t="n">
        <f aca="false">E186*Annahmen!$B$58/12</f>
        <v>3068.36406384922</v>
      </c>
      <c r="D187" s="50" t="n">
        <f aca="false">MIN($C$3-C187,E186)</f>
        <v>2181.63593615078</v>
      </c>
      <c r="E187" s="50" t="n">
        <f aca="false">E186-D187</f>
        <v>1470633.11471148</v>
      </c>
      <c r="F187" s="50" t="n">
        <f aca="false">H186*Annahmen!$B$59/12</f>
        <v>2326.14341328622</v>
      </c>
      <c r="G187" s="50" t="n">
        <f aca="false">MIN($F$3-F187,H186)</f>
        <v>1498.85658671378</v>
      </c>
      <c r="H187" s="50" t="n">
        <f aca="false">H186-G187</f>
        <v>928958.508727775</v>
      </c>
      <c r="I187" s="50" t="n">
        <f aca="false">K186*Annahmen!$B$60/12</f>
        <v>5160.06557736447</v>
      </c>
      <c r="J187" s="50" t="n">
        <f aca="false">MIN($I$3-I187,K186)</f>
        <v>2954.01471053545</v>
      </c>
      <c r="K187" s="50" t="n">
        <f aca="false">K186-J187</f>
        <v>1545065.6584988</v>
      </c>
      <c r="L187" s="50" t="n">
        <f aca="false">C187+F187+I187</f>
        <v>10554.5730544999</v>
      </c>
      <c r="M187" s="50" t="n">
        <f aca="false">D187+G187+J187</f>
        <v>6634.50723340002</v>
      </c>
      <c r="N187" s="50" t="n">
        <f aca="false">L187+M187</f>
        <v>17189.0802878999</v>
      </c>
      <c r="O187" s="50" t="n">
        <f aca="false">E187+H187+K187</f>
        <v>3944657.28193805</v>
      </c>
    </row>
    <row r="188" customFormat="false" ht="15" hidden="false" customHeight="false" outlineLevel="0" collapsed="false">
      <c r="A188" s="49" t="n">
        <v>182</v>
      </c>
      <c r="B188" s="49" t="n">
        <f aca="false">ROUNDUP(A188/12,0)</f>
        <v>16</v>
      </c>
      <c r="C188" s="50" t="n">
        <f aca="false">E187*Annahmen!$B$58/12</f>
        <v>3063.81898898224</v>
      </c>
      <c r="D188" s="50" t="n">
        <f aca="false">MIN($C$3-C188,E187)</f>
        <v>2186.18101101776</v>
      </c>
      <c r="E188" s="50" t="n">
        <f aca="false">E187-D188</f>
        <v>1468446.93370046</v>
      </c>
      <c r="F188" s="50" t="n">
        <f aca="false">H187*Annahmen!$B$59/12</f>
        <v>2322.39627181944</v>
      </c>
      <c r="G188" s="50" t="n">
        <f aca="false">MIN($F$3-F188,H187)</f>
        <v>1502.60372818057</v>
      </c>
      <c r="H188" s="50" t="n">
        <f aca="false">H187-G188</f>
        <v>927455.904999594</v>
      </c>
      <c r="I188" s="50" t="n">
        <f aca="false">K187*Annahmen!$B$60/12</f>
        <v>5150.21886166268</v>
      </c>
      <c r="J188" s="50" t="n">
        <f aca="false">MIN($I$3-I188,K187)</f>
        <v>2963.86142623724</v>
      </c>
      <c r="K188" s="50" t="n">
        <f aca="false">K187-J188</f>
        <v>1542101.79707257</v>
      </c>
      <c r="L188" s="50" t="n">
        <f aca="false">C188+F188+I188</f>
        <v>10536.4341224644</v>
      </c>
      <c r="M188" s="50" t="n">
        <f aca="false">D188+G188+J188</f>
        <v>6652.64616543557</v>
      </c>
      <c r="N188" s="50" t="n">
        <f aca="false">L188+M188</f>
        <v>17189.0802878999</v>
      </c>
      <c r="O188" s="50" t="n">
        <f aca="false">E188+H188+K188</f>
        <v>3938004.63577262</v>
      </c>
    </row>
    <row r="189" customFormat="false" ht="15" hidden="false" customHeight="false" outlineLevel="0" collapsed="false">
      <c r="A189" s="49" t="n">
        <v>183</v>
      </c>
      <c r="B189" s="49" t="n">
        <f aca="false">ROUNDUP(A189/12,0)</f>
        <v>16</v>
      </c>
      <c r="C189" s="50" t="n">
        <f aca="false">E188*Annahmen!$B$58/12</f>
        <v>3059.26444520929</v>
      </c>
      <c r="D189" s="50" t="n">
        <f aca="false">MIN($C$3-C189,E188)</f>
        <v>2190.73555479072</v>
      </c>
      <c r="E189" s="50" t="n">
        <f aca="false">E188-D189</f>
        <v>1466256.19814567</v>
      </c>
      <c r="F189" s="50" t="n">
        <f aca="false">H188*Annahmen!$B$59/12</f>
        <v>2318.63976249899</v>
      </c>
      <c r="G189" s="50" t="n">
        <f aca="false">MIN($F$3-F189,H188)</f>
        <v>1506.36023750102</v>
      </c>
      <c r="H189" s="50" t="n">
        <f aca="false">H188-G189</f>
        <v>925949.544762093</v>
      </c>
      <c r="I189" s="50" t="n">
        <f aca="false">K188*Annahmen!$B$60/12</f>
        <v>5140.33932357522</v>
      </c>
      <c r="J189" s="50" t="n">
        <f aca="false">MIN($I$3-I189,K188)</f>
        <v>2973.7409643247</v>
      </c>
      <c r="K189" s="50" t="n">
        <f aca="false">K188-J189</f>
        <v>1539128.05610824</v>
      </c>
      <c r="L189" s="50" t="n">
        <f aca="false">C189+F189+I189</f>
        <v>10518.2435312835</v>
      </c>
      <c r="M189" s="50" t="n">
        <f aca="false">D189+G189+J189</f>
        <v>6670.83675661643</v>
      </c>
      <c r="N189" s="50" t="n">
        <f aca="false">L189+M189</f>
        <v>17189.0802878999</v>
      </c>
      <c r="O189" s="50" t="n">
        <f aca="false">E189+H189+K189</f>
        <v>3931333.799016</v>
      </c>
    </row>
    <row r="190" customFormat="false" ht="15" hidden="false" customHeight="false" outlineLevel="0" collapsed="false">
      <c r="A190" s="49" t="n">
        <v>184</v>
      </c>
      <c r="B190" s="49" t="n">
        <f aca="false">ROUNDUP(A190/12,0)</f>
        <v>16</v>
      </c>
      <c r="C190" s="50" t="n">
        <f aca="false">E189*Annahmen!$B$58/12</f>
        <v>3054.70041280347</v>
      </c>
      <c r="D190" s="50" t="n">
        <f aca="false">MIN($C$3-C190,E189)</f>
        <v>2195.29958719653</v>
      </c>
      <c r="E190" s="50" t="n">
        <f aca="false">E189-D190</f>
        <v>1464060.89855847</v>
      </c>
      <c r="F190" s="50" t="n">
        <f aca="false">H189*Annahmen!$B$59/12</f>
        <v>2314.87386190523</v>
      </c>
      <c r="G190" s="50" t="n">
        <f aca="false">MIN($F$3-F190,H189)</f>
        <v>1510.12613809477</v>
      </c>
      <c r="H190" s="50" t="n">
        <f aca="false">H189-G190</f>
        <v>924439.418623998</v>
      </c>
      <c r="I190" s="50" t="n">
        <f aca="false">K189*Annahmen!$B$60/12</f>
        <v>5130.42685369414</v>
      </c>
      <c r="J190" s="50" t="n">
        <f aca="false">MIN($I$3-I190,K189)</f>
        <v>2983.65343420578</v>
      </c>
      <c r="K190" s="50" t="n">
        <f aca="false">K189-J190</f>
        <v>1536144.40267404</v>
      </c>
      <c r="L190" s="50" t="n">
        <f aca="false">C190+F190+I190</f>
        <v>10500.0011284028</v>
      </c>
      <c r="M190" s="50" t="n">
        <f aca="false">D190+G190+J190</f>
        <v>6689.07915949708</v>
      </c>
      <c r="N190" s="50" t="n">
        <f aca="false">L190+M190</f>
        <v>17189.0802878999</v>
      </c>
      <c r="O190" s="50" t="n">
        <f aca="false">E190+H190+K190</f>
        <v>3924644.7198565</v>
      </c>
    </row>
    <row r="191" customFormat="false" ht="15" hidden="false" customHeight="false" outlineLevel="0" collapsed="false">
      <c r="A191" s="49" t="n">
        <v>185</v>
      </c>
      <c r="B191" s="49" t="n">
        <f aca="false">ROUNDUP(A191/12,0)</f>
        <v>16</v>
      </c>
      <c r="C191" s="50" t="n">
        <f aca="false">E190*Annahmen!$B$58/12</f>
        <v>3050.12687199681</v>
      </c>
      <c r="D191" s="50" t="n">
        <f aca="false">MIN($C$3-C191,E190)</f>
        <v>2199.87312800319</v>
      </c>
      <c r="E191" s="50" t="n">
        <f aca="false">E190-D191</f>
        <v>1461861.02543047</v>
      </c>
      <c r="F191" s="50" t="n">
        <f aca="false">H190*Annahmen!$B$59/12</f>
        <v>2311.09854656</v>
      </c>
      <c r="G191" s="50" t="n">
        <f aca="false">MIN($F$3-F191,H190)</f>
        <v>1513.90145344001</v>
      </c>
      <c r="H191" s="50" t="n">
        <f aca="false">H190-G191</f>
        <v>922925.517170558</v>
      </c>
      <c r="I191" s="50" t="n">
        <f aca="false">K190*Annahmen!$B$60/12</f>
        <v>5120.48134224679</v>
      </c>
      <c r="J191" s="50" t="n">
        <f aca="false">MIN($I$3-I191,K190)</f>
        <v>2993.59894565313</v>
      </c>
      <c r="K191" s="50" t="n">
        <f aca="false">K190-J191</f>
        <v>1533150.80372838</v>
      </c>
      <c r="L191" s="50" t="n">
        <f aca="false">C191+F191+I191</f>
        <v>10481.7067608036</v>
      </c>
      <c r="M191" s="50" t="n">
        <f aca="false">D191+G191+J191</f>
        <v>6707.37352709633</v>
      </c>
      <c r="N191" s="50" t="n">
        <f aca="false">L191+M191</f>
        <v>17189.0802878999</v>
      </c>
      <c r="O191" s="50" t="n">
        <f aca="false">E191+H191+K191</f>
        <v>3917937.34632941</v>
      </c>
    </row>
    <row r="192" customFormat="false" ht="15" hidden="false" customHeight="false" outlineLevel="0" collapsed="false">
      <c r="A192" s="49" t="n">
        <v>186</v>
      </c>
      <c r="B192" s="49" t="n">
        <f aca="false">ROUNDUP(A192/12,0)</f>
        <v>16</v>
      </c>
      <c r="C192" s="50" t="n">
        <f aca="false">E191*Annahmen!$B$58/12</f>
        <v>3045.54380298014</v>
      </c>
      <c r="D192" s="50" t="n">
        <f aca="false">MIN($C$3-C192,E191)</f>
        <v>2204.45619701986</v>
      </c>
      <c r="E192" s="50" t="n">
        <f aca="false">E191-D192</f>
        <v>1459656.56923345</v>
      </c>
      <c r="F192" s="50" t="n">
        <f aca="false">H191*Annahmen!$B$59/12</f>
        <v>2307.3137929264</v>
      </c>
      <c r="G192" s="50" t="n">
        <f aca="false">MIN($F$3-F192,H191)</f>
        <v>1517.68620707361</v>
      </c>
      <c r="H192" s="50" t="n">
        <f aca="false">H191-G192</f>
        <v>921407.830963485</v>
      </c>
      <c r="I192" s="50" t="n">
        <f aca="false">K191*Annahmen!$B$60/12</f>
        <v>5110.50267909461</v>
      </c>
      <c r="J192" s="50" t="n">
        <f aca="false">MIN($I$3-I192,K191)</f>
        <v>3003.57760880531</v>
      </c>
      <c r="K192" s="50" t="n">
        <f aca="false">K191-J192</f>
        <v>1530147.22611958</v>
      </c>
      <c r="L192" s="50" t="n">
        <f aca="false">C192+F192+I192</f>
        <v>10463.3602750011</v>
      </c>
      <c r="M192" s="50" t="n">
        <f aca="false">D192+G192+J192</f>
        <v>6725.72001289878</v>
      </c>
      <c r="N192" s="50" t="n">
        <f aca="false">L192+M192</f>
        <v>17189.0802878999</v>
      </c>
      <c r="O192" s="50" t="n">
        <f aca="false">E192+H192+K192</f>
        <v>3911211.62631651</v>
      </c>
    </row>
    <row r="193" customFormat="false" ht="15" hidden="false" customHeight="false" outlineLevel="0" collapsed="false">
      <c r="A193" s="49" t="n">
        <v>187</v>
      </c>
      <c r="B193" s="49" t="n">
        <f aca="false">ROUNDUP(A193/12,0)</f>
        <v>16</v>
      </c>
      <c r="C193" s="50" t="n">
        <f aca="false">E192*Annahmen!$B$58/12</f>
        <v>3040.95118590302</v>
      </c>
      <c r="D193" s="50" t="n">
        <f aca="false">MIN($C$3-C193,E192)</f>
        <v>2209.04881409699</v>
      </c>
      <c r="E193" s="50" t="n">
        <f aca="false">E192-D193</f>
        <v>1457447.52041935</v>
      </c>
      <c r="F193" s="50" t="n">
        <f aca="false">H192*Annahmen!$B$59/12</f>
        <v>2303.51957740871</v>
      </c>
      <c r="G193" s="50" t="n">
        <f aca="false">MIN($F$3-F193,H192)</f>
        <v>1521.48042259129</v>
      </c>
      <c r="H193" s="50" t="n">
        <f aca="false">H192-G193</f>
        <v>919886.350540893</v>
      </c>
      <c r="I193" s="50" t="n">
        <f aca="false">K192*Annahmen!$B$60/12</f>
        <v>5100.49075373193</v>
      </c>
      <c r="J193" s="50" t="n">
        <f aca="false">MIN($I$3-I193,K192)</f>
        <v>3013.58953416799</v>
      </c>
      <c r="K193" s="50" t="n">
        <f aca="false">K192-J193</f>
        <v>1527133.63658541</v>
      </c>
      <c r="L193" s="50" t="n">
        <f aca="false">C193+F193+I193</f>
        <v>10444.9615170437</v>
      </c>
      <c r="M193" s="50" t="n">
        <f aca="false">D193+G193+J193</f>
        <v>6744.11877085627</v>
      </c>
      <c r="N193" s="50" t="n">
        <f aca="false">L193+M193</f>
        <v>17189.0802878999</v>
      </c>
      <c r="O193" s="50" t="n">
        <f aca="false">E193+H193+K193</f>
        <v>3904467.50754565</v>
      </c>
    </row>
    <row r="194" customFormat="false" ht="15" hidden="false" customHeight="false" outlineLevel="0" collapsed="false">
      <c r="A194" s="49" t="n">
        <v>188</v>
      </c>
      <c r="B194" s="49" t="n">
        <f aca="false">ROUNDUP(A194/12,0)</f>
        <v>16</v>
      </c>
      <c r="C194" s="50" t="n">
        <f aca="false">E193*Annahmen!$B$58/12</f>
        <v>3036.34900087365</v>
      </c>
      <c r="D194" s="50" t="n">
        <f aca="false">MIN($C$3-C194,E193)</f>
        <v>2213.65099912636</v>
      </c>
      <c r="E194" s="50" t="n">
        <f aca="false">E193-D194</f>
        <v>1455233.86942022</v>
      </c>
      <c r="F194" s="50" t="n">
        <f aca="false">H193*Annahmen!$B$59/12</f>
        <v>2299.71587635223</v>
      </c>
      <c r="G194" s="50" t="n">
        <f aca="false">MIN($F$3-F194,H193)</f>
        <v>1525.28412364777</v>
      </c>
      <c r="H194" s="50" t="n">
        <f aca="false">H193-G194</f>
        <v>918361.066417246</v>
      </c>
      <c r="I194" s="50" t="n">
        <f aca="false">K193*Annahmen!$B$60/12</f>
        <v>5090.4454552847</v>
      </c>
      <c r="J194" s="50" t="n">
        <f aca="false">MIN($I$3-I194,K193)</f>
        <v>3023.63483261522</v>
      </c>
      <c r="K194" s="50" t="n">
        <f aca="false">K193-J194</f>
        <v>1524110.00175279</v>
      </c>
      <c r="L194" s="50" t="n">
        <f aca="false">C194+F194+I194</f>
        <v>10426.5103325106</v>
      </c>
      <c r="M194" s="50" t="n">
        <f aca="false">D194+G194+J194</f>
        <v>6762.56995538935</v>
      </c>
      <c r="N194" s="50" t="n">
        <f aca="false">L194+M194</f>
        <v>17189.0802878999</v>
      </c>
      <c r="O194" s="50" t="n">
        <f aca="false">E194+H194+K194</f>
        <v>3897704.93759026</v>
      </c>
    </row>
    <row r="195" customFormat="false" ht="15" hidden="false" customHeight="false" outlineLevel="0" collapsed="false">
      <c r="A195" s="49" t="n">
        <v>189</v>
      </c>
      <c r="B195" s="49" t="n">
        <f aca="false">ROUNDUP(A195/12,0)</f>
        <v>16</v>
      </c>
      <c r="C195" s="50" t="n">
        <f aca="false">E194*Annahmen!$B$58/12</f>
        <v>3031.7372279588</v>
      </c>
      <c r="D195" s="50" t="n">
        <f aca="false">MIN($C$3-C195,E194)</f>
        <v>2218.2627720412</v>
      </c>
      <c r="E195" s="50" t="n">
        <f aca="false">E194-D195</f>
        <v>1453015.60664818</v>
      </c>
      <c r="F195" s="50" t="n">
        <f aca="false">H194*Annahmen!$B$59/12</f>
        <v>2295.90266604311</v>
      </c>
      <c r="G195" s="50" t="n">
        <f aca="false">MIN($F$3-F195,H194)</f>
        <v>1529.09733395689</v>
      </c>
      <c r="H195" s="50" t="n">
        <f aca="false">H194-G195</f>
        <v>916831.969083289</v>
      </c>
      <c r="I195" s="50" t="n">
        <f aca="false">K194*Annahmen!$B$60/12</f>
        <v>5080.36667250932</v>
      </c>
      <c r="J195" s="50" t="n">
        <f aca="false">MIN($I$3-I195,K194)</f>
        <v>3033.7136153906</v>
      </c>
      <c r="K195" s="50" t="n">
        <f aca="false">K194-J195</f>
        <v>1521076.2881374</v>
      </c>
      <c r="L195" s="50" t="n">
        <f aca="false">C195+F195+I195</f>
        <v>10408.0065665112</v>
      </c>
      <c r="M195" s="50" t="n">
        <f aca="false">D195+G195+J195</f>
        <v>6781.0737213887</v>
      </c>
      <c r="N195" s="50" t="n">
        <f aca="false">L195+M195</f>
        <v>17189.0802878999</v>
      </c>
      <c r="O195" s="50" t="n">
        <f aca="false">E195+H195+K195</f>
        <v>3890923.86386888</v>
      </c>
    </row>
    <row r="196" customFormat="false" ht="15" hidden="false" customHeight="false" outlineLevel="0" collapsed="false">
      <c r="A196" s="49" t="n">
        <v>190</v>
      </c>
      <c r="B196" s="49" t="n">
        <f aca="false">ROUNDUP(A196/12,0)</f>
        <v>16</v>
      </c>
      <c r="C196" s="50" t="n">
        <f aca="false">E195*Annahmen!$B$58/12</f>
        <v>3027.11584718371</v>
      </c>
      <c r="D196" s="50" t="n">
        <f aca="false">MIN($C$3-C196,E195)</f>
        <v>2222.88415281629</v>
      </c>
      <c r="E196" s="50" t="n">
        <f aca="false">E195-D196</f>
        <v>1450792.72249537</v>
      </c>
      <c r="F196" s="50" t="n">
        <f aca="false">H195*Annahmen!$B$59/12</f>
        <v>2292.07992270822</v>
      </c>
      <c r="G196" s="50" t="n">
        <f aca="false">MIN($F$3-F196,H195)</f>
        <v>1532.92007729178</v>
      </c>
      <c r="H196" s="50" t="n">
        <f aca="false">H195-G196</f>
        <v>915299.049005997</v>
      </c>
      <c r="I196" s="50" t="n">
        <f aca="false">K195*Annahmen!$B$60/12</f>
        <v>5070.25429379135</v>
      </c>
      <c r="J196" s="50" t="n">
        <f aca="false">MIN($I$3-I196,K195)</f>
        <v>3043.82599410857</v>
      </c>
      <c r="K196" s="50" t="n">
        <f aca="false">K195-J196</f>
        <v>1518032.4621433</v>
      </c>
      <c r="L196" s="50" t="n">
        <f aca="false">C196+F196+I196</f>
        <v>10389.4500636833</v>
      </c>
      <c r="M196" s="50" t="n">
        <f aca="false">D196+G196+J196</f>
        <v>6799.63022421664</v>
      </c>
      <c r="N196" s="50" t="n">
        <f aca="false">L196+M196</f>
        <v>17189.0802878999</v>
      </c>
      <c r="O196" s="50" t="n">
        <f aca="false">E196+H196+K196</f>
        <v>3884124.23364466</v>
      </c>
    </row>
    <row r="197" customFormat="false" ht="15" hidden="false" customHeight="false" outlineLevel="0" collapsed="false">
      <c r="A197" s="49" t="n">
        <v>191</v>
      </c>
      <c r="B197" s="49" t="n">
        <f aca="false">ROUNDUP(A197/12,0)</f>
        <v>16</v>
      </c>
      <c r="C197" s="50" t="n">
        <f aca="false">E196*Annahmen!$B$58/12</f>
        <v>3022.48483853201</v>
      </c>
      <c r="D197" s="50" t="n">
        <f aca="false">MIN($C$3-C197,E196)</f>
        <v>2227.51516146799</v>
      </c>
      <c r="E197" s="50" t="n">
        <f aca="false">E196-D197</f>
        <v>1448565.2073339</v>
      </c>
      <c r="F197" s="50" t="n">
        <f aca="false">H196*Annahmen!$B$59/12</f>
        <v>2288.24762251499</v>
      </c>
      <c r="G197" s="50" t="n">
        <f aca="false">MIN($F$3-F197,H196)</f>
        <v>1536.75237748501</v>
      </c>
      <c r="H197" s="50" t="n">
        <f aca="false">H196-G197</f>
        <v>913762.296628512</v>
      </c>
      <c r="I197" s="50" t="n">
        <f aca="false">K196*Annahmen!$B$60/12</f>
        <v>5060.10820714432</v>
      </c>
      <c r="J197" s="50" t="n">
        <f aca="false">MIN($I$3-I197,K196)</f>
        <v>3053.9720807556</v>
      </c>
      <c r="K197" s="50" t="n">
        <f aca="false">K196-J197</f>
        <v>1514978.49006254</v>
      </c>
      <c r="L197" s="50" t="n">
        <f aca="false">C197+F197+I197</f>
        <v>10370.8406681913</v>
      </c>
      <c r="M197" s="50" t="n">
        <f aca="false">D197+G197+J197</f>
        <v>6818.2396197086</v>
      </c>
      <c r="N197" s="50" t="n">
        <f aca="false">L197+M197</f>
        <v>17189.0802878999</v>
      </c>
      <c r="O197" s="50" t="n">
        <f aca="false">E197+H197+K197</f>
        <v>3877305.99402495</v>
      </c>
    </row>
    <row r="198" customFormat="false" ht="15" hidden="false" customHeight="false" outlineLevel="0" collapsed="false">
      <c r="A198" s="49" t="n">
        <v>192</v>
      </c>
      <c r="B198" s="49" t="n">
        <f aca="false">ROUNDUP(A198/12,0)</f>
        <v>16</v>
      </c>
      <c r="C198" s="50" t="n">
        <f aca="false">E197*Annahmen!$B$58/12</f>
        <v>3017.84418194562</v>
      </c>
      <c r="D198" s="50" t="n">
        <f aca="false">MIN($C$3-C198,E197)</f>
        <v>2232.15581805438</v>
      </c>
      <c r="E198" s="50" t="n">
        <f aca="false">E197-D198</f>
        <v>1446333.05151584</v>
      </c>
      <c r="F198" s="50" t="n">
        <f aca="false">H197*Annahmen!$B$59/12</f>
        <v>2284.40574157128</v>
      </c>
      <c r="G198" s="50" t="n">
        <f aca="false">MIN($F$3-F198,H197)</f>
        <v>1540.59425842872</v>
      </c>
      <c r="H198" s="50" t="n">
        <f aca="false">H197-G198</f>
        <v>912221.702370083</v>
      </c>
      <c r="I198" s="50" t="n">
        <f aca="false">K197*Annahmen!$B$60/12</f>
        <v>5049.92830020847</v>
      </c>
      <c r="J198" s="50" t="n">
        <f aca="false">MIN($I$3-I198,K197)</f>
        <v>3064.15198769145</v>
      </c>
      <c r="K198" s="50" t="n">
        <f aca="false">K197-J198</f>
        <v>1511914.33807485</v>
      </c>
      <c r="L198" s="50" t="n">
        <f aca="false">C198+F198+I198</f>
        <v>10352.1782237254</v>
      </c>
      <c r="M198" s="50" t="n">
        <f aca="false">D198+G198+J198</f>
        <v>6836.90206417456</v>
      </c>
      <c r="N198" s="50" t="n">
        <f aca="false">L198+M198</f>
        <v>17189.0802878999</v>
      </c>
      <c r="O198" s="50" t="n">
        <f aca="false">E198+H198+K198</f>
        <v>3870469.09196078</v>
      </c>
    </row>
    <row r="199" customFormat="false" ht="15" hidden="false" customHeight="false" outlineLevel="0" collapsed="false">
      <c r="A199" s="49" t="n">
        <v>193</v>
      </c>
      <c r="B199" s="49" t="n">
        <f aca="false">ROUNDUP(A199/12,0)</f>
        <v>17</v>
      </c>
      <c r="C199" s="50" t="n">
        <f aca="false">E198*Annahmen!$B$58/12</f>
        <v>3013.19385732468</v>
      </c>
      <c r="D199" s="50" t="n">
        <f aca="false">MIN($C$3-C199,E198)</f>
        <v>2236.80614267533</v>
      </c>
      <c r="E199" s="50" t="n">
        <f aca="false">E198-D199</f>
        <v>1444096.24537317</v>
      </c>
      <c r="F199" s="50" t="n">
        <f aca="false">H198*Annahmen!$B$59/12</f>
        <v>2280.55425592521</v>
      </c>
      <c r="G199" s="50" t="n">
        <f aca="false">MIN($F$3-F199,H198)</f>
        <v>1544.44574407479</v>
      </c>
      <c r="H199" s="50" t="n">
        <f aca="false">H198-G199</f>
        <v>910677.256626009</v>
      </c>
      <c r="I199" s="50" t="n">
        <f aca="false">K198*Annahmen!$B$60/12</f>
        <v>5039.7144602495</v>
      </c>
      <c r="J199" s="50" t="n">
        <f aca="false">MIN($I$3-I199,K198)</f>
        <v>3074.36582765042</v>
      </c>
      <c r="K199" s="50" t="n">
        <f aca="false">K198-J199</f>
        <v>1508839.9722472</v>
      </c>
      <c r="L199" s="50" t="n">
        <f aca="false">C199+F199+I199</f>
        <v>10333.4625734994</v>
      </c>
      <c r="M199" s="50" t="n">
        <f aca="false">D199+G199+J199</f>
        <v>6855.61771440055</v>
      </c>
      <c r="N199" s="50" t="n">
        <f aca="false">L199+M199</f>
        <v>17189.0802878999</v>
      </c>
      <c r="O199" s="50" t="n">
        <f aca="false">E199+H199+K199</f>
        <v>3863613.47424638</v>
      </c>
    </row>
    <row r="200" customFormat="false" ht="15" hidden="false" customHeight="false" outlineLevel="0" collapsed="false">
      <c r="A200" s="49" t="n">
        <v>194</v>
      </c>
      <c r="B200" s="49" t="n">
        <f aca="false">ROUNDUP(A200/12,0)</f>
        <v>17</v>
      </c>
      <c r="C200" s="50" t="n">
        <f aca="false">E199*Annahmen!$B$58/12</f>
        <v>3008.53384452744</v>
      </c>
      <c r="D200" s="50" t="n">
        <f aca="false">MIN($C$3-C200,E199)</f>
        <v>2241.46615547257</v>
      </c>
      <c r="E200" s="50" t="n">
        <f aca="false">E199-D200</f>
        <v>1441854.7792177</v>
      </c>
      <c r="F200" s="50" t="n">
        <f aca="false">H199*Annahmen!$B$59/12</f>
        <v>2276.69314156502</v>
      </c>
      <c r="G200" s="50" t="n">
        <f aca="false">MIN($F$3-F200,H199)</f>
        <v>1548.30685843498</v>
      </c>
      <c r="H200" s="50" t="n">
        <f aca="false">H199-G200</f>
        <v>909128.949767574</v>
      </c>
      <c r="I200" s="50" t="n">
        <f aca="false">K199*Annahmen!$B$60/12</f>
        <v>5029.46657415733</v>
      </c>
      <c r="J200" s="50" t="n">
        <f aca="false">MIN($I$3-I200,K199)</f>
        <v>3084.61371374259</v>
      </c>
      <c r="K200" s="50" t="n">
        <f aca="false">K199-J200</f>
        <v>1505755.35853346</v>
      </c>
      <c r="L200" s="50" t="n">
        <f aca="false">C200+F200+I200</f>
        <v>10314.6935602498</v>
      </c>
      <c r="M200" s="50" t="n">
        <f aca="false">D200+G200+J200</f>
        <v>6874.38672765014</v>
      </c>
      <c r="N200" s="50" t="n">
        <f aca="false">L200+M200</f>
        <v>17189.0802878999</v>
      </c>
      <c r="O200" s="50" t="n">
        <f aca="false">E200+H200+K200</f>
        <v>3856739.08751872</v>
      </c>
    </row>
    <row r="201" customFormat="false" ht="15" hidden="false" customHeight="false" outlineLevel="0" collapsed="false">
      <c r="A201" s="49" t="n">
        <v>195</v>
      </c>
      <c r="B201" s="49" t="n">
        <f aca="false">ROUNDUP(A201/12,0)</f>
        <v>17</v>
      </c>
      <c r="C201" s="50" t="n">
        <f aca="false">E200*Annahmen!$B$58/12</f>
        <v>3003.8641233702</v>
      </c>
      <c r="D201" s="50" t="n">
        <f aca="false">MIN($C$3-C201,E200)</f>
        <v>2246.1358766298</v>
      </c>
      <c r="E201" s="50" t="n">
        <f aca="false">E200-D201</f>
        <v>1439608.64334107</v>
      </c>
      <c r="F201" s="50" t="n">
        <f aca="false">H200*Annahmen!$B$59/12</f>
        <v>2272.82237441893</v>
      </c>
      <c r="G201" s="50" t="n">
        <f aca="false">MIN($F$3-F201,H200)</f>
        <v>1552.17762558107</v>
      </c>
      <c r="H201" s="50" t="n">
        <f aca="false">H200-G201</f>
        <v>907576.772141993</v>
      </c>
      <c r="I201" s="50" t="n">
        <f aca="false">K200*Annahmen!$B$60/12</f>
        <v>5019.18452844485</v>
      </c>
      <c r="J201" s="50" t="n">
        <f aca="false">MIN($I$3-I201,K200)</f>
        <v>3094.89575945507</v>
      </c>
      <c r="K201" s="50" t="n">
        <f aca="false">K200-J201</f>
        <v>1502660.462774</v>
      </c>
      <c r="L201" s="50" t="n">
        <f aca="false">C201+F201+I201</f>
        <v>10295.871026234</v>
      </c>
      <c r="M201" s="50" t="n">
        <f aca="false">D201+G201+J201</f>
        <v>6893.20926166594</v>
      </c>
      <c r="N201" s="50" t="n">
        <f aca="false">L201+M201</f>
        <v>17189.0802878999</v>
      </c>
      <c r="O201" s="50" t="n">
        <f aca="false">E201+H201+K201</f>
        <v>3849845.87825706</v>
      </c>
    </row>
    <row r="202" customFormat="false" ht="15" hidden="false" customHeight="false" outlineLevel="0" collapsed="false">
      <c r="A202" s="49" t="n">
        <v>196</v>
      </c>
      <c r="B202" s="49" t="n">
        <f aca="false">ROUNDUP(A202/12,0)</f>
        <v>17</v>
      </c>
      <c r="C202" s="50" t="n">
        <f aca="false">E201*Annahmen!$B$58/12</f>
        <v>2999.18467362722</v>
      </c>
      <c r="D202" s="50" t="n">
        <f aca="false">MIN($C$3-C202,E201)</f>
        <v>2250.81532637278</v>
      </c>
      <c r="E202" s="50" t="n">
        <f aca="false">E201-D202</f>
        <v>1437357.82801469</v>
      </c>
      <c r="F202" s="50" t="n">
        <f aca="false">H201*Annahmen!$B$59/12</f>
        <v>2268.94193035498</v>
      </c>
      <c r="G202" s="50" t="n">
        <f aca="false">MIN($F$3-F202,H201)</f>
        <v>1556.05806964502</v>
      </c>
      <c r="H202" s="50" t="n">
        <f aca="false">H201-G202</f>
        <v>906020.714072348</v>
      </c>
      <c r="I202" s="50" t="n">
        <f aca="false">K201*Annahmen!$B$60/12</f>
        <v>5008.86820924667</v>
      </c>
      <c r="J202" s="50" t="n">
        <f aca="false">MIN($I$3-I202,K201)</f>
        <v>3105.21207865325</v>
      </c>
      <c r="K202" s="50" t="n">
        <f aca="false">K201-J202</f>
        <v>1499555.25069535</v>
      </c>
      <c r="L202" s="50" t="n">
        <f aca="false">C202+F202+I202</f>
        <v>10276.9948132289</v>
      </c>
      <c r="M202" s="50" t="n">
        <f aca="false">D202+G202+J202</f>
        <v>6912.08547467105</v>
      </c>
      <c r="N202" s="50" t="n">
        <f aca="false">L202+M202</f>
        <v>17189.0802878999</v>
      </c>
      <c r="O202" s="50" t="n">
        <f aca="false">E202+H202+K202</f>
        <v>3842933.79278239</v>
      </c>
    </row>
    <row r="203" customFormat="false" ht="15" hidden="false" customHeight="false" outlineLevel="0" collapsed="false">
      <c r="A203" s="49" t="n">
        <v>197</v>
      </c>
      <c r="B203" s="49" t="n">
        <f aca="false">ROUNDUP(A203/12,0)</f>
        <v>17</v>
      </c>
      <c r="C203" s="50" t="n">
        <f aca="false">E202*Annahmen!$B$58/12</f>
        <v>2994.49547503061</v>
      </c>
      <c r="D203" s="50" t="n">
        <f aca="false">MIN($C$3-C203,E202)</f>
        <v>2255.50452496939</v>
      </c>
      <c r="E203" s="50" t="n">
        <f aca="false">E202-D203</f>
        <v>1435102.32348972</v>
      </c>
      <c r="F203" s="50" t="n">
        <f aca="false">H202*Annahmen!$B$59/12</f>
        <v>2265.05178518087</v>
      </c>
      <c r="G203" s="50" t="n">
        <f aca="false">MIN($F$3-F203,H202)</f>
        <v>1559.94821481913</v>
      </c>
      <c r="H203" s="50" t="n">
        <f aca="false">H202-G203</f>
        <v>904460.765857528</v>
      </c>
      <c r="I203" s="50" t="n">
        <f aca="false">K202*Annahmen!$B$60/12</f>
        <v>4998.51750231782</v>
      </c>
      <c r="J203" s="50" t="n">
        <f aca="false">MIN($I$3-I203,K202)</f>
        <v>3115.5627855821</v>
      </c>
      <c r="K203" s="50" t="n">
        <f aca="false">K202-J203</f>
        <v>1496439.68790976</v>
      </c>
      <c r="L203" s="50" t="n">
        <f aca="false">C203+F203+I203</f>
        <v>10258.0647625293</v>
      </c>
      <c r="M203" s="50" t="n">
        <f aca="false">D203+G203+J203</f>
        <v>6931.01552537062</v>
      </c>
      <c r="N203" s="50" t="n">
        <f aca="false">L203+M203</f>
        <v>17189.0802878999</v>
      </c>
      <c r="O203" s="50" t="n">
        <f aca="false">E203+H203+K203</f>
        <v>3836002.77725702</v>
      </c>
    </row>
    <row r="204" customFormat="false" ht="15" hidden="false" customHeight="false" outlineLevel="0" collapsed="false">
      <c r="A204" s="49" t="n">
        <v>198</v>
      </c>
      <c r="B204" s="49" t="n">
        <f aca="false">ROUNDUP(A204/12,0)</f>
        <v>17</v>
      </c>
      <c r="C204" s="50" t="n">
        <f aca="false">E203*Annahmen!$B$58/12</f>
        <v>2989.79650727026</v>
      </c>
      <c r="D204" s="50" t="n">
        <f aca="false">MIN($C$3-C204,E203)</f>
        <v>2260.20349272974</v>
      </c>
      <c r="E204" s="50" t="n">
        <f aca="false">E203-D204</f>
        <v>1432842.11999699</v>
      </c>
      <c r="F204" s="50" t="n">
        <f aca="false">H203*Annahmen!$B$59/12</f>
        <v>2261.15191464382</v>
      </c>
      <c r="G204" s="50" t="n">
        <f aca="false">MIN($F$3-F204,H203)</f>
        <v>1563.84808535618</v>
      </c>
      <c r="H204" s="50" t="n">
        <f aca="false">H203-G204</f>
        <v>902896.917772172</v>
      </c>
      <c r="I204" s="50" t="n">
        <f aca="false">K203*Annahmen!$B$60/12</f>
        <v>4988.13229303255</v>
      </c>
      <c r="J204" s="50" t="n">
        <f aca="false">MIN($I$3-I204,K203)</f>
        <v>3125.94799486737</v>
      </c>
      <c r="K204" s="50" t="n">
        <f aca="false">K203-J204</f>
        <v>1493313.7399149</v>
      </c>
      <c r="L204" s="50" t="n">
        <f aca="false">C204+F204+I204</f>
        <v>10239.0807149466</v>
      </c>
      <c r="M204" s="50" t="n">
        <f aca="false">D204+G204+J204</f>
        <v>6949.9995729533</v>
      </c>
      <c r="N204" s="50" t="n">
        <f aca="false">L204+M204</f>
        <v>17189.0802878999</v>
      </c>
      <c r="O204" s="50" t="n">
        <f aca="false">E204+H204+K204</f>
        <v>3829052.77768406</v>
      </c>
    </row>
    <row r="205" customFormat="false" ht="15" hidden="false" customHeight="false" outlineLevel="0" collapsed="false">
      <c r="A205" s="49" t="n">
        <v>199</v>
      </c>
      <c r="B205" s="49" t="n">
        <f aca="false">ROUNDUP(A205/12,0)</f>
        <v>17</v>
      </c>
      <c r="C205" s="50" t="n">
        <f aca="false">E204*Annahmen!$B$58/12</f>
        <v>2985.08774999374</v>
      </c>
      <c r="D205" s="50" t="n">
        <f aca="false">MIN($C$3-C205,E204)</f>
        <v>2264.91225000626</v>
      </c>
      <c r="E205" s="50" t="n">
        <f aca="false">E204-D205</f>
        <v>1430577.20774699</v>
      </c>
      <c r="F205" s="50" t="n">
        <f aca="false">H204*Annahmen!$B$59/12</f>
        <v>2257.24229443043</v>
      </c>
      <c r="G205" s="50" t="n">
        <f aca="false">MIN($F$3-F205,H204)</f>
        <v>1567.75770556957</v>
      </c>
      <c r="H205" s="50" t="n">
        <f aca="false">H204-G205</f>
        <v>901329.160066603</v>
      </c>
      <c r="I205" s="50" t="n">
        <f aca="false">K204*Annahmen!$B$60/12</f>
        <v>4977.71246638299</v>
      </c>
      <c r="J205" s="50" t="n">
        <f aca="false">MIN($I$3-I205,K204)</f>
        <v>3136.36782151693</v>
      </c>
      <c r="K205" s="50" t="n">
        <f aca="false">K204-J205</f>
        <v>1490177.37209338</v>
      </c>
      <c r="L205" s="50" t="n">
        <f aca="false">C205+F205+I205</f>
        <v>10220.0425108072</v>
      </c>
      <c r="M205" s="50" t="n">
        <f aca="false">D205+G205+J205</f>
        <v>6969.03777709277</v>
      </c>
      <c r="N205" s="50" t="n">
        <f aca="false">L205+M205</f>
        <v>17189.0802878999</v>
      </c>
      <c r="O205" s="50" t="n">
        <f aca="false">E205+H205+K205</f>
        <v>3822083.73990697</v>
      </c>
    </row>
    <row r="206" customFormat="false" ht="15" hidden="false" customHeight="false" outlineLevel="0" collapsed="false">
      <c r="A206" s="49" t="n">
        <v>200</v>
      </c>
      <c r="B206" s="49" t="n">
        <f aca="false">ROUNDUP(A206/12,0)</f>
        <v>17</v>
      </c>
      <c r="C206" s="50" t="n">
        <f aca="false">E205*Annahmen!$B$58/12</f>
        <v>2980.36918280623</v>
      </c>
      <c r="D206" s="50" t="n">
        <f aca="false">MIN($C$3-C206,E205)</f>
        <v>2269.63081719378</v>
      </c>
      <c r="E206" s="50" t="n">
        <f aca="false">E205-D206</f>
        <v>1428307.57692979</v>
      </c>
      <c r="F206" s="50" t="n">
        <f aca="false">H205*Annahmen!$B$59/12</f>
        <v>2253.32290016651</v>
      </c>
      <c r="G206" s="50" t="n">
        <f aca="false">MIN($F$3-F206,H205)</f>
        <v>1571.6770998335</v>
      </c>
      <c r="H206" s="50" t="n">
        <f aca="false">H205-G206</f>
        <v>899757.482966769</v>
      </c>
      <c r="I206" s="50" t="n">
        <f aca="false">K205*Annahmen!$B$60/12</f>
        <v>4967.25790697793</v>
      </c>
      <c r="J206" s="50" t="n">
        <f aca="false">MIN($I$3-I206,K205)</f>
        <v>3146.82238092199</v>
      </c>
      <c r="K206" s="50" t="n">
        <f aca="false">K205-J206</f>
        <v>1487030.54971246</v>
      </c>
      <c r="L206" s="50" t="n">
        <f aca="false">C206+F206+I206</f>
        <v>10200.9499899507</v>
      </c>
      <c r="M206" s="50" t="n">
        <f aca="false">D206+G206+J206</f>
        <v>6988.13029794926</v>
      </c>
      <c r="N206" s="50" t="n">
        <f aca="false">L206+M206</f>
        <v>17189.0802878999</v>
      </c>
      <c r="O206" s="50" t="n">
        <f aca="false">E206+H206+K206</f>
        <v>3815095.60960902</v>
      </c>
    </row>
    <row r="207" customFormat="false" ht="15" hidden="false" customHeight="false" outlineLevel="0" collapsed="false">
      <c r="A207" s="49" t="n">
        <v>201</v>
      </c>
      <c r="B207" s="49" t="n">
        <f aca="false">ROUNDUP(A207/12,0)</f>
        <v>17</v>
      </c>
      <c r="C207" s="50" t="n">
        <f aca="false">E206*Annahmen!$B$58/12</f>
        <v>2975.6407852704</v>
      </c>
      <c r="D207" s="50" t="n">
        <f aca="false">MIN($C$3-C207,E206)</f>
        <v>2274.3592147296</v>
      </c>
      <c r="E207" s="50" t="n">
        <f aca="false">E206-D207</f>
        <v>1426033.21771506</v>
      </c>
      <c r="F207" s="50" t="n">
        <f aca="false">H206*Annahmen!$B$59/12</f>
        <v>2249.39370741692</v>
      </c>
      <c r="G207" s="50" t="n">
        <f aca="false">MIN($F$3-F207,H206)</f>
        <v>1575.60629258308</v>
      </c>
      <c r="H207" s="50" t="n">
        <f aca="false">H206-G207</f>
        <v>898181.876674186</v>
      </c>
      <c r="I207" s="50" t="n">
        <f aca="false">K206*Annahmen!$B$60/12</f>
        <v>4956.76849904153</v>
      </c>
      <c r="J207" s="50" t="n">
        <f aca="false">MIN($I$3-I207,K206)</f>
        <v>3157.31178885839</v>
      </c>
      <c r="K207" s="50" t="n">
        <f aca="false">K206-J207</f>
        <v>1483873.2379236</v>
      </c>
      <c r="L207" s="50" t="n">
        <f aca="false">C207+F207+I207</f>
        <v>10181.8029917289</v>
      </c>
      <c r="M207" s="50" t="n">
        <f aca="false">D207+G207+J207</f>
        <v>7007.27729617107</v>
      </c>
      <c r="N207" s="50" t="n">
        <f aca="false">L207+M207</f>
        <v>17189.0802878999</v>
      </c>
      <c r="O207" s="50" t="n">
        <f aca="false">E207+H207+K207</f>
        <v>3808088.33231285</v>
      </c>
    </row>
    <row r="208" customFormat="false" ht="15" hidden="false" customHeight="false" outlineLevel="0" collapsed="false">
      <c r="A208" s="49" t="n">
        <v>202</v>
      </c>
      <c r="B208" s="49" t="n">
        <f aca="false">ROUNDUP(A208/12,0)</f>
        <v>17</v>
      </c>
      <c r="C208" s="50" t="n">
        <f aca="false">E207*Annahmen!$B$58/12</f>
        <v>2970.90253690638</v>
      </c>
      <c r="D208" s="50" t="n">
        <f aca="false">MIN($C$3-C208,E207)</f>
        <v>2279.09746309362</v>
      </c>
      <c r="E208" s="50" t="n">
        <f aca="false">E207-D208</f>
        <v>1423754.12025197</v>
      </c>
      <c r="F208" s="50" t="n">
        <f aca="false">H207*Annahmen!$B$59/12</f>
        <v>2245.45469168546</v>
      </c>
      <c r="G208" s="50" t="n">
        <f aca="false">MIN($F$3-F208,H207)</f>
        <v>1579.54530831454</v>
      </c>
      <c r="H208" s="50" t="n">
        <f aca="false">H207-G208</f>
        <v>896602.331365872</v>
      </c>
      <c r="I208" s="50" t="n">
        <f aca="false">K207*Annahmen!$B$60/12</f>
        <v>4946.244126412</v>
      </c>
      <c r="J208" s="50" t="n">
        <f aca="false">MIN($I$3-I208,K207)</f>
        <v>3167.83616148792</v>
      </c>
      <c r="K208" s="50" t="n">
        <f aca="false">K207-J208</f>
        <v>1480705.40176211</v>
      </c>
      <c r="L208" s="50" t="n">
        <f aca="false">C208+F208+I208</f>
        <v>10162.6013550038</v>
      </c>
      <c r="M208" s="50" t="n">
        <f aca="false">D208+G208+J208</f>
        <v>7026.47893289608</v>
      </c>
      <c r="N208" s="50" t="n">
        <f aca="false">L208+M208</f>
        <v>17189.0802878999</v>
      </c>
      <c r="O208" s="50" t="n">
        <f aca="false">E208+H208+K208</f>
        <v>3801061.85337995</v>
      </c>
    </row>
    <row r="209" customFormat="false" ht="15" hidden="false" customHeight="false" outlineLevel="0" collapsed="false">
      <c r="A209" s="49" t="n">
        <v>203</v>
      </c>
      <c r="B209" s="49" t="n">
        <f aca="false">ROUNDUP(A209/12,0)</f>
        <v>17</v>
      </c>
      <c r="C209" s="50" t="n">
        <f aca="false">E208*Annahmen!$B$58/12</f>
        <v>2966.15441719161</v>
      </c>
      <c r="D209" s="50" t="n">
        <f aca="false">MIN($C$3-C209,E208)</f>
        <v>2283.8455828084</v>
      </c>
      <c r="E209" s="50" t="n">
        <f aca="false">E208-D209</f>
        <v>1421470.27466916</v>
      </c>
      <c r="F209" s="50" t="n">
        <f aca="false">H208*Annahmen!$B$59/12</f>
        <v>2241.50582841468</v>
      </c>
      <c r="G209" s="50" t="n">
        <f aca="false">MIN($F$3-F209,H208)</f>
        <v>1583.49417158532</v>
      </c>
      <c r="H209" s="50" t="n">
        <f aca="false">H208-G209</f>
        <v>895018.837194286</v>
      </c>
      <c r="I209" s="50" t="n">
        <f aca="false">K208*Annahmen!$B$60/12</f>
        <v>4935.68467254037</v>
      </c>
      <c r="J209" s="50" t="n">
        <f aca="false">MIN($I$3-I209,K208)</f>
        <v>3178.39561535955</v>
      </c>
      <c r="K209" s="50" t="n">
        <f aca="false">K208-J209</f>
        <v>1477527.00614675</v>
      </c>
      <c r="L209" s="50" t="n">
        <f aca="false">C209+F209+I209</f>
        <v>10143.3449181467</v>
      </c>
      <c r="M209" s="50" t="n">
        <f aca="false">D209+G209+J209</f>
        <v>7045.73536975327</v>
      </c>
      <c r="N209" s="50" t="n">
        <f aca="false">L209+M209</f>
        <v>17189.0802878999</v>
      </c>
      <c r="O209" s="50" t="n">
        <f aca="false">E209+H209+K209</f>
        <v>3794016.1180102</v>
      </c>
    </row>
    <row r="210" customFormat="false" ht="15" hidden="false" customHeight="false" outlineLevel="0" collapsed="false">
      <c r="A210" s="49" t="n">
        <v>204</v>
      </c>
      <c r="B210" s="49" t="n">
        <f aca="false">ROUNDUP(A210/12,0)</f>
        <v>17</v>
      </c>
      <c r="C210" s="50" t="n">
        <f aca="false">E209*Annahmen!$B$58/12</f>
        <v>2961.39640556076</v>
      </c>
      <c r="D210" s="50" t="n">
        <f aca="false">MIN($C$3-C210,E209)</f>
        <v>2288.60359443925</v>
      </c>
      <c r="E210" s="50" t="n">
        <f aca="false">E209-D210</f>
        <v>1419181.67107472</v>
      </c>
      <c r="F210" s="50" t="n">
        <f aca="false">H209*Annahmen!$B$59/12</f>
        <v>2237.54709298572</v>
      </c>
      <c r="G210" s="50" t="n">
        <f aca="false">MIN($F$3-F210,H209)</f>
        <v>1587.45290701429</v>
      </c>
      <c r="H210" s="50" t="n">
        <f aca="false">H209-G210</f>
        <v>893431.384287272</v>
      </c>
      <c r="I210" s="50" t="n">
        <f aca="false">K209*Annahmen!$B$60/12</f>
        <v>4925.09002048917</v>
      </c>
      <c r="J210" s="50" t="n">
        <f aca="false">MIN($I$3-I210,K209)</f>
        <v>3188.99026741075</v>
      </c>
      <c r="K210" s="50" t="n">
        <f aca="false">K209-J210</f>
        <v>1474338.01587934</v>
      </c>
      <c r="L210" s="50" t="n">
        <f aca="false">C210+F210+I210</f>
        <v>10124.0335190356</v>
      </c>
      <c r="M210" s="50" t="n">
        <f aca="false">D210+G210+J210</f>
        <v>7065.04676886428</v>
      </c>
      <c r="N210" s="50" t="n">
        <f aca="false">L210+M210</f>
        <v>17189.0802878999</v>
      </c>
      <c r="O210" s="50" t="n">
        <f aca="false">E210+H210+K210</f>
        <v>3786951.07124134</v>
      </c>
    </row>
    <row r="211" customFormat="false" ht="15" hidden="false" customHeight="false" outlineLevel="0" collapsed="false">
      <c r="A211" s="49" t="n">
        <v>205</v>
      </c>
      <c r="B211" s="49" t="n">
        <f aca="false">ROUNDUP(A211/12,0)</f>
        <v>18</v>
      </c>
      <c r="C211" s="50" t="n">
        <f aca="false">E210*Annahmen!$B$58/12</f>
        <v>2956.62848140567</v>
      </c>
      <c r="D211" s="50" t="n">
        <f aca="false">MIN($C$3-C211,E210)</f>
        <v>2293.37151859433</v>
      </c>
      <c r="E211" s="50" t="n">
        <f aca="false">E210-D211</f>
        <v>1416888.29955613</v>
      </c>
      <c r="F211" s="50" t="n">
        <f aca="false">H210*Annahmen!$B$59/12</f>
        <v>2233.57846071818</v>
      </c>
      <c r="G211" s="50" t="n">
        <f aca="false">MIN($F$3-F211,H210)</f>
        <v>1591.42153928182</v>
      </c>
      <c r="H211" s="50" t="n">
        <f aca="false">H210-G211</f>
        <v>891839.96274799</v>
      </c>
      <c r="I211" s="50" t="n">
        <f aca="false">K210*Annahmen!$B$60/12</f>
        <v>4914.46005293114</v>
      </c>
      <c r="J211" s="50" t="n">
        <f aca="false">MIN($I$3-I211,K210)</f>
        <v>3199.62023496878</v>
      </c>
      <c r="K211" s="50" t="n">
        <f aca="false">K210-J211</f>
        <v>1471138.39564437</v>
      </c>
      <c r="L211" s="50" t="n">
        <f aca="false">C211+F211+I211</f>
        <v>10104.666995055</v>
      </c>
      <c r="M211" s="50" t="n">
        <f aca="false">D211+G211+J211</f>
        <v>7084.41329284493</v>
      </c>
      <c r="N211" s="50" t="n">
        <f aca="false">L211+M211</f>
        <v>17189.0802878999</v>
      </c>
      <c r="O211" s="50" t="n">
        <f aca="false">E211+H211+K211</f>
        <v>3779866.65794849</v>
      </c>
    </row>
    <row r="212" customFormat="false" ht="15" hidden="false" customHeight="false" outlineLevel="0" collapsed="false">
      <c r="A212" s="49" t="n">
        <v>206</v>
      </c>
      <c r="B212" s="49" t="n">
        <f aca="false">ROUNDUP(A212/12,0)</f>
        <v>18</v>
      </c>
      <c r="C212" s="50" t="n">
        <f aca="false">E211*Annahmen!$B$58/12</f>
        <v>2951.85062407527</v>
      </c>
      <c r="D212" s="50" t="n">
        <f aca="false">MIN($C$3-C212,E211)</f>
        <v>2298.14937592473</v>
      </c>
      <c r="E212" s="50" t="n">
        <f aca="false">E211-D212</f>
        <v>1414590.1501802</v>
      </c>
      <c r="F212" s="50" t="n">
        <f aca="false">H211*Annahmen!$B$59/12</f>
        <v>2229.59990686998</v>
      </c>
      <c r="G212" s="50" t="n">
        <f aca="false">MIN($F$3-F212,H211)</f>
        <v>1595.40009313003</v>
      </c>
      <c r="H212" s="50" t="n">
        <f aca="false">H211-G212</f>
        <v>890244.56265486</v>
      </c>
      <c r="I212" s="50" t="n">
        <f aca="false">K211*Annahmen!$B$60/12</f>
        <v>4903.79465214791</v>
      </c>
      <c r="J212" s="50" t="n">
        <f aca="false">MIN($I$3-I212,K211)</f>
        <v>3210.28563575201</v>
      </c>
      <c r="K212" s="50" t="n">
        <f aca="false">K211-J212</f>
        <v>1467928.11000862</v>
      </c>
      <c r="L212" s="50" t="n">
        <f aca="false">C212+F212+I212</f>
        <v>10085.2451830932</v>
      </c>
      <c r="M212" s="50" t="n">
        <f aca="false">D212+G212+J212</f>
        <v>7103.83510480677</v>
      </c>
      <c r="N212" s="50" t="n">
        <f aca="false">L212+M212</f>
        <v>17189.0802878999</v>
      </c>
      <c r="O212" s="50" t="n">
        <f aca="false">E212+H212+K212</f>
        <v>3772762.82284369</v>
      </c>
    </row>
    <row r="213" customFormat="false" ht="15" hidden="false" customHeight="false" outlineLevel="0" collapsed="false">
      <c r="A213" s="49" t="n">
        <v>207</v>
      </c>
      <c r="B213" s="49" t="n">
        <f aca="false">ROUNDUP(A213/12,0)</f>
        <v>18</v>
      </c>
      <c r="C213" s="50" t="n">
        <f aca="false">E212*Annahmen!$B$58/12</f>
        <v>2947.06281287542</v>
      </c>
      <c r="D213" s="50" t="n">
        <f aca="false">MIN($C$3-C213,E212)</f>
        <v>2302.93718712458</v>
      </c>
      <c r="E213" s="50" t="n">
        <f aca="false">E212-D213</f>
        <v>1412287.21299308</v>
      </c>
      <c r="F213" s="50" t="n">
        <f aca="false">H212*Annahmen!$B$59/12</f>
        <v>2225.61140663715</v>
      </c>
      <c r="G213" s="50" t="n">
        <f aca="false">MIN($F$3-F213,H212)</f>
        <v>1599.38859336285</v>
      </c>
      <c r="H213" s="50" t="n">
        <f aca="false">H212-G213</f>
        <v>888645.174061497</v>
      </c>
      <c r="I213" s="50" t="n">
        <f aca="false">K212*Annahmen!$B$60/12</f>
        <v>4893.09370002874</v>
      </c>
      <c r="J213" s="50" t="n">
        <f aca="false">MIN($I$3-I213,K212)</f>
        <v>3220.98658787118</v>
      </c>
      <c r="K213" s="50" t="n">
        <f aca="false">K212-J213</f>
        <v>1464707.12342075</v>
      </c>
      <c r="L213" s="50" t="n">
        <f aca="false">C213+F213+I213</f>
        <v>10065.7679195413</v>
      </c>
      <c r="M213" s="50" t="n">
        <f aca="false">D213+G213+J213</f>
        <v>7123.31236835861</v>
      </c>
      <c r="N213" s="50" t="n">
        <f aca="false">L213+M213</f>
        <v>17189.0802878999</v>
      </c>
      <c r="O213" s="50" t="n">
        <f aca="false">E213+H213+K213</f>
        <v>3765639.51047533</v>
      </c>
    </row>
    <row r="214" customFormat="false" ht="15" hidden="false" customHeight="false" outlineLevel="0" collapsed="false">
      <c r="A214" s="49" t="n">
        <v>208</v>
      </c>
      <c r="B214" s="49" t="n">
        <f aca="false">ROUNDUP(A214/12,0)</f>
        <v>18</v>
      </c>
      <c r="C214" s="50" t="n">
        <f aca="false">E213*Annahmen!$B$58/12</f>
        <v>2942.26502706892</v>
      </c>
      <c r="D214" s="50" t="n">
        <f aca="false">MIN($C$3-C214,E213)</f>
        <v>2307.73497293109</v>
      </c>
      <c r="E214" s="50" t="n">
        <f aca="false">E213-D214</f>
        <v>1409979.47802015</v>
      </c>
      <c r="F214" s="50" t="n">
        <f aca="false">H213*Annahmen!$B$59/12</f>
        <v>2221.61293515374</v>
      </c>
      <c r="G214" s="50" t="n">
        <f aca="false">MIN($F$3-F214,H213)</f>
        <v>1603.38706484626</v>
      </c>
      <c r="H214" s="50" t="n">
        <f aca="false">H213-G214</f>
        <v>887041.786996651</v>
      </c>
      <c r="I214" s="50" t="n">
        <f aca="false">K213*Annahmen!$B$60/12</f>
        <v>4882.35707806917</v>
      </c>
      <c r="J214" s="50" t="n">
        <f aca="false">MIN($I$3-I214,K213)</f>
        <v>3231.72320983075</v>
      </c>
      <c r="K214" s="50" t="n">
        <f aca="false">K213-J214</f>
        <v>1461475.40021092</v>
      </c>
      <c r="L214" s="50" t="n">
        <f aca="false">C214+F214+I214</f>
        <v>10046.2350402918</v>
      </c>
      <c r="M214" s="50" t="n">
        <f aca="false">D214+G214+J214</f>
        <v>7142.8452476081</v>
      </c>
      <c r="N214" s="50" t="n">
        <f aca="false">L214+M214</f>
        <v>17189.0802878999</v>
      </c>
      <c r="O214" s="50" t="n">
        <f aca="false">E214+H214+K214</f>
        <v>3758496.66522772</v>
      </c>
    </row>
    <row r="215" customFormat="false" ht="15" hidden="false" customHeight="false" outlineLevel="0" collapsed="false">
      <c r="A215" s="49" t="n">
        <v>209</v>
      </c>
      <c r="B215" s="49" t="n">
        <f aca="false">ROUNDUP(A215/12,0)</f>
        <v>18</v>
      </c>
      <c r="C215" s="50" t="n">
        <f aca="false">E214*Annahmen!$B$58/12</f>
        <v>2937.45724587531</v>
      </c>
      <c r="D215" s="50" t="n">
        <f aca="false">MIN($C$3-C215,E214)</f>
        <v>2312.54275412469</v>
      </c>
      <c r="E215" s="50" t="n">
        <f aca="false">E214-D215</f>
        <v>1407666.93526602</v>
      </c>
      <c r="F215" s="50" t="n">
        <f aca="false">H214*Annahmen!$B$59/12</f>
        <v>2217.60446749163</v>
      </c>
      <c r="G215" s="50" t="n">
        <f aca="false">MIN($F$3-F215,H214)</f>
        <v>1607.39553250837</v>
      </c>
      <c r="H215" s="50" t="n">
        <f aca="false">H214-G215</f>
        <v>885434.391464143</v>
      </c>
      <c r="I215" s="50" t="n">
        <f aca="false">K214*Annahmen!$B$60/12</f>
        <v>4871.58466736973</v>
      </c>
      <c r="J215" s="50" t="n">
        <f aca="false">MIN($I$3-I215,K214)</f>
        <v>3242.49562053019</v>
      </c>
      <c r="K215" s="50" t="n">
        <f aca="false">K214-J215</f>
        <v>1458232.90459039</v>
      </c>
      <c r="L215" s="50" t="n">
        <f aca="false">C215+F215+I215</f>
        <v>10026.6463807367</v>
      </c>
      <c r="M215" s="50" t="n">
        <f aca="false">D215+G215+J215</f>
        <v>7162.43390716326</v>
      </c>
      <c r="N215" s="50" t="n">
        <f aca="false">L215+M215</f>
        <v>17189.0802878999</v>
      </c>
      <c r="O215" s="50" t="n">
        <f aca="false">E215+H215+K215</f>
        <v>3751334.23132056</v>
      </c>
    </row>
    <row r="216" customFormat="false" ht="15" hidden="false" customHeight="false" outlineLevel="0" collapsed="false">
      <c r="A216" s="49" t="n">
        <v>210</v>
      </c>
      <c r="B216" s="49" t="n">
        <f aca="false">ROUNDUP(A216/12,0)</f>
        <v>18</v>
      </c>
      <c r="C216" s="50" t="n">
        <f aca="false">E215*Annahmen!$B$58/12</f>
        <v>2932.63944847088</v>
      </c>
      <c r="D216" s="50" t="n">
        <f aca="false">MIN($C$3-C216,E215)</f>
        <v>2317.36055152912</v>
      </c>
      <c r="E216" s="50" t="n">
        <f aca="false">E215-D216</f>
        <v>1405349.57471449</v>
      </c>
      <c r="F216" s="50" t="n">
        <f aca="false">H215*Annahmen!$B$59/12</f>
        <v>2213.58597866036</v>
      </c>
      <c r="G216" s="50" t="n">
        <f aca="false">MIN($F$3-F216,H215)</f>
        <v>1611.41402133965</v>
      </c>
      <c r="H216" s="50" t="n">
        <f aca="false">H215-G216</f>
        <v>883822.977442803</v>
      </c>
      <c r="I216" s="50" t="n">
        <f aca="false">K215*Annahmen!$B$60/12</f>
        <v>4860.77634863463</v>
      </c>
      <c r="J216" s="50" t="n">
        <f aca="false">MIN($I$3-I216,K215)</f>
        <v>3253.30393926529</v>
      </c>
      <c r="K216" s="50" t="n">
        <f aca="false">K215-J216</f>
        <v>1454979.60065112</v>
      </c>
      <c r="L216" s="50" t="n">
        <f aca="false">C216+F216+I216</f>
        <v>10007.0017757659</v>
      </c>
      <c r="M216" s="50" t="n">
        <f aca="false">D216+G216+J216</f>
        <v>7182.07851213405</v>
      </c>
      <c r="N216" s="50" t="n">
        <f aca="false">L216+M216</f>
        <v>17189.0802878999</v>
      </c>
      <c r="O216" s="50" t="n">
        <f aca="false">E216+H216+K216</f>
        <v>3744152.15280842</v>
      </c>
    </row>
    <row r="217" customFormat="false" ht="15" hidden="false" customHeight="false" outlineLevel="0" collapsed="false">
      <c r="A217" s="49" t="n">
        <v>211</v>
      </c>
      <c r="B217" s="49" t="n">
        <f aca="false">ROUNDUP(A217/12,0)</f>
        <v>18</v>
      </c>
      <c r="C217" s="50" t="n">
        <f aca="false">E216*Annahmen!$B$58/12</f>
        <v>2927.81161398853</v>
      </c>
      <c r="D217" s="50" t="n">
        <f aca="false">MIN($C$3-C217,E216)</f>
        <v>2322.18838601147</v>
      </c>
      <c r="E217" s="50" t="n">
        <f aca="false">E216-D217</f>
        <v>1403027.38632848</v>
      </c>
      <c r="F217" s="50" t="n">
        <f aca="false">H216*Annahmen!$B$59/12</f>
        <v>2209.55744360701</v>
      </c>
      <c r="G217" s="50" t="n">
        <f aca="false">MIN($F$3-F217,H216)</f>
        <v>1615.442556393</v>
      </c>
      <c r="H217" s="50" t="n">
        <f aca="false">H216-G217</f>
        <v>882207.53488641</v>
      </c>
      <c r="I217" s="50" t="n">
        <f aca="false">K216*Annahmen!$B$60/12</f>
        <v>4849.93200217041</v>
      </c>
      <c r="J217" s="50" t="n">
        <f aca="false">MIN($I$3-I217,K216)</f>
        <v>3264.14828572951</v>
      </c>
      <c r="K217" s="50" t="n">
        <f aca="false">K216-J217</f>
        <v>1451715.45236539</v>
      </c>
      <c r="L217" s="50" t="n">
        <f aca="false">C217+F217+I217</f>
        <v>9987.30105976595</v>
      </c>
      <c r="M217" s="50" t="n">
        <f aca="false">D217+G217+J217</f>
        <v>7201.77922813397</v>
      </c>
      <c r="N217" s="50" t="n">
        <f aca="false">L217+M217</f>
        <v>17189.0802878999</v>
      </c>
      <c r="O217" s="50" t="n">
        <f aca="false">E217+H217+K217</f>
        <v>3736950.37358029</v>
      </c>
    </row>
    <row r="218" customFormat="false" ht="15" hidden="false" customHeight="false" outlineLevel="0" collapsed="false">
      <c r="A218" s="49" t="n">
        <v>212</v>
      </c>
      <c r="B218" s="49" t="n">
        <f aca="false">ROUNDUP(A218/12,0)</f>
        <v>18</v>
      </c>
      <c r="C218" s="50" t="n">
        <f aca="false">E217*Annahmen!$B$58/12</f>
        <v>2922.97372151767</v>
      </c>
      <c r="D218" s="50" t="n">
        <f aca="false">MIN($C$3-C218,E217)</f>
        <v>2327.02627848233</v>
      </c>
      <c r="E218" s="50" t="n">
        <f aca="false">E217-D218</f>
        <v>1400700.36005</v>
      </c>
      <c r="F218" s="50" t="n">
        <f aca="false">H217*Annahmen!$B$59/12</f>
        <v>2205.51883721602</v>
      </c>
      <c r="G218" s="50" t="n">
        <f aca="false">MIN($F$3-F218,H217)</f>
        <v>1619.48116278398</v>
      </c>
      <c r="H218" s="50" t="n">
        <f aca="false">H217-G218</f>
        <v>880588.053723626</v>
      </c>
      <c r="I218" s="50" t="n">
        <f aca="false">K217*Annahmen!$B$60/12</f>
        <v>4839.05150788465</v>
      </c>
      <c r="J218" s="50" t="n">
        <f aca="false">MIN($I$3-I218,K217)</f>
        <v>3275.02878001527</v>
      </c>
      <c r="K218" s="50" t="n">
        <f aca="false">K217-J218</f>
        <v>1448440.42358538</v>
      </c>
      <c r="L218" s="50" t="n">
        <f aca="false">C218+F218+I218</f>
        <v>9967.54406661835</v>
      </c>
      <c r="M218" s="50" t="n">
        <f aca="false">D218+G218+J218</f>
        <v>7221.53622128158</v>
      </c>
      <c r="N218" s="50" t="n">
        <f aca="false">L218+M218</f>
        <v>17189.0802878999</v>
      </c>
      <c r="O218" s="50" t="n">
        <f aca="false">E218+H218+K218</f>
        <v>3729728.83735901</v>
      </c>
    </row>
    <row r="219" customFormat="false" ht="15" hidden="false" customHeight="false" outlineLevel="0" collapsed="false">
      <c r="A219" s="49" t="n">
        <v>213</v>
      </c>
      <c r="B219" s="49" t="n">
        <f aca="false">ROUNDUP(A219/12,0)</f>
        <v>18</v>
      </c>
      <c r="C219" s="50" t="n">
        <f aca="false">E218*Annahmen!$B$58/12</f>
        <v>2918.12575010417</v>
      </c>
      <c r="D219" s="50" t="n">
        <f aca="false">MIN($C$3-C219,E218)</f>
        <v>2331.87424989583</v>
      </c>
      <c r="E219" s="50" t="n">
        <f aca="false">E218-D219</f>
        <v>1398368.48580011</v>
      </c>
      <c r="F219" s="50" t="n">
        <f aca="false">H218*Annahmen!$B$59/12</f>
        <v>2201.47013430907</v>
      </c>
      <c r="G219" s="50" t="n">
        <f aca="false">MIN($F$3-F219,H218)</f>
        <v>1623.52986569094</v>
      </c>
      <c r="H219" s="50" t="n">
        <f aca="false">H218-G219</f>
        <v>878964.523857935</v>
      </c>
      <c r="I219" s="50" t="n">
        <f aca="false">K218*Annahmen!$B$60/12</f>
        <v>4828.1347452846</v>
      </c>
      <c r="J219" s="50" t="n">
        <f aca="false">MIN($I$3-I219,K218)</f>
        <v>3285.94554261532</v>
      </c>
      <c r="K219" s="50" t="n">
        <f aca="false">K218-J219</f>
        <v>1445154.47804276</v>
      </c>
      <c r="L219" s="50" t="n">
        <f aca="false">C219+F219+I219</f>
        <v>9947.73062969783</v>
      </c>
      <c r="M219" s="50" t="n">
        <f aca="false">D219+G219+J219</f>
        <v>7241.34965820209</v>
      </c>
      <c r="N219" s="50" t="n">
        <f aca="false">L219+M219</f>
        <v>17189.0802878999</v>
      </c>
      <c r="O219" s="50" t="n">
        <f aca="false">E219+H219+K219</f>
        <v>3722487.4877008</v>
      </c>
    </row>
    <row r="220" customFormat="false" ht="15" hidden="false" customHeight="false" outlineLevel="0" collapsed="false">
      <c r="A220" s="49" t="n">
        <v>214</v>
      </c>
      <c r="B220" s="49" t="n">
        <f aca="false">ROUNDUP(A220/12,0)</f>
        <v>18</v>
      </c>
      <c r="C220" s="50" t="n">
        <f aca="false">E219*Annahmen!$B$58/12</f>
        <v>2913.26767875022</v>
      </c>
      <c r="D220" s="50" t="n">
        <f aca="false">MIN($C$3-C220,E219)</f>
        <v>2336.73232124978</v>
      </c>
      <c r="E220" s="50" t="n">
        <f aca="false">E219-D220</f>
        <v>1396031.75347886</v>
      </c>
      <c r="F220" s="50" t="n">
        <f aca="false">H219*Annahmen!$B$59/12</f>
        <v>2197.41130964484</v>
      </c>
      <c r="G220" s="50" t="n">
        <f aca="false">MIN($F$3-F220,H219)</f>
        <v>1627.58869035516</v>
      </c>
      <c r="H220" s="50" t="n">
        <f aca="false">H219-G220</f>
        <v>877336.93516758</v>
      </c>
      <c r="I220" s="50" t="n">
        <f aca="false">K219*Annahmen!$B$60/12</f>
        <v>4817.18159347588</v>
      </c>
      <c r="J220" s="50" t="n">
        <f aca="false">MIN($I$3-I220,K219)</f>
        <v>3296.89869442404</v>
      </c>
      <c r="K220" s="50" t="n">
        <f aca="false">K219-J220</f>
        <v>1441857.57934834</v>
      </c>
      <c r="L220" s="50" t="n">
        <f aca="false">C220+F220+I220</f>
        <v>9927.86058187094</v>
      </c>
      <c r="M220" s="50" t="n">
        <f aca="false">D220+G220+J220</f>
        <v>7261.21970602899</v>
      </c>
      <c r="N220" s="50" t="n">
        <f aca="false">L220+M220</f>
        <v>17189.0802878999</v>
      </c>
      <c r="O220" s="50" t="n">
        <f aca="false">E220+H220+K220</f>
        <v>3715226.26799478</v>
      </c>
    </row>
    <row r="221" customFormat="false" ht="15" hidden="false" customHeight="false" outlineLevel="0" collapsed="false">
      <c r="A221" s="49" t="n">
        <v>215</v>
      </c>
      <c r="B221" s="49" t="n">
        <f aca="false">ROUNDUP(A221/12,0)</f>
        <v>18</v>
      </c>
      <c r="C221" s="50" t="n">
        <f aca="false">E220*Annahmen!$B$58/12</f>
        <v>2908.39948641428</v>
      </c>
      <c r="D221" s="50" t="n">
        <f aca="false">MIN($C$3-C221,E220)</f>
        <v>2341.60051358572</v>
      </c>
      <c r="E221" s="50" t="n">
        <f aca="false">E220-D221</f>
        <v>1393690.15296527</v>
      </c>
      <c r="F221" s="50" t="n">
        <f aca="false">H220*Annahmen!$B$59/12</f>
        <v>2193.34233791895</v>
      </c>
      <c r="G221" s="50" t="n">
        <f aca="false">MIN($F$3-F221,H220)</f>
        <v>1631.65766208105</v>
      </c>
      <c r="H221" s="50" t="n">
        <f aca="false">H220-G221</f>
        <v>875705.277505499</v>
      </c>
      <c r="I221" s="50" t="n">
        <f aca="false">K220*Annahmen!$B$60/12</f>
        <v>4806.19193116113</v>
      </c>
      <c r="J221" s="50" t="n">
        <f aca="false">MIN($I$3-I221,K220)</f>
        <v>3307.88835673879</v>
      </c>
      <c r="K221" s="50" t="n">
        <f aca="false">K220-J221</f>
        <v>1438549.6909916</v>
      </c>
      <c r="L221" s="50" t="n">
        <f aca="false">C221+F221+I221</f>
        <v>9907.93375549436</v>
      </c>
      <c r="M221" s="50" t="n">
        <f aca="false">D221+G221+J221</f>
        <v>7281.14653240556</v>
      </c>
      <c r="N221" s="50" t="n">
        <f aca="false">L221+M221</f>
        <v>17189.0802878999</v>
      </c>
      <c r="O221" s="50" t="n">
        <f aca="false">E221+H221+K221</f>
        <v>3707945.12146237</v>
      </c>
    </row>
    <row r="222" customFormat="false" ht="15" hidden="false" customHeight="false" outlineLevel="0" collapsed="false">
      <c r="A222" s="49" t="n">
        <v>216</v>
      </c>
      <c r="B222" s="49" t="n">
        <f aca="false">ROUNDUP(A222/12,0)</f>
        <v>18</v>
      </c>
      <c r="C222" s="50" t="n">
        <f aca="false">E221*Annahmen!$B$58/12</f>
        <v>2903.52115201098</v>
      </c>
      <c r="D222" s="50" t="n">
        <f aca="false">MIN($C$3-C222,E221)</f>
        <v>2346.47884798902</v>
      </c>
      <c r="E222" s="50" t="n">
        <f aca="false">E221-D222</f>
        <v>1391343.67411728</v>
      </c>
      <c r="F222" s="50" t="n">
        <f aca="false">H221*Annahmen!$B$59/12</f>
        <v>2189.26319376375</v>
      </c>
      <c r="G222" s="50" t="n">
        <f aca="false">MIN($F$3-F222,H221)</f>
        <v>1635.73680623626</v>
      </c>
      <c r="H222" s="50" t="n">
        <f aca="false">H221-G222</f>
        <v>874069.540699263</v>
      </c>
      <c r="I222" s="50" t="n">
        <f aca="false">K221*Annahmen!$B$60/12</f>
        <v>4795.16563663867</v>
      </c>
      <c r="J222" s="50" t="n">
        <f aca="false">MIN($I$3-I222,K221)</f>
        <v>3318.91465126125</v>
      </c>
      <c r="K222" s="50" t="n">
        <f aca="false">K221-J222</f>
        <v>1435230.77634034</v>
      </c>
      <c r="L222" s="50" t="n">
        <f aca="false">C222+F222+I222</f>
        <v>9887.9499824134</v>
      </c>
      <c r="M222" s="50" t="n">
        <f aca="false">D222+G222+J222</f>
        <v>7301.13030548653</v>
      </c>
      <c r="N222" s="50" t="n">
        <f aca="false">L222+M222</f>
        <v>17189.0802878999</v>
      </c>
      <c r="O222" s="50" t="n">
        <f aca="false">E222+H222+K222</f>
        <v>3700643.99115688</v>
      </c>
    </row>
    <row r="223" customFormat="false" ht="15" hidden="false" customHeight="false" outlineLevel="0" collapsed="false">
      <c r="A223" s="49" t="n">
        <v>217</v>
      </c>
      <c r="B223" s="49" t="n">
        <f aca="false">ROUNDUP(A223/12,0)</f>
        <v>19</v>
      </c>
      <c r="C223" s="50" t="n">
        <f aca="false">E222*Annahmen!$B$58/12</f>
        <v>2898.632654411</v>
      </c>
      <c r="D223" s="50" t="n">
        <f aca="false">MIN($C$3-C223,E222)</f>
        <v>2351.367345589</v>
      </c>
      <c r="E223" s="50" t="n">
        <f aca="false">E222-D223</f>
        <v>1388992.30677169</v>
      </c>
      <c r="F223" s="50" t="n">
        <f aca="false">H222*Annahmen!$B$59/12</f>
        <v>2185.17385174816</v>
      </c>
      <c r="G223" s="50" t="n">
        <f aca="false">MIN($F$3-F223,H222)</f>
        <v>1639.82614825185</v>
      </c>
      <c r="H223" s="50" t="n">
        <f aca="false">H222-G223</f>
        <v>872429.714551011</v>
      </c>
      <c r="I223" s="50" t="n">
        <f aca="false">K222*Annahmen!$B$60/12</f>
        <v>4784.10258780113</v>
      </c>
      <c r="J223" s="50" t="n">
        <f aca="false">MIN($I$3-I223,K222)</f>
        <v>3329.97770009879</v>
      </c>
      <c r="K223" s="50" t="n">
        <f aca="false">K222-J223</f>
        <v>1431900.79864024</v>
      </c>
      <c r="L223" s="50" t="n">
        <f aca="false">C223+F223+I223</f>
        <v>9867.90909396029</v>
      </c>
      <c r="M223" s="50" t="n">
        <f aca="false">D223+G223+J223</f>
        <v>7321.17119393963</v>
      </c>
      <c r="N223" s="50" t="n">
        <f aca="false">L223+M223</f>
        <v>17189.0802878999</v>
      </c>
      <c r="O223" s="50" t="n">
        <f aca="false">E223+H223+K223</f>
        <v>3693322.81996294</v>
      </c>
    </row>
    <row r="224" customFormat="false" ht="15" hidden="false" customHeight="false" outlineLevel="0" collapsed="false">
      <c r="A224" s="49" t="n">
        <v>218</v>
      </c>
      <c r="B224" s="49" t="n">
        <f aca="false">ROUNDUP(A224/12,0)</f>
        <v>19</v>
      </c>
      <c r="C224" s="50" t="n">
        <f aca="false">E223*Annahmen!$B$58/12</f>
        <v>2893.73397244102</v>
      </c>
      <c r="D224" s="50" t="n">
        <f aca="false">MIN($C$3-C224,E223)</f>
        <v>2356.26602755898</v>
      </c>
      <c r="E224" s="50" t="n">
        <f aca="false">E223-D224</f>
        <v>1386636.04074413</v>
      </c>
      <c r="F224" s="50" t="n">
        <f aca="false">H223*Annahmen!$B$59/12</f>
        <v>2181.07428637753</v>
      </c>
      <c r="G224" s="50" t="n">
        <f aca="false">MIN($F$3-F224,H223)</f>
        <v>1643.92571362248</v>
      </c>
      <c r="H224" s="50" t="n">
        <f aca="false">H223-G224</f>
        <v>870785.788837388</v>
      </c>
      <c r="I224" s="50" t="n">
        <f aca="false">K223*Annahmen!$B$60/12</f>
        <v>4773.00266213414</v>
      </c>
      <c r="J224" s="50" t="n">
        <f aca="false">MIN($I$3-I224,K223)</f>
        <v>3341.07762576578</v>
      </c>
      <c r="K224" s="50" t="n">
        <f aca="false">K223-J224</f>
        <v>1428559.72101448</v>
      </c>
      <c r="L224" s="50" t="n">
        <f aca="false">C224+F224+I224</f>
        <v>9847.81092095269</v>
      </c>
      <c r="M224" s="50" t="n">
        <f aca="false">D224+G224+J224</f>
        <v>7341.26936694724</v>
      </c>
      <c r="N224" s="50" t="n">
        <f aca="false">L224+M224</f>
        <v>17189.0802878999</v>
      </c>
      <c r="O224" s="50" t="n">
        <f aca="false">E224+H224+K224</f>
        <v>3685981.550596</v>
      </c>
    </row>
    <row r="225" customFormat="false" ht="15" hidden="false" customHeight="false" outlineLevel="0" collapsed="false">
      <c r="A225" s="49" t="n">
        <v>219</v>
      </c>
      <c r="B225" s="49" t="n">
        <f aca="false">ROUNDUP(A225/12,0)</f>
        <v>19</v>
      </c>
      <c r="C225" s="50" t="n">
        <f aca="false">E224*Annahmen!$B$58/12</f>
        <v>2888.82508488361</v>
      </c>
      <c r="D225" s="50" t="n">
        <f aca="false">MIN($C$3-C225,E224)</f>
        <v>2361.17491511639</v>
      </c>
      <c r="E225" s="50" t="n">
        <f aca="false">E224-D225</f>
        <v>1384274.86582902</v>
      </c>
      <c r="F225" s="50" t="n">
        <f aca="false">H224*Annahmen!$B$59/12</f>
        <v>2176.96447209347</v>
      </c>
      <c r="G225" s="50" t="n">
        <f aca="false">MIN($F$3-F225,H224)</f>
        <v>1648.03552790653</v>
      </c>
      <c r="H225" s="50" t="n">
        <f aca="false">H224-G225</f>
        <v>869137.753309482</v>
      </c>
      <c r="I225" s="50" t="n">
        <f aca="false">K224*Annahmen!$B$60/12</f>
        <v>4761.86573671492</v>
      </c>
      <c r="J225" s="50" t="n">
        <f aca="false">MIN($I$3-I225,K224)</f>
        <v>3352.214551185</v>
      </c>
      <c r="K225" s="50" t="n">
        <f aca="false">K224-J225</f>
        <v>1425207.50646329</v>
      </c>
      <c r="L225" s="50" t="n">
        <f aca="false">C225+F225+I225</f>
        <v>9827.655293692</v>
      </c>
      <c r="M225" s="50" t="n">
        <f aca="false">D225+G225+J225</f>
        <v>7361.42499420793</v>
      </c>
      <c r="N225" s="50" t="n">
        <f aca="false">L225+M225</f>
        <v>17189.0802878999</v>
      </c>
      <c r="O225" s="50" t="n">
        <f aca="false">E225+H225+K225</f>
        <v>3678620.12560179</v>
      </c>
    </row>
    <row r="226" customFormat="false" ht="15" hidden="false" customHeight="false" outlineLevel="0" collapsed="false">
      <c r="A226" s="49" t="n">
        <v>220</v>
      </c>
      <c r="B226" s="49" t="n">
        <f aca="false">ROUNDUP(A226/12,0)</f>
        <v>19</v>
      </c>
      <c r="C226" s="50" t="n">
        <f aca="false">E225*Annahmen!$B$58/12</f>
        <v>2883.90597047712</v>
      </c>
      <c r="D226" s="50" t="n">
        <f aca="false">MIN($C$3-C226,E225)</f>
        <v>2366.09402952289</v>
      </c>
      <c r="E226" s="50" t="n">
        <f aca="false">E225-D226</f>
        <v>1381908.77179949</v>
      </c>
      <c r="F226" s="50" t="n">
        <f aca="false">H225*Annahmen!$B$59/12</f>
        <v>2172.8443832737</v>
      </c>
      <c r="G226" s="50" t="n">
        <f aca="false">MIN($F$3-F226,H225)</f>
        <v>1652.1556167263</v>
      </c>
      <c r="H226" s="50" t="n">
        <f aca="false">H225-G226</f>
        <v>867485.597692755</v>
      </c>
      <c r="I226" s="50" t="n">
        <f aca="false">K225*Annahmen!$B$60/12</f>
        <v>4750.69168821097</v>
      </c>
      <c r="J226" s="50" t="n">
        <f aca="false">MIN($I$3-I226,K225)</f>
        <v>3363.38859968895</v>
      </c>
      <c r="K226" s="50" t="n">
        <f aca="false">K225-J226</f>
        <v>1421844.1178636</v>
      </c>
      <c r="L226" s="50" t="n">
        <f aca="false">C226+F226+I226</f>
        <v>9807.44204196179</v>
      </c>
      <c r="M226" s="50" t="n">
        <f aca="false">D226+G226+J226</f>
        <v>7381.63824593814</v>
      </c>
      <c r="N226" s="50" t="n">
        <f aca="false">L226+M226</f>
        <v>17189.0802878999</v>
      </c>
      <c r="O226" s="50" t="n">
        <f aca="false">E226+H226+K226</f>
        <v>3671238.48735585</v>
      </c>
    </row>
    <row r="227" customFormat="false" ht="15" hidden="false" customHeight="false" outlineLevel="0" collapsed="false">
      <c r="A227" s="49" t="n">
        <v>221</v>
      </c>
      <c r="B227" s="49" t="n">
        <f aca="false">ROUNDUP(A227/12,0)</f>
        <v>19</v>
      </c>
      <c r="C227" s="50" t="n">
        <f aca="false">E226*Annahmen!$B$58/12</f>
        <v>2878.97660791561</v>
      </c>
      <c r="D227" s="50" t="n">
        <f aca="false">MIN($C$3-C227,E226)</f>
        <v>2371.02339208439</v>
      </c>
      <c r="E227" s="50" t="n">
        <f aca="false">E226-D227</f>
        <v>1379537.74840741</v>
      </c>
      <c r="F227" s="50" t="n">
        <f aca="false">H226*Annahmen!$B$59/12</f>
        <v>2168.71399423189</v>
      </c>
      <c r="G227" s="50" t="n">
        <f aca="false">MIN($F$3-F227,H226)</f>
        <v>1656.28600576811</v>
      </c>
      <c r="H227" s="50" t="n">
        <f aca="false">H226-G227</f>
        <v>865829.311686987</v>
      </c>
      <c r="I227" s="50" t="n">
        <f aca="false">K226*Annahmen!$B$60/12</f>
        <v>4739.48039287867</v>
      </c>
      <c r="J227" s="50" t="n">
        <f aca="false">MIN($I$3-I227,K226)</f>
        <v>3374.59989502125</v>
      </c>
      <c r="K227" s="50" t="n">
        <f aca="false">K226-J227</f>
        <v>1418469.51796858</v>
      </c>
      <c r="L227" s="50" t="n">
        <f aca="false">C227+F227+I227</f>
        <v>9787.17099502617</v>
      </c>
      <c r="M227" s="50" t="n">
        <f aca="false">D227+G227+J227</f>
        <v>7401.90929287375</v>
      </c>
      <c r="N227" s="50" t="n">
        <f aca="false">L227+M227</f>
        <v>17189.0802878999</v>
      </c>
      <c r="O227" s="50" t="n">
        <f aca="false">E227+H227+K227</f>
        <v>3663836.57806298</v>
      </c>
    </row>
    <row r="228" customFormat="false" ht="15" hidden="false" customHeight="false" outlineLevel="0" collapsed="false">
      <c r="A228" s="49" t="n">
        <v>222</v>
      </c>
      <c r="B228" s="49" t="n">
        <f aca="false">ROUNDUP(A228/12,0)</f>
        <v>19</v>
      </c>
      <c r="C228" s="50" t="n">
        <f aca="false">E227*Annahmen!$B$58/12</f>
        <v>2874.03697584877</v>
      </c>
      <c r="D228" s="50" t="n">
        <f aca="false">MIN($C$3-C228,E227)</f>
        <v>2375.96302415123</v>
      </c>
      <c r="E228" s="50" t="n">
        <f aca="false">E227-D228</f>
        <v>1377161.78538326</v>
      </c>
      <c r="F228" s="50" t="n">
        <f aca="false">H227*Annahmen!$B$59/12</f>
        <v>2164.57327921747</v>
      </c>
      <c r="G228" s="50" t="n">
        <f aca="false">MIN($F$3-F228,H227)</f>
        <v>1660.42672078253</v>
      </c>
      <c r="H228" s="50" t="n">
        <f aca="false">H227-G228</f>
        <v>864168.884966205</v>
      </c>
      <c r="I228" s="50" t="n">
        <f aca="false">K227*Annahmen!$B$60/12</f>
        <v>4728.23172656193</v>
      </c>
      <c r="J228" s="50" t="n">
        <f aca="false">MIN($I$3-I228,K227)</f>
        <v>3385.84856133799</v>
      </c>
      <c r="K228" s="50" t="n">
        <f aca="false">K227-J228</f>
        <v>1415083.66940724</v>
      </c>
      <c r="L228" s="50" t="n">
        <f aca="false">C228+F228+I228</f>
        <v>9766.84198162817</v>
      </c>
      <c r="M228" s="50" t="n">
        <f aca="false">D228+G228+J228</f>
        <v>7422.23830627175</v>
      </c>
      <c r="N228" s="50" t="n">
        <f aca="false">L228+M228</f>
        <v>17189.0802878999</v>
      </c>
      <c r="O228" s="50" t="n">
        <f aca="false">E228+H228+K228</f>
        <v>3656414.33975671</v>
      </c>
    </row>
    <row r="229" customFormat="false" ht="15" hidden="false" customHeight="false" outlineLevel="0" collapsed="false">
      <c r="A229" s="49" t="n">
        <v>223</v>
      </c>
      <c r="B229" s="49" t="n">
        <f aca="false">ROUNDUP(A229/12,0)</f>
        <v>19</v>
      </c>
      <c r="C229" s="50" t="n">
        <f aca="false">E228*Annahmen!$B$58/12</f>
        <v>2869.08705288179</v>
      </c>
      <c r="D229" s="50" t="n">
        <f aca="false">MIN($C$3-C229,E228)</f>
        <v>2380.91294711822</v>
      </c>
      <c r="E229" s="50" t="n">
        <f aca="false">E228-D229</f>
        <v>1374780.87243614</v>
      </c>
      <c r="F229" s="50" t="n">
        <f aca="false">H228*Annahmen!$B$59/12</f>
        <v>2160.42221241551</v>
      </c>
      <c r="G229" s="50" t="n">
        <f aca="false">MIN($F$3-F229,H228)</f>
        <v>1664.57778758449</v>
      </c>
      <c r="H229" s="50" t="n">
        <f aca="false">H228-G229</f>
        <v>862504.30717862</v>
      </c>
      <c r="I229" s="50" t="n">
        <f aca="false">K228*Annahmen!$B$60/12</f>
        <v>4716.94556469081</v>
      </c>
      <c r="J229" s="50" t="n">
        <f aca="false">MIN($I$3-I229,K228)</f>
        <v>3397.13472320911</v>
      </c>
      <c r="K229" s="50" t="n">
        <f aca="false">K228-J229</f>
        <v>1411686.53468403</v>
      </c>
      <c r="L229" s="50" t="n">
        <f aca="false">C229+F229+I229</f>
        <v>9746.45482998811</v>
      </c>
      <c r="M229" s="50" t="n">
        <f aca="false">D229+G229+J229</f>
        <v>7442.62545791182</v>
      </c>
      <c r="N229" s="50" t="n">
        <f aca="false">L229+M229</f>
        <v>17189.0802878999</v>
      </c>
      <c r="O229" s="50" t="n">
        <f aca="false">E229+H229+K229</f>
        <v>3648971.71429879</v>
      </c>
    </row>
    <row r="230" customFormat="false" ht="15" hidden="false" customHeight="false" outlineLevel="0" collapsed="false">
      <c r="A230" s="49" t="n">
        <v>224</v>
      </c>
      <c r="B230" s="49" t="n">
        <f aca="false">ROUNDUP(A230/12,0)</f>
        <v>19</v>
      </c>
      <c r="C230" s="50" t="n">
        <f aca="false">E229*Annahmen!$B$58/12</f>
        <v>2864.12681757529</v>
      </c>
      <c r="D230" s="50" t="n">
        <f aca="false">MIN($C$3-C230,E229)</f>
        <v>2385.87318242471</v>
      </c>
      <c r="E230" s="50" t="n">
        <f aca="false">E229-D230</f>
        <v>1372394.99925371</v>
      </c>
      <c r="F230" s="50" t="n">
        <f aca="false">H229*Annahmen!$B$59/12</f>
        <v>2156.26076794655</v>
      </c>
      <c r="G230" s="50" t="n">
        <f aca="false">MIN($F$3-F230,H229)</f>
        <v>1668.73923205345</v>
      </c>
      <c r="H230" s="50" t="n">
        <f aca="false">H229-G230</f>
        <v>860835.567946567</v>
      </c>
      <c r="I230" s="50" t="n">
        <f aca="false">K229*Annahmen!$B$60/12</f>
        <v>4705.62178228011</v>
      </c>
      <c r="J230" s="50" t="n">
        <f aca="false">MIN($I$3-I230,K229)</f>
        <v>3408.45850561981</v>
      </c>
      <c r="K230" s="50" t="n">
        <f aca="false">K229-J230</f>
        <v>1408278.07617841</v>
      </c>
      <c r="L230" s="50" t="n">
        <f aca="false">C230+F230+I230</f>
        <v>9726.00936780195</v>
      </c>
      <c r="M230" s="50" t="n">
        <f aca="false">D230+G230+J230</f>
        <v>7463.07092009797</v>
      </c>
      <c r="N230" s="50" t="n">
        <f aca="false">L230+M230</f>
        <v>17189.0802878999</v>
      </c>
      <c r="O230" s="50" t="n">
        <f aca="false">E230+H230+K230</f>
        <v>3641508.6433787</v>
      </c>
    </row>
    <row r="231" customFormat="false" ht="15" hidden="false" customHeight="false" outlineLevel="0" collapsed="false">
      <c r="A231" s="49" t="n">
        <v>225</v>
      </c>
      <c r="B231" s="49" t="n">
        <f aca="false">ROUNDUP(A231/12,0)</f>
        <v>19</v>
      </c>
      <c r="C231" s="50" t="n">
        <f aca="false">E230*Annahmen!$B$58/12</f>
        <v>2859.15624844524</v>
      </c>
      <c r="D231" s="50" t="n">
        <f aca="false">MIN($C$3-C231,E230)</f>
        <v>2390.84375155476</v>
      </c>
      <c r="E231" s="50" t="n">
        <f aca="false">E230-D231</f>
        <v>1370004.15550216</v>
      </c>
      <c r="F231" s="50" t="n">
        <f aca="false">H230*Annahmen!$B$59/12</f>
        <v>2152.08891986642</v>
      </c>
      <c r="G231" s="50" t="n">
        <f aca="false">MIN($F$3-F231,H230)</f>
        <v>1672.91108013359</v>
      </c>
      <c r="H231" s="50" t="n">
        <f aca="false">H230-G231</f>
        <v>859162.656866433</v>
      </c>
      <c r="I231" s="50" t="n">
        <f aca="false">K230*Annahmen!$B$60/12</f>
        <v>4694.26025392804</v>
      </c>
      <c r="J231" s="50" t="n">
        <f aca="false">MIN($I$3-I231,K230)</f>
        <v>3419.82003397188</v>
      </c>
      <c r="K231" s="50" t="n">
        <f aca="false">K230-J231</f>
        <v>1404858.25614444</v>
      </c>
      <c r="L231" s="50" t="n">
        <f aca="false">C231+F231+I231</f>
        <v>9705.5054222397</v>
      </c>
      <c r="M231" s="50" t="n">
        <f aca="false">D231+G231+J231</f>
        <v>7483.57486566022</v>
      </c>
      <c r="N231" s="50" t="n">
        <f aca="false">L231+M231</f>
        <v>17189.0802878999</v>
      </c>
      <c r="O231" s="50" t="n">
        <f aca="false">E231+H231+K231</f>
        <v>3634025.06851304</v>
      </c>
    </row>
    <row r="232" customFormat="false" ht="15" hidden="false" customHeight="false" outlineLevel="0" collapsed="false">
      <c r="A232" s="49" t="n">
        <v>226</v>
      </c>
      <c r="B232" s="49" t="n">
        <f aca="false">ROUNDUP(A232/12,0)</f>
        <v>19</v>
      </c>
      <c r="C232" s="50" t="n">
        <f aca="false">E231*Annahmen!$B$58/12</f>
        <v>2854.17532396283</v>
      </c>
      <c r="D232" s="50" t="n">
        <f aca="false">MIN($C$3-C232,E231)</f>
        <v>2395.82467603717</v>
      </c>
      <c r="E232" s="50" t="n">
        <f aca="false">E231-D232</f>
        <v>1367608.33082612</v>
      </c>
      <c r="F232" s="50" t="n">
        <f aca="false">H231*Annahmen!$B$59/12</f>
        <v>2147.90664216608</v>
      </c>
      <c r="G232" s="50" t="n">
        <f aca="false">MIN($F$3-F232,H231)</f>
        <v>1677.09335783392</v>
      </c>
      <c r="H232" s="50" t="n">
        <f aca="false">H231-G232</f>
        <v>857485.563508599</v>
      </c>
      <c r="I232" s="50" t="n">
        <f aca="false">K231*Annahmen!$B$60/12</f>
        <v>4682.86085381481</v>
      </c>
      <c r="J232" s="50" t="n">
        <f aca="false">MIN($I$3-I232,K231)</f>
        <v>3431.21943408511</v>
      </c>
      <c r="K232" s="50" t="n">
        <f aca="false">K231-J232</f>
        <v>1401427.03671036</v>
      </c>
      <c r="L232" s="50" t="n">
        <f aca="false">C232+F232+I232</f>
        <v>9684.94281994372</v>
      </c>
      <c r="M232" s="50" t="n">
        <f aca="false">D232+G232+J232</f>
        <v>7504.1374679562</v>
      </c>
      <c r="N232" s="50" t="n">
        <f aca="false">L232+M232</f>
        <v>17189.0802878999</v>
      </c>
      <c r="O232" s="50" t="n">
        <f aca="false">E232+H232+K232</f>
        <v>3626520.93104508</v>
      </c>
    </row>
    <row r="233" customFormat="false" ht="15" hidden="false" customHeight="false" outlineLevel="0" collapsed="false">
      <c r="A233" s="49" t="n">
        <v>227</v>
      </c>
      <c r="B233" s="49" t="n">
        <f aca="false">ROUNDUP(A233/12,0)</f>
        <v>19</v>
      </c>
      <c r="C233" s="50" t="n">
        <f aca="false">E232*Annahmen!$B$58/12</f>
        <v>2849.18402255442</v>
      </c>
      <c r="D233" s="50" t="n">
        <f aca="false">MIN($C$3-C233,E232)</f>
        <v>2400.81597744558</v>
      </c>
      <c r="E233" s="50" t="n">
        <f aca="false">E232-D233</f>
        <v>1365207.51484868</v>
      </c>
      <c r="F233" s="50" t="n">
        <f aca="false">H232*Annahmen!$B$59/12</f>
        <v>2143.7139087715</v>
      </c>
      <c r="G233" s="50" t="n">
        <f aca="false">MIN($F$3-F233,H232)</f>
        <v>1681.2860912285</v>
      </c>
      <c r="H233" s="50" t="n">
        <f aca="false">H232-G233</f>
        <v>855804.277417371</v>
      </c>
      <c r="I233" s="50" t="n">
        <f aca="false">K232*Annahmen!$B$60/12</f>
        <v>4671.42345570119</v>
      </c>
      <c r="J233" s="50" t="n">
        <f aca="false">MIN($I$3-I233,K232)</f>
        <v>3442.65683219873</v>
      </c>
      <c r="K233" s="50" t="n">
        <f aca="false">K232-J233</f>
        <v>1397984.37987816</v>
      </c>
      <c r="L233" s="50" t="n">
        <f aca="false">C233+F233+I233</f>
        <v>9664.32138702711</v>
      </c>
      <c r="M233" s="50" t="n">
        <f aca="false">D233+G233+J233</f>
        <v>7524.75890087282</v>
      </c>
      <c r="N233" s="50" t="n">
        <f aca="false">L233+M233</f>
        <v>17189.0802878999</v>
      </c>
      <c r="O233" s="50" t="n">
        <f aca="false">E233+H233+K233</f>
        <v>3618996.17214421</v>
      </c>
    </row>
    <row r="234" customFormat="false" ht="15" hidden="false" customHeight="false" outlineLevel="0" collapsed="false">
      <c r="A234" s="49" t="n">
        <v>228</v>
      </c>
      <c r="B234" s="49" t="n">
        <f aca="false">ROUNDUP(A234/12,0)</f>
        <v>19</v>
      </c>
      <c r="C234" s="50" t="n">
        <f aca="false">E233*Annahmen!$B$58/12</f>
        <v>2844.18232260141</v>
      </c>
      <c r="D234" s="50" t="n">
        <f aca="false">MIN($C$3-C234,E233)</f>
        <v>2405.81767739859</v>
      </c>
      <c r="E234" s="50" t="n">
        <f aca="false">E233-D234</f>
        <v>1362801.69717128</v>
      </c>
      <c r="F234" s="50" t="n">
        <f aca="false">H233*Annahmen!$B$59/12</f>
        <v>2139.51069354343</v>
      </c>
      <c r="G234" s="50" t="n">
        <f aca="false">MIN($F$3-F234,H233)</f>
        <v>1685.48930645658</v>
      </c>
      <c r="H234" s="50" t="n">
        <f aca="false">H233-G234</f>
        <v>854118.788110914</v>
      </c>
      <c r="I234" s="50" t="n">
        <f aca="false">K233*Annahmen!$B$60/12</f>
        <v>4659.94793292719</v>
      </c>
      <c r="J234" s="50" t="n">
        <f aca="false">MIN($I$3-I234,K233)</f>
        <v>3454.13235497273</v>
      </c>
      <c r="K234" s="50" t="n">
        <f aca="false">K233-J234</f>
        <v>1394530.24752318</v>
      </c>
      <c r="L234" s="50" t="n">
        <f aca="false">C234+F234+I234</f>
        <v>9643.64094907203</v>
      </c>
      <c r="M234" s="50" t="n">
        <f aca="false">D234+G234+J234</f>
        <v>7545.43933882789</v>
      </c>
      <c r="N234" s="50" t="n">
        <f aca="false">L234+M234</f>
        <v>17189.0802878999</v>
      </c>
      <c r="O234" s="50" t="n">
        <f aca="false">E234+H234+K234</f>
        <v>3611450.73280538</v>
      </c>
    </row>
    <row r="235" customFormat="false" ht="15" hidden="false" customHeight="false" outlineLevel="0" collapsed="false">
      <c r="A235" s="49" t="n">
        <v>229</v>
      </c>
      <c r="B235" s="49" t="n">
        <f aca="false">ROUNDUP(A235/12,0)</f>
        <v>20</v>
      </c>
      <c r="C235" s="50" t="n">
        <f aca="false">E234*Annahmen!$B$58/12</f>
        <v>2839.17020244016</v>
      </c>
      <c r="D235" s="50" t="n">
        <f aca="false">MIN($C$3-C235,E234)</f>
        <v>2410.82979755984</v>
      </c>
      <c r="E235" s="50" t="n">
        <f aca="false">E234-D235</f>
        <v>1360390.86737372</v>
      </c>
      <c r="F235" s="50" t="n">
        <f aca="false">H234*Annahmen!$B$59/12</f>
        <v>2135.29697027729</v>
      </c>
      <c r="G235" s="50" t="n">
        <f aca="false">MIN($F$3-F235,H234)</f>
        <v>1689.70302972272</v>
      </c>
      <c r="H235" s="50" t="n">
        <f aca="false">H234-G235</f>
        <v>852429.085081192</v>
      </c>
      <c r="I235" s="50" t="n">
        <f aca="false">K234*Annahmen!$B$60/12</f>
        <v>4648.43415841062</v>
      </c>
      <c r="J235" s="50" t="n">
        <f aca="false">MIN($I$3-I235,K234)</f>
        <v>3465.6461294893</v>
      </c>
      <c r="K235" s="50" t="n">
        <f aca="false">K234-J235</f>
        <v>1391064.6013937</v>
      </c>
      <c r="L235" s="50" t="n">
        <f aca="false">C235+F235+I235</f>
        <v>9622.90133112807</v>
      </c>
      <c r="M235" s="50" t="n">
        <f aca="false">D235+G235+J235</f>
        <v>7566.17895677186</v>
      </c>
      <c r="N235" s="50" t="n">
        <f aca="false">L235+M235</f>
        <v>17189.0802878999</v>
      </c>
      <c r="O235" s="50" t="n">
        <f aca="false">E235+H235+K235</f>
        <v>3603884.55384861</v>
      </c>
    </row>
    <row r="236" customFormat="false" ht="15" hidden="false" customHeight="false" outlineLevel="0" collapsed="false">
      <c r="A236" s="49" t="n">
        <v>230</v>
      </c>
      <c r="B236" s="49" t="n">
        <f aca="false">ROUNDUP(A236/12,0)</f>
        <v>20</v>
      </c>
      <c r="C236" s="50" t="n">
        <f aca="false">E235*Annahmen!$B$58/12</f>
        <v>2834.14764036191</v>
      </c>
      <c r="D236" s="50" t="n">
        <f aca="false">MIN($C$3-C236,E235)</f>
        <v>2415.85235963809</v>
      </c>
      <c r="E236" s="50" t="n">
        <f aca="false">E235-D236</f>
        <v>1357975.01501408</v>
      </c>
      <c r="F236" s="50" t="n">
        <f aca="false">H235*Annahmen!$B$59/12</f>
        <v>2131.07271270298</v>
      </c>
      <c r="G236" s="50" t="n">
        <f aca="false">MIN($F$3-F236,H235)</f>
        <v>1693.92728729702</v>
      </c>
      <c r="H236" s="50" t="n">
        <f aca="false">H235-G236</f>
        <v>850735.157793895</v>
      </c>
      <c r="I236" s="50" t="n">
        <f aca="false">K235*Annahmen!$B$60/12</f>
        <v>4636.88200464565</v>
      </c>
      <c r="J236" s="50" t="n">
        <f aca="false">MIN($I$3-I236,K235)</f>
        <v>3477.19828325427</v>
      </c>
      <c r="K236" s="50" t="n">
        <f aca="false">K235-J236</f>
        <v>1387587.40311044</v>
      </c>
      <c r="L236" s="50" t="n">
        <f aca="false">C236+F236+I236</f>
        <v>9602.10235771054</v>
      </c>
      <c r="M236" s="50" t="n">
        <f aca="false">D236+G236+J236</f>
        <v>7586.97793018938</v>
      </c>
      <c r="N236" s="50" t="n">
        <f aca="false">L236+M236</f>
        <v>17189.0802878999</v>
      </c>
      <c r="O236" s="50" t="n">
        <f aca="false">E236+H236+K236</f>
        <v>3596297.57591842</v>
      </c>
    </row>
    <row r="237" customFormat="false" ht="15" hidden="false" customHeight="false" outlineLevel="0" collapsed="false">
      <c r="A237" s="49" t="n">
        <v>231</v>
      </c>
      <c r="B237" s="49" t="n">
        <f aca="false">ROUNDUP(A237/12,0)</f>
        <v>20</v>
      </c>
      <c r="C237" s="50" t="n">
        <f aca="false">E236*Annahmen!$B$58/12</f>
        <v>2829.11461461267</v>
      </c>
      <c r="D237" s="50" t="n">
        <f aca="false">MIN($C$3-C237,E236)</f>
        <v>2420.88538538733</v>
      </c>
      <c r="E237" s="50" t="n">
        <f aca="false">E236-D237</f>
        <v>1355554.12962869</v>
      </c>
      <c r="F237" s="50" t="n">
        <f aca="false">H236*Annahmen!$B$59/12</f>
        <v>2126.83789448474</v>
      </c>
      <c r="G237" s="50" t="n">
        <f aca="false">MIN($F$3-F237,H236)</f>
        <v>1698.16210551527</v>
      </c>
      <c r="H237" s="50" t="n">
        <f aca="false">H236-G237</f>
        <v>849036.995688379</v>
      </c>
      <c r="I237" s="50" t="n">
        <f aca="false">K236*Annahmen!$B$60/12</f>
        <v>4625.29134370147</v>
      </c>
      <c r="J237" s="50" t="n">
        <f aca="false">MIN($I$3-I237,K236)</f>
        <v>3488.78894419845</v>
      </c>
      <c r="K237" s="50" t="n">
        <f aca="false">K236-J237</f>
        <v>1384098.61416624</v>
      </c>
      <c r="L237" s="50" t="n">
        <f aca="false">C237+F237+I237</f>
        <v>9581.24385279888</v>
      </c>
      <c r="M237" s="50" t="n">
        <f aca="false">D237+G237+J237</f>
        <v>7607.83643510105</v>
      </c>
      <c r="N237" s="50" t="n">
        <f aca="false">L237+M237</f>
        <v>17189.0802878999</v>
      </c>
      <c r="O237" s="50" t="n">
        <f aca="false">E237+H237+K237</f>
        <v>3588689.73948332</v>
      </c>
    </row>
    <row r="238" customFormat="false" ht="15" hidden="false" customHeight="false" outlineLevel="0" collapsed="false">
      <c r="A238" s="49" t="n">
        <v>232</v>
      </c>
      <c r="B238" s="49" t="n">
        <f aca="false">ROUNDUP(A238/12,0)</f>
        <v>20</v>
      </c>
      <c r="C238" s="50" t="n">
        <f aca="false">E237*Annahmen!$B$58/12</f>
        <v>2824.07110339311</v>
      </c>
      <c r="D238" s="50" t="n">
        <f aca="false">MIN($C$3-C238,E237)</f>
        <v>2425.92889660689</v>
      </c>
      <c r="E238" s="50" t="n">
        <f aca="false">E237-D238</f>
        <v>1353128.20073209</v>
      </c>
      <c r="F238" s="50" t="n">
        <f aca="false">H237*Annahmen!$B$59/12</f>
        <v>2122.59248922095</v>
      </c>
      <c r="G238" s="50" t="n">
        <f aca="false">MIN($F$3-F238,H237)</f>
        <v>1702.40751077905</v>
      </c>
      <c r="H238" s="50" t="n">
        <f aca="false">H237-G238</f>
        <v>847334.5881776</v>
      </c>
      <c r="I238" s="50" t="n">
        <f aca="false">K237*Annahmen!$B$60/12</f>
        <v>4613.66204722081</v>
      </c>
      <c r="J238" s="50" t="n">
        <f aca="false">MIN($I$3-I238,K237)</f>
        <v>3500.41824067911</v>
      </c>
      <c r="K238" s="50" t="n">
        <f aca="false">K237-J238</f>
        <v>1380598.19592556</v>
      </c>
      <c r="L238" s="50" t="n">
        <f aca="false">C238+F238+I238</f>
        <v>9560.32563983487</v>
      </c>
      <c r="M238" s="50" t="n">
        <f aca="false">D238+G238+J238</f>
        <v>7628.75464806505</v>
      </c>
      <c r="N238" s="50" t="n">
        <f aca="false">L238+M238</f>
        <v>17189.0802878999</v>
      </c>
      <c r="O238" s="50" t="n">
        <f aca="false">E238+H238+K238</f>
        <v>3581060.98483525</v>
      </c>
    </row>
    <row r="239" customFormat="false" ht="15" hidden="false" customHeight="false" outlineLevel="0" collapsed="false">
      <c r="A239" s="49" t="n">
        <v>233</v>
      </c>
      <c r="B239" s="49" t="n">
        <f aca="false">ROUNDUP(A239/12,0)</f>
        <v>20</v>
      </c>
      <c r="C239" s="50" t="n">
        <f aca="false">E238*Annahmen!$B$58/12</f>
        <v>2819.01708485851</v>
      </c>
      <c r="D239" s="50" t="n">
        <f aca="false">MIN($C$3-C239,E238)</f>
        <v>2430.98291514149</v>
      </c>
      <c r="E239" s="50" t="n">
        <f aca="false">E238-D239</f>
        <v>1350697.21781695</v>
      </c>
      <c r="F239" s="50" t="n">
        <f aca="false">H238*Annahmen!$B$59/12</f>
        <v>2118.336470444</v>
      </c>
      <c r="G239" s="50" t="n">
        <f aca="false">MIN($F$3-F239,H238)</f>
        <v>1706.663529556</v>
      </c>
      <c r="H239" s="50" t="n">
        <f aca="false">H238-G239</f>
        <v>845627.924648044</v>
      </c>
      <c r="I239" s="50" t="n">
        <f aca="false">K238*Annahmen!$B$60/12</f>
        <v>4601.99398641855</v>
      </c>
      <c r="J239" s="50" t="n">
        <f aca="false">MIN($I$3-I239,K238)</f>
        <v>3512.08630148137</v>
      </c>
      <c r="K239" s="50" t="n">
        <f aca="false">K238-J239</f>
        <v>1377086.10962408</v>
      </c>
      <c r="L239" s="50" t="n">
        <f aca="false">C239+F239+I239</f>
        <v>9539.34754172106</v>
      </c>
      <c r="M239" s="50" t="n">
        <f aca="false">D239+G239+J239</f>
        <v>7649.73274617887</v>
      </c>
      <c r="N239" s="50" t="n">
        <f aca="false">L239+M239</f>
        <v>17189.0802878999</v>
      </c>
      <c r="O239" s="50" t="n">
        <f aca="false">E239+H239+K239</f>
        <v>3573411.25208907</v>
      </c>
    </row>
    <row r="240" customFormat="false" ht="15" hidden="false" customHeight="false" outlineLevel="0" collapsed="false">
      <c r="A240" s="49" t="n">
        <v>234</v>
      </c>
      <c r="B240" s="49" t="n">
        <f aca="false">ROUNDUP(A240/12,0)</f>
        <v>20</v>
      </c>
      <c r="C240" s="50" t="n">
        <f aca="false">E239*Annahmen!$B$58/12</f>
        <v>2813.95253711864</v>
      </c>
      <c r="D240" s="50" t="n">
        <f aca="false">MIN($C$3-C240,E239)</f>
        <v>2436.04746288137</v>
      </c>
      <c r="E240" s="50" t="n">
        <f aca="false">E239-D240</f>
        <v>1348261.17035406</v>
      </c>
      <c r="F240" s="50" t="n">
        <f aca="false">H239*Annahmen!$B$59/12</f>
        <v>2114.06981162011</v>
      </c>
      <c r="G240" s="50" t="n">
        <f aca="false">MIN($F$3-F240,H239)</f>
        <v>1710.93018837989</v>
      </c>
      <c r="H240" s="50" t="n">
        <f aca="false">H239-G240</f>
        <v>843916.994459664</v>
      </c>
      <c r="I240" s="50" t="n">
        <f aca="false">K239*Annahmen!$B$60/12</f>
        <v>4590.28703208027</v>
      </c>
      <c r="J240" s="50" t="n">
        <f aca="false">MIN($I$3-I240,K239)</f>
        <v>3523.79325581965</v>
      </c>
      <c r="K240" s="50" t="n">
        <f aca="false">K239-J240</f>
        <v>1373562.31636826</v>
      </c>
      <c r="L240" s="50" t="n">
        <f aca="false">C240+F240+I240</f>
        <v>9518.30938081902</v>
      </c>
      <c r="M240" s="50" t="n">
        <f aca="false">D240+G240+J240</f>
        <v>7670.7709070809</v>
      </c>
      <c r="N240" s="50" t="n">
        <f aca="false">L240+M240</f>
        <v>17189.0802878999</v>
      </c>
      <c r="O240" s="50" t="n">
        <f aca="false">E240+H240+K240</f>
        <v>3565740.48118199</v>
      </c>
    </row>
    <row r="241" customFormat="false" ht="15" hidden="false" customHeight="false" outlineLevel="0" collapsed="false">
      <c r="A241" s="49" t="n">
        <v>235</v>
      </c>
      <c r="B241" s="49" t="n">
        <f aca="false">ROUNDUP(A241/12,0)</f>
        <v>20</v>
      </c>
      <c r="C241" s="50" t="n">
        <f aca="false">E240*Annahmen!$B$58/12</f>
        <v>2808.87743823763</v>
      </c>
      <c r="D241" s="50" t="n">
        <f aca="false">MIN($C$3-C241,E240)</f>
        <v>2441.12256176237</v>
      </c>
      <c r="E241" s="50" t="n">
        <f aca="false">E240-D241</f>
        <v>1345820.0477923</v>
      </c>
      <c r="F241" s="50" t="n">
        <f aca="false">H240*Annahmen!$B$59/12</f>
        <v>2109.79248614916</v>
      </c>
      <c r="G241" s="50" t="n">
        <f aca="false">MIN($F$3-F241,H240)</f>
        <v>1715.20751385084</v>
      </c>
      <c r="H241" s="50" t="n">
        <f aca="false">H240-G241</f>
        <v>842201.786945814</v>
      </c>
      <c r="I241" s="50" t="n">
        <f aca="false">K240*Annahmen!$B$60/12</f>
        <v>4578.54105456088</v>
      </c>
      <c r="J241" s="50" t="n">
        <f aca="false">MIN($I$3-I241,K240)</f>
        <v>3535.53923333904</v>
      </c>
      <c r="K241" s="50" t="n">
        <f aca="false">K240-J241</f>
        <v>1370026.77713492</v>
      </c>
      <c r="L241" s="50" t="n">
        <f aca="false">C241+F241+I241</f>
        <v>9497.21097894767</v>
      </c>
      <c r="M241" s="50" t="n">
        <f aca="false">D241+G241+J241</f>
        <v>7691.86930895226</v>
      </c>
      <c r="N241" s="50" t="n">
        <f aca="false">L241+M241</f>
        <v>17189.0802878999</v>
      </c>
      <c r="O241" s="50" t="n">
        <f aca="false">E241+H241+K241</f>
        <v>3558048.61187304</v>
      </c>
    </row>
    <row r="242" customFormat="false" ht="15" hidden="false" customHeight="false" outlineLevel="0" collapsed="false">
      <c r="A242" s="49" t="n">
        <v>236</v>
      </c>
      <c r="B242" s="49" t="n">
        <f aca="false">ROUNDUP(A242/12,0)</f>
        <v>20</v>
      </c>
      <c r="C242" s="50" t="n">
        <f aca="false">E241*Annahmen!$B$58/12</f>
        <v>2803.79176623396</v>
      </c>
      <c r="D242" s="50" t="n">
        <f aca="false">MIN($C$3-C242,E241)</f>
        <v>2446.20823376604</v>
      </c>
      <c r="E242" s="50" t="n">
        <f aca="false">E241-D242</f>
        <v>1343373.83955854</v>
      </c>
      <c r="F242" s="50" t="n">
        <f aca="false">H241*Annahmen!$B$59/12</f>
        <v>2105.50446736453</v>
      </c>
      <c r="G242" s="50" t="n">
        <f aca="false">MIN($F$3-F242,H241)</f>
        <v>1719.49553263547</v>
      </c>
      <c r="H242" s="50" t="n">
        <f aca="false">H241-G242</f>
        <v>840482.291413178</v>
      </c>
      <c r="I242" s="50" t="n">
        <f aca="false">K241*Annahmen!$B$60/12</f>
        <v>4566.75592378308</v>
      </c>
      <c r="J242" s="50" t="n">
        <f aca="false">MIN($I$3-I242,K241)</f>
        <v>3547.32436411684</v>
      </c>
      <c r="K242" s="50" t="n">
        <f aca="false">K241-J242</f>
        <v>1366479.45277081</v>
      </c>
      <c r="L242" s="50" t="n">
        <f aca="false">C242+F242+I242</f>
        <v>9476.05215738157</v>
      </c>
      <c r="M242" s="50" t="n">
        <f aca="false">D242+G242+J242</f>
        <v>7713.02813051835</v>
      </c>
      <c r="N242" s="50" t="n">
        <f aca="false">L242+M242</f>
        <v>17189.0802878999</v>
      </c>
      <c r="O242" s="50" t="n">
        <f aca="false">E242+H242+K242</f>
        <v>3550335.58374252</v>
      </c>
    </row>
    <row r="243" customFormat="false" ht="15" hidden="false" customHeight="false" outlineLevel="0" collapsed="false">
      <c r="A243" s="49" t="n">
        <v>237</v>
      </c>
      <c r="B243" s="49" t="n">
        <f aca="false">ROUNDUP(A243/12,0)</f>
        <v>20</v>
      </c>
      <c r="C243" s="50" t="n">
        <f aca="false">E242*Annahmen!$B$58/12</f>
        <v>2798.69549908028</v>
      </c>
      <c r="D243" s="50" t="n">
        <f aca="false">MIN($C$3-C243,E242)</f>
        <v>2451.30450091972</v>
      </c>
      <c r="E243" s="50" t="n">
        <f aca="false">E242-D243</f>
        <v>1340922.53505762</v>
      </c>
      <c r="F243" s="50" t="n">
        <f aca="false">H242*Annahmen!$B$59/12</f>
        <v>2101.20572853294</v>
      </c>
      <c r="G243" s="50" t="n">
        <f aca="false">MIN($F$3-F243,H242)</f>
        <v>1723.79427146706</v>
      </c>
      <c r="H243" s="50" t="n">
        <f aca="false">H242-G243</f>
        <v>838758.497141711</v>
      </c>
      <c r="I243" s="50" t="n">
        <f aca="false">K242*Annahmen!$B$60/12</f>
        <v>4554.93150923602</v>
      </c>
      <c r="J243" s="50" t="n">
        <f aca="false">MIN($I$3-I243,K242)</f>
        <v>3559.1487786639</v>
      </c>
      <c r="K243" s="50" t="n">
        <f aca="false">K242-J243</f>
        <v>1362920.30399214</v>
      </c>
      <c r="L243" s="50" t="n">
        <f aca="false">C243+F243+I243</f>
        <v>9454.83273684925</v>
      </c>
      <c r="M243" s="50" t="n">
        <f aca="false">D243+G243+J243</f>
        <v>7734.24755105068</v>
      </c>
      <c r="N243" s="50" t="n">
        <f aca="false">L243+M243</f>
        <v>17189.0802878999</v>
      </c>
      <c r="O243" s="50" t="n">
        <f aca="false">E243+H243+K243</f>
        <v>3542601.33619147</v>
      </c>
    </row>
    <row r="244" customFormat="false" ht="15" hidden="false" customHeight="false" outlineLevel="0" collapsed="false">
      <c r="A244" s="49" t="n">
        <v>238</v>
      </c>
      <c r="B244" s="49" t="n">
        <f aca="false">ROUNDUP(A244/12,0)</f>
        <v>20</v>
      </c>
      <c r="C244" s="50" t="n">
        <f aca="false">E243*Annahmen!$B$58/12</f>
        <v>2793.58861470337</v>
      </c>
      <c r="D244" s="50" t="n">
        <f aca="false">MIN($C$3-C244,E243)</f>
        <v>2456.41138529664</v>
      </c>
      <c r="E244" s="50" t="n">
        <f aca="false">E243-D244</f>
        <v>1338466.12367232</v>
      </c>
      <c r="F244" s="50" t="n">
        <f aca="false">H243*Annahmen!$B$59/12</f>
        <v>2096.89624285428</v>
      </c>
      <c r="G244" s="50" t="n">
        <f aca="false">MIN($F$3-F244,H243)</f>
        <v>1728.10375714572</v>
      </c>
      <c r="H244" s="50" t="n">
        <f aca="false">H243-G244</f>
        <v>837030.393384565</v>
      </c>
      <c r="I244" s="50" t="n">
        <f aca="false">K243*Annahmen!$B$60/12</f>
        <v>4543.06767997381</v>
      </c>
      <c r="J244" s="50" t="n">
        <f aca="false">MIN($I$3-I244,K243)</f>
        <v>3571.01260792611</v>
      </c>
      <c r="K244" s="50" t="n">
        <f aca="false">K243-J244</f>
        <v>1359349.29138422</v>
      </c>
      <c r="L244" s="50" t="n">
        <f aca="false">C244+F244+I244</f>
        <v>9433.55253753145</v>
      </c>
      <c r="M244" s="50" t="n">
        <f aca="false">D244+G244+J244</f>
        <v>7755.52775036847</v>
      </c>
      <c r="N244" s="50" t="n">
        <f aca="false">L244+M244</f>
        <v>17189.0802878999</v>
      </c>
      <c r="O244" s="50" t="n">
        <f aca="false">E244+H244+K244</f>
        <v>3534845.8084411</v>
      </c>
    </row>
    <row r="245" customFormat="false" ht="15" hidden="false" customHeight="false" outlineLevel="0" collapsed="false">
      <c r="A245" s="49" t="n">
        <v>239</v>
      </c>
      <c r="B245" s="49" t="n">
        <f aca="false">ROUNDUP(A245/12,0)</f>
        <v>20</v>
      </c>
      <c r="C245" s="50" t="n">
        <f aca="false">E244*Annahmen!$B$58/12</f>
        <v>2788.471090984</v>
      </c>
      <c r="D245" s="50" t="n">
        <f aca="false">MIN($C$3-C245,E244)</f>
        <v>2461.52890901601</v>
      </c>
      <c r="E245" s="50" t="n">
        <f aca="false">E244-D245</f>
        <v>1336004.5947633</v>
      </c>
      <c r="F245" s="50" t="n">
        <f aca="false">H244*Annahmen!$B$59/12</f>
        <v>2092.57598346141</v>
      </c>
      <c r="G245" s="50" t="n">
        <f aca="false">MIN($F$3-F245,H244)</f>
        <v>1732.42401653859</v>
      </c>
      <c r="H245" s="50" t="n">
        <f aca="false">H244-G245</f>
        <v>835297.969368027</v>
      </c>
      <c r="I245" s="50" t="n">
        <f aca="false">K244*Annahmen!$B$60/12</f>
        <v>4531.16430461406</v>
      </c>
      <c r="J245" s="50" t="n">
        <f aca="false">MIN($I$3-I245,K244)</f>
        <v>3582.91598328586</v>
      </c>
      <c r="K245" s="50" t="n">
        <f aca="false">K244-J245</f>
        <v>1355766.37540093</v>
      </c>
      <c r="L245" s="50" t="n">
        <f aca="false">C245+F245+I245</f>
        <v>9412.21137905947</v>
      </c>
      <c r="M245" s="50" t="n">
        <f aca="false">D245+G245+J245</f>
        <v>7776.86890884046</v>
      </c>
      <c r="N245" s="50" t="n">
        <f aca="false">L245+M245</f>
        <v>17189.0802878999</v>
      </c>
      <c r="O245" s="50" t="n">
        <f aca="false">E245+H245+K245</f>
        <v>3527068.93953226</v>
      </c>
    </row>
    <row r="246" customFormat="false" ht="15" hidden="false" customHeight="false" outlineLevel="0" collapsed="false">
      <c r="A246" s="49" t="n">
        <v>240</v>
      </c>
      <c r="B246" s="49" t="n">
        <f aca="false">ROUNDUP(A246/12,0)</f>
        <v>20</v>
      </c>
      <c r="C246" s="50" t="n">
        <f aca="false">E245*Annahmen!$B$58/12</f>
        <v>2783.34290575688</v>
      </c>
      <c r="D246" s="50" t="n">
        <f aca="false">MIN($C$3-C246,E245)</f>
        <v>2466.65709424312</v>
      </c>
      <c r="E246" s="50" t="n">
        <f aca="false">E245-D246</f>
        <v>1333537.93766906</v>
      </c>
      <c r="F246" s="50" t="n">
        <f aca="false">H245*Annahmen!$B$59/12</f>
        <v>2088.24492342007</v>
      </c>
      <c r="G246" s="50" t="n">
        <f aca="false">MIN($F$3-F246,H245)</f>
        <v>1736.75507657994</v>
      </c>
      <c r="H246" s="50" t="n">
        <f aca="false">H245-G246</f>
        <v>833561.214291447</v>
      </c>
      <c r="I246" s="50" t="n">
        <f aca="false">K245*Annahmen!$B$60/12</f>
        <v>4519.22125133644</v>
      </c>
      <c r="J246" s="50" t="n">
        <f aca="false">MIN($I$3-I246,K245)</f>
        <v>3594.85903656348</v>
      </c>
      <c r="K246" s="50" t="n">
        <f aca="false">K245-J246</f>
        <v>1352171.51636437</v>
      </c>
      <c r="L246" s="50" t="n">
        <f aca="false">C246+F246+I246</f>
        <v>9390.80908051338</v>
      </c>
      <c r="M246" s="50" t="n">
        <f aca="false">D246+G246+J246</f>
        <v>7798.27120738654</v>
      </c>
      <c r="N246" s="50" t="n">
        <f aca="false">L246+M246</f>
        <v>17189.0802878999</v>
      </c>
      <c r="O246" s="50" t="n">
        <f aca="false">E246+H246+K246</f>
        <v>3519270.66832487</v>
      </c>
    </row>
    <row r="247" customFormat="false" ht="15" hidden="false" customHeight="false" outlineLevel="0" collapsed="false">
      <c r="A247" s="49" t="n">
        <v>241</v>
      </c>
      <c r="B247" s="49" t="n">
        <f aca="false">ROUNDUP(A247/12,0)</f>
        <v>21</v>
      </c>
      <c r="C247" s="50" t="n">
        <f aca="false">E246*Annahmen!$B$58/12</f>
        <v>2778.20403681054</v>
      </c>
      <c r="D247" s="50" t="n">
        <f aca="false">MIN($C$3-C247,E246)</f>
        <v>2471.79596318946</v>
      </c>
      <c r="E247" s="50" t="n">
        <f aca="false">E246-D247</f>
        <v>1331066.14170587</v>
      </c>
      <c r="F247" s="50" t="n">
        <f aca="false">H246*Annahmen!$B$59/12</f>
        <v>2083.90303572862</v>
      </c>
      <c r="G247" s="50" t="n">
        <f aca="false">MIN($F$3-F247,H246)</f>
        <v>1741.09696427138</v>
      </c>
      <c r="H247" s="50" t="n">
        <f aca="false">H246-G247</f>
        <v>831820.117327175</v>
      </c>
      <c r="I247" s="50" t="n">
        <f aca="false">K246*Annahmen!$B$60/12</f>
        <v>4507.23838788123</v>
      </c>
      <c r="J247" s="50" t="n">
        <f aca="false">MIN($I$3-I247,K246)</f>
        <v>3606.84190001869</v>
      </c>
      <c r="K247" s="50" t="n">
        <f aca="false">K246-J247</f>
        <v>1348564.67446435</v>
      </c>
      <c r="L247" s="50" t="n">
        <f aca="false">C247+F247+I247</f>
        <v>9369.34546042038</v>
      </c>
      <c r="M247" s="50" t="n">
        <f aca="false">D247+G247+J247</f>
        <v>7819.73482747954</v>
      </c>
      <c r="N247" s="50" t="n">
        <f aca="false">L247+M247</f>
        <v>17189.0802878999</v>
      </c>
      <c r="O247" s="50" t="n">
        <f aca="false">E247+H247+K247</f>
        <v>3511450.93349739</v>
      </c>
    </row>
    <row r="248" customFormat="false" ht="15" hidden="false" customHeight="false" outlineLevel="0" collapsed="false">
      <c r="A248" s="49" t="n">
        <v>242</v>
      </c>
      <c r="B248" s="49" t="n">
        <f aca="false">ROUNDUP(A248/12,0)</f>
        <v>21</v>
      </c>
      <c r="C248" s="50" t="n">
        <f aca="false">E247*Annahmen!$B$58/12</f>
        <v>2773.05446188723</v>
      </c>
      <c r="D248" s="50" t="n">
        <f aca="false">MIN($C$3-C248,E247)</f>
        <v>2476.94553811277</v>
      </c>
      <c r="E248" s="50" t="n">
        <f aca="false">E247-D248</f>
        <v>1328589.19616776</v>
      </c>
      <c r="F248" s="50" t="n">
        <f aca="false">H247*Annahmen!$B$59/12</f>
        <v>2079.55029331794</v>
      </c>
      <c r="G248" s="50" t="n">
        <f aca="false">MIN($F$3-F248,H247)</f>
        <v>1745.44970668206</v>
      </c>
      <c r="H248" s="50" t="n">
        <f aca="false">H247-G248</f>
        <v>830074.667620493</v>
      </c>
      <c r="I248" s="50" t="n">
        <f aca="false">K247*Annahmen!$B$60/12</f>
        <v>4495.21558154783</v>
      </c>
      <c r="J248" s="50" t="n">
        <f aca="false">MIN($I$3-I248,K247)</f>
        <v>3618.86470635209</v>
      </c>
      <c r="K248" s="50" t="n">
        <f aca="false">K247-J248</f>
        <v>1344945.809758</v>
      </c>
      <c r="L248" s="50" t="n">
        <f aca="false">C248+F248+I248</f>
        <v>9347.820336753</v>
      </c>
      <c r="M248" s="50" t="n">
        <f aca="false">D248+G248+J248</f>
        <v>7841.25995114693</v>
      </c>
      <c r="N248" s="50" t="n">
        <f aca="false">L248+M248</f>
        <v>17189.0802878999</v>
      </c>
      <c r="O248" s="50" t="n">
        <f aca="false">E248+H248+K248</f>
        <v>3503609.67354625</v>
      </c>
    </row>
    <row r="249" customFormat="false" ht="15" hidden="false" customHeight="false" outlineLevel="0" collapsed="false">
      <c r="A249" s="49" t="n">
        <v>243</v>
      </c>
      <c r="B249" s="49" t="n">
        <f aca="false">ROUNDUP(A249/12,0)</f>
        <v>21</v>
      </c>
      <c r="C249" s="50" t="n">
        <f aca="false">E248*Annahmen!$B$58/12</f>
        <v>2767.89415868283</v>
      </c>
      <c r="D249" s="50" t="n">
        <f aca="false">MIN($C$3-C249,E248)</f>
        <v>2482.10584131717</v>
      </c>
      <c r="E249" s="50" t="n">
        <f aca="false">E248-D249</f>
        <v>1326107.09032644</v>
      </c>
      <c r="F249" s="50" t="n">
        <f aca="false">H248*Annahmen!$B$59/12</f>
        <v>2075.18666905123</v>
      </c>
      <c r="G249" s="50" t="n">
        <f aca="false">MIN($F$3-F249,H248)</f>
        <v>1749.81333094877</v>
      </c>
      <c r="H249" s="50" t="n">
        <f aca="false">H248-G249</f>
        <v>828324.854289544</v>
      </c>
      <c r="I249" s="50" t="n">
        <f aca="false">K248*Annahmen!$B$60/12</f>
        <v>4483.15269919332</v>
      </c>
      <c r="J249" s="50" t="n">
        <f aca="false">MIN($I$3-I249,K248)</f>
        <v>3630.9275887066</v>
      </c>
      <c r="K249" s="50" t="n">
        <f aca="false">K248-J249</f>
        <v>1341314.88216929</v>
      </c>
      <c r="L249" s="50" t="n">
        <f aca="false">C249+F249+I249</f>
        <v>9326.23352692738</v>
      </c>
      <c r="M249" s="50" t="n">
        <f aca="false">D249+G249+J249</f>
        <v>7862.84676097254</v>
      </c>
      <c r="N249" s="50" t="n">
        <f aca="false">L249+M249</f>
        <v>17189.0802878999</v>
      </c>
      <c r="O249" s="50" t="n">
        <f aca="false">E249+H249+K249</f>
        <v>3495746.82678528</v>
      </c>
    </row>
    <row r="250" customFormat="false" ht="15" hidden="false" customHeight="false" outlineLevel="0" collapsed="false">
      <c r="A250" s="49" t="n">
        <v>244</v>
      </c>
      <c r="B250" s="49" t="n">
        <f aca="false">ROUNDUP(A250/12,0)</f>
        <v>21</v>
      </c>
      <c r="C250" s="50" t="n">
        <f aca="false">E249*Annahmen!$B$58/12</f>
        <v>2762.72310484675</v>
      </c>
      <c r="D250" s="50" t="n">
        <f aca="false">MIN($C$3-C250,E249)</f>
        <v>2487.27689515325</v>
      </c>
      <c r="E250" s="50" t="n">
        <f aca="false">E249-D250</f>
        <v>1323619.81343129</v>
      </c>
      <c r="F250" s="50" t="n">
        <f aca="false">H249*Annahmen!$B$59/12</f>
        <v>2070.81213572386</v>
      </c>
      <c r="G250" s="50" t="n">
        <f aca="false">MIN($F$3-F250,H249)</f>
        <v>1754.18786427614</v>
      </c>
      <c r="H250" s="50" t="n">
        <f aca="false">H249-G250</f>
        <v>826570.666425268</v>
      </c>
      <c r="I250" s="50" t="n">
        <f aca="false">K249*Annahmen!$B$60/12</f>
        <v>4471.04960723097</v>
      </c>
      <c r="J250" s="50" t="n">
        <f aca="false">MIN($I$3-I250,K249)</f>
        <v>3643.03068066895</v>
      </c>
      <c r="K250" s="50" t="n">
        <f aca="false">K249-J250</f>
        <v>1337671.85148862</v>
      </c>
      <c r="L250" s="50" t="n">
        <f aca="false">C250+F250+I250</f>
        <v>9304.58484780158</v>
      </c>
      <c r="M250" s="50" t="n">
        <f aca="false">D250+G250+J250</f>
        <v>7884.49544009835</v>
      </c>
      <c r="N250" s="50" t="n">
        <f aca="false">L250+M250</f>
        <v>17189.0802878999</v>
      </c>
      <c r="O250" s="50" t="n">
        <f aca="false">E250+H250+K250</f>
        <v>3487862.33134518</v>
      </c>
    </row>
    <row r="251" customFormat="false" ht="15" hidden="false" customHeight="false" outlineLevel="0" collapsed="false">
      <c r="A251" s="49" t="n">
        <v>245</v>
      </c>
      <c r="B251" s="49" t="n">
        <f aca="false">ROUNDUP(A251/12,0)</f>
        <v>21</v>
      </c>
      <c r="C251" s="50" t="n">
        <f aca="false">E250*Annahmen!$B$58/12</f>
        <v>2757.54127798185</v>
      </c>
      <c r="D251" s="50" t="n">
        <f aca="false">MIN($C$3-C251,E250)</f>
        <v>2492.45872201816</v>
      </c>
      <c r="E251" s="50" t="n">
        <f aca="false">E250-D251</f>
        <v>1321127.35470927</v>
      </c>
      <c r="F251" s="50" t="n">
        <f aca="false">H250*Annahmen!$B$59/12</f>
        <v>2066.42666606317</v>
      </c>
      <c r="G251" s="50" t="n">
        <f aca="false">MIN($F$3-F251,H250)</f>
        <v>1758.57333393683</v>
      </c>
      <c r="H251" s="50" t="n">
        <f aca="false">H250-G251</f>
        <v>824812.093091331</v>
      </c>
      <c r="I251" s="50" t="n">
        <f aca="false">K250*Annahmen!$B$60/12</f>
        <v>4458.90617162874</v>
      </c>
      <c r="J251" s="50" t="n">
        <f aca="false">MIN($I$3-I251,K250)</f>
        <v>3655.17411627118</v>
      </c>
      <c r="K251" s="50" t="n">
        <f aca="false">K250-J251</f>
        <v>1334016.67737235</v>
      </c>
      <c r="L251" s="50" t="n">
        <f aca="false">C251+F251+I251</f>
        <v>9282.87411567376</v>
      </c>
      <c r="M251" s="50" t="n">
        <f aca="false">D251+G251+J251</f>
        <v>7906.20617222617</v>
      </c>
      <c r="N251" s="50" t="n">
        <f aca="false">L251+M251</f>
        <v>17189.0802878999</v>
      </c>
      <c r="O251" s="50" t="n">
        <f aca="false">E251+H251+K251</f>
        <v>3479956.12517295</v>
      </c>
    </row>
    <row r="252" customFormat="false" ht="15" hidden="false" customHeight="false" outlineLevel="0" collapsed="false">
      <c r="A252" s="49" t="n">
        <v>246</v>
      </c>
      <c r="B252" s="49" t="n">
        <f aca="false">ROUNDUP(A252/12,0)</f>
        <v>21</v>
      </c>
      <c r="C252" s="50" t="n">
        <f aca="false">E251*Annahmen!$B$58/12</f>
        <v>2752.34865564431</v>
      </c>
      <c r="D252" s="50" t="n">
        <f aca="false">MIN($C$3-C252,E251)</f>
        <v>2497.65134435569</v>
      </c>
      <c r="E252" s="50" t="n">
        <f aca="false">E251-D252</f>
        <v>1318629.70336491</v>
      </c>
      <c r="F252" s="50" t="n">
        <f aca="false">H251*Annahmen!$B$59/12</f>
        <v>2062.03023272833</v>
      </c>
      <c r="G252" s="50" t="n">
        <f aca="false">MIN($F$3-F252,H251)</f>
        <v>1762.96976727167</v>
      </c>
      <c r="H252" s="50" t="n">
        <f aca="false">H251-G252</f>
        <v>823049.12332406</v>
      </c>
      <c r="I252" s="50" t="n">
        <f aca="false">K251*Annahmen!$B$60/12</f>
        <v>4446.72225790783</v>
      </c>
      <c r="J252" s="50" t="n">
        <f aca="false">MIN($I$3-I252,K251)</f>
        <v>3667.35802999209</v>
      </c>
      <c r="K252" s="50" t="n">
        <f aca="false">K251-J252</f>
        <v>1330349.31934236</v>
      </c>
      <c r="L252" s="50" t="n">
        <f aca="false">C252+F252+I252</f>
        <v>9261.10114628047</v>
      </c>
      <c r="M252" s="50" t="n">
        <f aca="false">D252+G252+J252</f>
        <v>7927.97914161945</v>
      </c>
      <c r="N252" s="50" t="n">
        <f aca="false">L252+M252</f>
        <v>17189.0802878999</v>
      </c>
      <c r="O252" s="50" t="n">
        <f aca="false">E252+H252+K252</f>
        <v>3472028.14603133</v>
      </c>
    </row>
    <row r="253" customFormat="false" ht="15" hidden="false" customHeight="false" outlineLevel="0" collapsed="false">
      <c r="A253" s="49" t="n">
        <v>247</v>
      </c>
      <c r="B253" s="49" t="n">
        <f aca="false">ROUNDUP(A253/12,0)</f>
        <v>21</v>
      </c>
      <c r="C253" s="50" t="n">
        <f aca="false">E252*Annahmen!$B$58/12</f>
        <v>2747.14521534357</v>
      </c>
      <c r="D253" s="50" t="n">
        <f aca="false">MIN($C$3-C253,E252)</f>
        <v>2502.85478465643</v>
      </c>
      <c r="E253" s="50" t="n">
        <f aca="false">E252-D253</f>
        <v>1316126.84858026</v>
      </c>
      <c r="F253" s="50" t="n">
        <f aca="false">H252*Annahmen!$B$59/12</f>
        <v>2057.62280831015</v>
      </c>
      <c r="G253" s="50" t="n">
        <f aca="false">MIN($F$3-F253,H252)</f>
        <v>1767.37719168985</v>
      </c>
      <c r="H253" s="50" t="n">
        <f aca="false">H252-G253</f>
        <v>821281.74613237</v>
      </c>
      <c r="I253" s="50" t="n">
        <f aca="false">K252*Annahmen!$B$60/12</f>
        <v>4434.49773114119</v>
      </c>
      <c r="J253" s="50" t="n">
        <f aca="false">MIN($I$3-I253,K252)</f>
        <v>3679.58255675873</v>
      </c>
      <c r="K253" s="50" t="n">
        <f aca="false">K252-J253</f>
        <v>1326669.7367856</v>
      </c>
      <c r="L253" s="50" t="n">
        <f aca="false">C253+F253+I253</f>
        <v>9239.26575479491</v>
      </c>
      <c r="M253" s="50" t="n">
        <f aca="false">D253+G253+J253</f>
        <v>7949.81453310501</v>
      </c>
      <c r="N253" s="50" t="n">
        <f aca="false">L253+M253</f>
        <v>17189.0802878999</v>
      </c>
      <c r="O253" s="50" t="n">
        <f aca="false">E253+H253+K253</f>
        <v>3464078.33149823</v>
      </c>
    </row>
    <row r="254" customFormat="false" ht="15" hidden="false" customHeight="false" outlineLevel="0" collapsed="false">
      <c r="A254" s="49" t="n">
        <v>248</v>
      </c>
      <c r="B254" s="49" t="n">
        <f aca="false">ROUNDUP(A254/12,0)</f>
        <v>21</v>
      </c>
      <c r="C254" s="50" t="n">
        <f aca="false">E253*Annahmen!$B$58/12</f>
        <v>2741.9309345422</v>
      </c>
      <c r="D254" s="50" t="n">
        <f aca="false">MIN($C$3-C254,E253)</f>
        <v>2508.0690654578</v>
      </c>
      <c r="E254" s="50" t="n">
        <f aca="false">E253-D254</f>
        <v>1313618.7795148</v>
      </c>
      <c r="F254" s="50" t="n">
        <f aca="false">H253*Annahmen!$B$59/12</f>
        <v>2053.20436533092</v>
      </c>
      <c r="G254" s="50" t="n">
        <f aca="false">MIN($F$3-F254,H253)</f>
        <v>1771.79563466908</v>
      </c>
      <c r="H254" s="50" t="n">
        <f aca="false">H253-G254</f>
        <v>819509.950497701</v>
      </c>
      <c r="I254" s="50" t="n">
        <f aca="false">K253*Annahmen!$B$60/12</f>
        <v>4422.232455952</v>
      </c>
      <c r="J254" s="50" t="n">
        <f aca="false">MIN($I$3-I254,K253)</f>
        <v>3691.84783194792</v>
      </c>
      <c r="K254" s="50" t="n">
        <f aca="false">K253-J254</f>
        <v>1322977.88895365</v>
      </c>
      <c r="L254" s="50" t="n">
        <f aca="false">C254+F254+I254</f>
        <v>9217.36775582512</v>
      </c>
      <c r="M254" s="50" t="n">
        <f aca="false">D254+G254+J254</f>
        <v>7971.7125320748</v>
      </c>
      <c r="N254" s="50" t="n">
        <f aca="false">L254+M254</f>
        <v>17189.0802878999</v>
      </c>
      <c r="O254" s="50" t="n">
        <f aca="false">E254+H254+K254</f>
        <v>3456106.61896615</v>
      </c>
    </row>
    <row r="255" customFormat="false" ht="15" hidden="false" customHeight="false" outlineLevel="0" collapsed="false">
      <c r="A255" s="49" t="n">
        <v>249</v>
      </c>
      <c r="B255" s="49" t="n">
        <f aca="false">ROUNDUP(A255/12,0)</f>
        <v>21</v>
      </c>
      <c r="C255" s="50" t="n">
        <f aca="false">E254*Annahmen!$B$58/12</f>
        <v>2736.70579065583</v>
      </c>
      <c r="D255" s="50" t="n">
        <f aca="false">MIN($C$3-C255,E254)</f>
        <v>2513.29420934417</v>
      </c>
      <c r="E255" s="50" t="n">
        <f aca="false">E254-D255</f>
        <v>1311105.48530545</v>
      </c>
      <c r="F255" s="50" t="n">
        <f aca="false">H254*Annahmen!$B$59/12</f>
        <v>2048.77487624425</v>
      </c>
      <c r="G255" s="50" t="n">
        <f aca="false">MIN($F$3-F255,H254)</f>
        <v>1776.22512375575</v>
      </c>
      <c r="H255" s="50" t="n">
        <f aca="false">H254-G255</f>
        <v>817733.725373945</v>
      </c>
      <c r="I255" s="50" t="n">
        <f aca="false">K254*Annahmen!$B$60/12</f>
        <v>4409.92629651217</v>
      </c>
      <c r="J255" s="50" t="n">
        <f aca="false">MIN($I$3-I255,K254)</f>
        <v>3704.15399138775</v>
      </c>
      <c r="K255" s="50" t="n">
        <f aca="false">K254-J255</f>
        <v>1319273.73496226</v>
      </c>
      <c r="L255" s="50" t="n">
        <f aca="false">C255+F255+I255</f>
        <v>9195.40696341225</v>
      </c>
      <c r="M255" s="50" t="n">
        <f aca="false">D255+G255+J255</f>
        <v>7993.67332448767</v>
      </c>
      <c r="N255" s="50" t="n">
        <f aca="false">L255+M255</f>
        <v>17189.0802878999</v>
      </c>
      <c r="O255" s="50" t="n">
        <f aca="false">E255+H255+K255</f>
        <v>3448112.94564166</v>
      </c>
    </row>
    <row r="256" customFormat="false" ht="15" hidden="false" customHeight="false" outlineLevel="0" collapsed="false">
      <c r="A256" s="49" t="n">
        <v>250</v>
      </c>
      <c r="B256" s="49" t="n">
        <f aca="false">ROUNDUP(A256/12,0)</f>
        <v>21</v>
      </c>
      <c r="C256" s="50" t="n">
        <f aca="false">E255*Annahmen!$B$58/12</f>
        <v>2731.46976105303</v>
      </c>
      <c r="D256" s="50" t="n">
        <f aca="false">MIN($C$3-C256,E255)</f>
        <v>2518.53023894697</v>
      </c>
      <c r="E256" s="50" t="n">
        <f aca="false">E255-D256</f>
        <v>1308586.95506651</v>
      </c>
      <c r="F256" s="50" t="n">
        <f aca="false">H255*Annahmen!$B$59/12</f>
        <v>2044.33431343486</v>
      </c>
      <c r="G256" s="50" t="n">
        <f aca="false">MIN($F$3-F256,H255)</f>
        <v>1780.66568656514</v>
      </c>
      <c r="H256" s="50" t="n">
        <f aca="false">H255-G256</f>
        <v>815953.05968738</v>
      </c>
      <c r="I256" s="50" t="n">
        <f aca="false">K255*Annahmen!$B$60/12</f>
        <v>4397.57911654088</v>
      </c>
      <c r="J256" s="50" t="n">
        <f aca="false">MIN($I$3-I256,K255)</f>
        <v>3716.50117135904</v>
      </c>
      <c r="K256" s="50" t="n">
        <f aca="false">K255-J256</f>
        <v>1315557.2337909</v>
      </c>
      <c r="L256" s="50" t="n">
        <f aca="false">C256+F256+I256</f>
        <v>9173.38319102877</v>
      </c>
      <c r="M256" s="50" t="n">
        <f aca="false">D256+G256+J256</f>
        <v>8015.69709687115</v>
      </c>
      <c r="N256" s="50" t="n">
        <f aca="false">L256+M256</f>
        <v>17189.0802878999</v>
      </c>
      <c r="O256" s="50" t="n">
        <f aca="false">E256+H256+K256</f>
        <v>3440097.24854479</v>
      </c>
    </row>
    <row r="257" customFormat="false" ht="15" hidden="false" customHeight="false" outlineLevel="0" collapsed="false">
      <c r="A257" s="49" t="n">
        <v>251</v>
      </c>
      <c r="B257" s="49" t="n">
        <f aca="false">ROUNDUP(A257/12,0)</f>
        <v>21</v>
      </c>
      <c r="C257" s="50" t="n">
        <f aca="false">E256*Annahmen!$B$58/12</f>
        <v>2726.22282305522</v>
      </c>
      <c r="D257" s="50" t="n">
        <f aca="false">MIN($C$3-C257,E256)</f>
        <v>2523.77717694478</v>
      </c>
      <c r="E257" s="50" t="n">
        <f aca="false">E256-D257</f>
        <v>1306063.17788956</v>
      </c>
      <c r="F257" s="50" t="n">
        <f aca="false">H256*Annahmen!$B$59/12</f>
        <v>2039.88264921845</v>
      </c>
      <c r="G257" s="50" t="n">
        <f aca="false">MIN($F$3-F257,H256)</f>
        <v>1785.11735078155</v>
      </c>
      <c r="H257" s="50" t="n">
        <f aca="false">H256-G257</f>
        <v>814167.942336598</v>
      </c>
      <c r="I257" s="50" t="n">
        <f aca="false">K256*Annahmen!$B$60/12</f>
        <v>4385.19077930301</v>
      </c>
      <c r="J257" s="50" t="n">
        <f aca="false">MIN($I$3-I257,K256)</f>
        <v>3728.88950859691</v>
      </c>
      <c r="K257" s="50" t="n">
        <f aca="false">K256-J257</f>
        <v>1311828.34428231</v>
      </c>
      <c r="L257" s="50" t="n">
        <f aca="false">C257+F257+I257</f>
        <v>9151.29625157669</v>
      </c>
      <c r="M257" s="50" t="n">
        <f aca="false">D257+G257+J257</f>
        <v>8037.78403632324</v>
      </c>
      <c r="N257" s="50" t="n">
        <f aca="false">L257+M257</f>
        <v>17189.0802878999</v>
      </c>
      <c r="O257" s="50" t="n">
        <f aca="false">E257+H257+K257</f>
        <v>3432059.46450847</v>
      </c>
    </row>
    <row r="258" customFormat="false" ht="15" hidden="false" customHeight="false" outlineLevel="0" collapsed="false">
      <c r="A258" s="49" t="n">
        <v>252</v>
      </c>
      <c r="B258" s="49" t="n">
        <f aca="false">ROUNDUP(A258/12,0)</f>
        <v>21</v>
      </c>
      <c r="C258" s="50" t="n">
        <f aca="false">E257*Annahmen!$B$58/12</f>
        <v>2720.96495393659</v>
      </c>
      <c r="D258" s="50" t="n">
        <f aca="false">MIN($C$3-C258,E257)</f>
        <v>2529.03504606341</v>
      </c>
      <c r="E258" s="50" t="n">
        <f aca="false">E257-D258</f>
        <v>1303534.1428435</v>
      </c>
      <c r="F258" s="50" t="n">
        <f aca="false">H257*Annahmen!$B$59/12</f>
        <v>2035.4198558415</v>
      </c>
      <c r="G258" s="50" t="n">
        <f aca="false">MIN($F$3-F258,H257)</f>
        <v>1789.58014415851</v>
      </c>
      <c r="H258" s="50" t="n">
        <f aca="false">H257-G258</f>
        <v>812378.36219244</v>
      </c>
      <c r="I258" s="50" t="n">
        <f aca="false">K257*Annahmen!$B$60/12</f>
        <v>4372.76114760769</v>
      </c>
      <c r="J258" s="50" t="n">
        <f aca="false">MIN($I$3-I258,K257)</f>
        <v>3741.31914029223</v>
      </c>
      <c r="K258" s="50" t="n">
        <f aca="false">K257-J258</f>
        <v>1308087.02514202</v>
      </c>
      <c r="L258" s="50" t="n">
        <f aca="false">C258+F258+I258</f>
        <v>9129.14595738578</v>
      </c>
      <c r="M258" s="50" t="n">
        <f aca="false">D258+G258+J258</f>
        <v>8059.93433051415</v>
      </c>
      <c r="N258" s="50" t="n">
        <f aca="false">L258+M258</f>
        <v>17189.0802878999</v>
      </c>
      <c r="O258" s="50" t="n">
        <f aca="false">E258+H258+K258</f>
        <v>3423999.53017795</v>
      </c>
    </row>
    <row r="259" customFormat="false" ht="15" hidden="false" customHeight="false" outlineLevel="0" collapsed="false">
      <c r="A259" s="49" t="n">
        <v>253</v>
      </c>
      <c r="B259" s="49" t="n">
        <f aca="false">ROUNDUP(A259/12,0)</f>
        <v>22</v>
      </c>
      <c r="C259" s="50" t="n">
        <f aca="false">E258*Annahmen!$B$58/12</f>
        <v>2715.69613092396</v>
      </c>
      <c r="D259" s="50" t="n">
        <f aca="false">MIN($C$3-C259,E258)</f>
        <v>2534.30386907605</v>
      </c>
      <c r="E259" s="50" t="n">
        <f aca="false">E258-D259</f>
        <v>1300999.83897442</v>
      </c>
      <c r="F259" s="50" t="n">
        <f aca="false">H258*Annahmen!$B$59/12</f>
        <v>2030.9459054811</v>
      </c>
      <c r="G259" s="50" t="n">
        <f aca="false">MIN($F$3-F259,H258)</f>
        <v>1794.0540945189</v>
      </c>
      <c r="H259" s="50" t="n">
        <f aca="false">H258-G259</f>
        <v>810584.308097921</v>
      </c>
      <c r="I259" s="50" t="n">
        <f aca="false">K258*Annahmen!$B$60/12</f>
        <v>4360.29008380672</v>
      </c>
      <c r="J259" s="50" t="n">
        <f aca="false">MIN($I$3-I259,K258)</f>
        <v>3753.7902040932</v>
      </c>
      <c r="K259" s="50" t="n">
        <f aca="false">K258-J259</f>
        <v>1304333.23493792</v>
      </c>
      <c r="L259" s="50" t="n">
        <f aca="false">C259+F259+I259</f>
        <v>9106.93212021178</v>
      </c>
      <c r="M259" s="50" t="n">
        <f aca="false">D259+G259+J259</f>
        <v>8082.14816768815</v>
      </c>
      <c r="N259" s="50" t="n">
        <f aca="false">L259+M259</f>
        <v>17189.0802878999</v>
      </c>
      <c r="O259" s="50" t="n">
        <f aca="false">E259+H259+K259</f>
        <v>3415917.38201027</v>
      </c>
    </row>
    <row r="260" customFormat="false" ht="15" hidden="false" customHeight="false" outlineLevel="0" collapsed="false">
      <c r="A260" s="49" t="n">
        <v>254</v>
      </c>
      <c r="B260" s="49" t="n">
        <f aca="false">ROUNDUP(A260/12,0)</f>
        <v>22</v>
      </c>
      <c r="C260" s="50" t="n">
        <f aca="false">E259*Annahmen!$B$58/12</f>
        <v>2710.41633119672</v>
      </c>
      <c r="D260" s="50" t="n">
        <f aca="false">MIN($C$3-C260,E259)</f>
        <v>2539.58366880329</v>
      </c>
      <c r="E260" s="50" t="n">
        <f aca="false">E259-D260</f>
        <v>1298460.25530562</v>
      </c>
      <c r="F260" s="50" t="n">
        <f aca="false">H259*Annahmen!$B$59/12</f>
        <v>2026.4607702448</v>
      </c>
      <c r="G260" s="50" t="n">
        <f aca="false">MIN($F$3-F260,H259)</f>
        <v>1798.5392297552</v>
      </c>
      <c r="H260" s="50" t="n">
        <f aca="false">H259-G260</f>
        <v>808785.768868166</v>
      </c>
      <c r="I260" s="50" t="n">
        <f aca="false">K259*Annahmen!$B$60/12</f>
        <v>4347.77744979307</v>
      </c>
      <c r="J260" s="50" t="n">
        <f aca="false">MIN($I$3-I260,K259)</f>
        <v>3766.30283810685</v>
      </c>
      <c r="K260" s="50" t="n">
        <f aca="false">K259-J260</f>
        <v>1300566.93209982</v>
      </c>
      <c r="L260" s="50" t="n">
        <f aca="false">C260+F260+I260</f>
        <v>9084.65455123459</v>
      </c>
      <c r="M260" s="50" t="n">
        <f aca="false">D260+G260+J260</f>
        <v>8104.42573666533</v>
      </c>
      <c r="N260" s="50" t="n">
        <f aca="false">L260+M260</f>
        <v>17189.0802878999</v>
      </c>
      <c r="O260" s="50" t="n">
        <f aca="false">E260+H260+K260</f>
        <v>3407812.9562736</v>
      </c>
    </row>
    <row r="261" customFormat="false" ht="15" hidden="false" customHeight="false" outlineLevel="0" collapsed="false">
      <c r="A261" s="49" t="n">
        <v>255</v>
      </c>
      <c r="B261" s="49" t="n">
        <f aca="false">ROUNDUP(A261/12,0)</f>
        <v>22</v>
      </c>
      <c r="C261" s="50" t="n">
        <f aca="false">E260*Annahmen!$B$58/12</f>
        <v>2705.12553188671</v>
      </c>
      <c r="D261" s="50" t="n">
        <f aca="false">MIN($C$3-C261,E260)</f>
        <v>2544.87446811329</v>
      </c>
      <c r="E261" s="50" t="n">
        <f aca="false">E260-D261</f>
        <v>1295915.38083751</v>
      </c>
      <c r="F261" s="50" t="n">
        <f aca="false">H260*Annahmen!$B$59/12</f>
        <v>2021.96442217041</v>
      </c>
      <c r="G261" s="50" t="n">
        <f aca="false">MIN($F$3-F261,H260)</f>
        <v>1803.03557782959</v>
      </c>
      <c r="H261" s="50" t="n">
        <f aca="false">H260-G261</f>
        <v>806982.733290336</v>
      </c>
      <c r="I261" s="50" t="n">
        <f aca="false">K260*Annahmen!$B$60/12</f>
        <v>4335.22310699938</v>
      </c>
      <c r="J261" s="50" t="n">
        <f aca="false">MIN($I$3-I261,K260)</f>
        <v>3778.85718090054</v>
      </c>
      <c r="K261" s="50" t="n">
        <f aca="false">K260-J261</f>
        <v>1296788.07491891</v>
      </c>
      <c r="L261" s="50" t="n">
        <f aca="false">C261+F261+I261</f>
        <v>9062.31306105651</v>
      </c>
      <c r="M261" s="50" t="n">
        <f aca="false">D261+G261+J261</f>
        <v>8126.76722684342</v>
      </c>
      <c r="N261" s="50" t="n">
        <f aca="false">L261+M261</f>
        <v>17189.0802878999</v>
      </c>
      <c r="O261" s="50" t="n">
        <f aca="false">E261+H261+K261</f>
        <v>3399686.18904676</v>
      </c>
    </row>
    <row r="262" customFormat="false" ht="15" hidden="false" customHeight="false" outlineLevel="0" collapsed="false">
      <c r="A262" s="49" t="n">
        <v>256</v>
      </c>
      <c r="B262" s="49" t="n">
        <f aca="false">ROUNDUP(A262/12,0)</f>
        <v>22</v>
      </c>
      <c r="C262" s="50" t="n">
        <f aca="false">E261*Annahmen!$B$58/12</f>
        <v>2699.82371007814</v>
      </c>
      <c r="D262" s="50" t="n">
        <f aca="false">MIN($C$3-C262,E261)</f>
        <v>2550.17628992186</v>
      </c>
      <c r="E262" s="50" t="n">
        <f aca="false">E261-D262</f>
        <v>1293365.20454759</v>
      </c>
      <c r="F262" s="50" t="n">
        <f aca="false">H261*Annahmen!$B$59/12</f>
        <v>2017.45683322584</v>
      </c>
      <c r="G262" s="50" t="n">
        <f aca="false">MIN($F$3-F262,H261)</f>
        <v>1807.54316677416</v>
      </c>
      <c r="H262" s="50" t="n">
        <f aca="false">H261-G262</f>
        <v>805175.190123562</v>
      </c>
      <c r="I262" s="50" t="n">
        <f aca="false">K261*Annahmen!$B$60/12</f>
        <v>4322.62691639638</v>
      </c>
      <c r="J262" s="50" t="n">
        <f aca="false">MIN($I$3-I262,K261)</f>
        <v>3791.45337150354</v>
      </c>
      <c r="K262" s="50" t="n">
        <f aca="false">K261-J262</f>
        <v>1292996.62154741</v>
      </c>
      <c r="L262" s="50" t="n">
        <f aca="false">C262+F262+I262</f>
        <v>9039.90745970036</v>
      </c>
      <c r="M262" s="50" t="n">
        <f aca="false">D262+G262+J262</f>
        <v>8149.17282819956</v>
      </c>
      <c r="N262" s="50" t="n">
        <f aca="false">L262+M262</f>
        <v>17189.0802878999</v>
      </c>
      <c r="O262" s="50" t="n">
        <f aca="false">E262+H262+K262</f>
        <v>3391537.01621856</v>
      </c>
    </row>
    <row r="263" customFormat="false" ht="15" hidden="false" customHeight="false" outlineLevel="0" collapsed="false">
      <c r="A263" s="49" t="n">
        <v>257</v>
      </c>
      <c r="B263" s="49" t="n">
        <f aca="false">ROUNDUP(A263/12,0)</f>
        <v>22</v>
      </c>
      <c r="C263" s="50" t="n">
        <f aca="false">E262*Annahmen!$B$58/12</f>
        <v>2694.51084280747</v>
      </c>
      <c r="D263" s="50" t="n">
        <f aca="false">MIN($C$3-C263,E262)</f>
        <v>2555.48915719253</v>
      </c>
      <c r="E263" s="50" t="n">
        <f aca="false">E262-D263</f>
        <v>1290809.71539039</v>
      </c>
      <c r="F263" s="50" t="n">
        <f aca="false">H262*Annahmen!$B$59/12</f>
        <v>2012.93797530891</v>
      </c>
      <c r="G263" s="50" t="n">
        <f aca="false">MIN($F$3-F263,H262)</f>
        <v>1812.0620246911</v>
      </c>
      <c r="H263" s="50" t="n">
        <f aca="false">H262-G263</f>
        <v>803363.128098871</v>
      </c>
      <c r="I263" s="50" t="n">
        <f aca="false">K262*Annahmen!$B$60/12</f>
        <v>4309.98873849137</v>
      </c>
      <c r="J263" s="50" t="n">
        <f aca="false">MIN($I$3-I263,K262)</f>
        <v>3804.09154940855</v>
      </c>
      <c r="K263" s="50" t="n">
        <f aca="false">K262-J263</f>
        <v>1289192.529998</v>
      </c>
      <c r="L263" s="50" t="n">
        <f aca="false">C263+F263+I263</f>
        <v>9017.43755660774</v>
      </c>
      <c r="M263" s="50" t="n">
        <f aca="false">D263+G263+J263</f>
        <v>8171.64273129218</v>
      </c>
      <c r="N263" s="50" t="n">
        <f aca="false">L263+M263</f>
        <v>17189.0802878999</v>
      </c>
      <c r="O263" s="50" t="n">
        <f aca="false">E263+H263+K263</f>
        <v>3383365.37348727</v>
      </c>
    </row>
    <row r="264" customFormat="false" ht="15" hidden="false" customHeight="false" outlineLevel="0" collapsed="false">
      <c r="A264" s="49" t="n">
        <v>258</v>
      </c>
      <c r="B264" s="49" t="n">
        <f aca="false">ROUNDUP(A264/12,0)</f>
        <v>22</v>
      </c>
      <c r="C264" s="50" t="n">
        <f aca="false">E263*Annahmen!$B$58/12</f>
        <v>2689.18690706332</v>
      </c>
      <c r="D264" s="50" t="n">
        <f aca="false">MIN($C$3-C264,E263)</f>
        <v>2560.81309293669</v>
      </c>
      <c r="E264" s="50" t="n">
        <f aca="false">E263-D264</f>
        <v>1288248.90229746</v>
      </c>
      <c r="F264" s="50" t="n">
        <f aca="false">H263*Annahmen!$B$59/12</f>
        <v>2008.40782024718</v>
      </c>
      <c r="G264" s="50" t="n">
        <f aca="false">MIN($F$3-F264,H263)</f>
        <v>1816.59217975282</v>
      </c>
      <c r="H264" s="50" t="n">
        <f aca="false">H263-G264</f>
        <v>801546.535919118</v>
      </c>
      <c r="I264" s="50" t="n">
        <f aca="false">K263*Annahmen!$B$60/12</f>
        <v>4297.30843332667</v>
      </c>
      <c r="J264" s="50" t="n">
        <f aca="false">MIN($I$3-I264,K263)</f>
        <v>3816.77185457325</v>
      </c>
      <c r="K264" s="50" t="n">
        <f aca="false">K263-J264</f>
        <v>1285375.75814343</v>
      </c>
      <c r="L264" s="50" t="n">
        <f aca="false">C264+F264+I264</f>
        <v>8994.90316063717</v>
      </c>
      <c r="M264" s="50" t="n">
        <f aca="false">D264+G264+J264</f>
        <v>8194.17712726276</v>
      </c>
      <c r="N264" s="50" t="n">
        <f aca="false">L264+M264</f>
        <v>17189.0802878999</v>
      </c>
      <c r="O264" s="50" t="n">
        <f aca="false">E264+H264+K264</f>
        <v>3375171.19636</v>
      </c>
    </row>
    <row r="265" customFormat="false" ht="15" hidden="false" customHeight="false" outlineLevel="0" collapsed="false">
      <c r="A265" s="49" t="n">
        <v>259</v>
      </c>
      <c r="B265" s="49" t="n">
        <f aca="false">ROUNDUP(A265/12,0)</f>
        <v>22</v>
      </c>
      <c r="C265" s="50" t="n">
        <f aca="false">E264*Annahmen!$B$58/12</f>
        <v>2683.85187978637</v>
      </c>
      <c r="D265" s="50" t="n">
        <f aca="false">MIN($C$3-C265,E264)</f>
        <v>2566.14812021364</v>
      </c>
      <c r="E265" s="50" t="n">
        <f aca="false">E264-D265</f>
        <v>1285682.75417724</v>
      </c>
      <c r="F265" s="50" t="n">
        <f aca="false">H264*Annahmen!$B$59/12</f>
        <v>2003.8663397978</v>
      </c>
      <c r="G265" s="50" t="n">
        <f aca="false">MIN($F$3-F265,H264)</f>
        <v>1821.13366020221</v>
      </c>
      <c r="H265" s="50" t="n">
        <f aca="false">H264-G265</f>
        <v>799725.402258916</v>
      </c>
      <c r="I265" s="50" t="n">
        <f aca="false">K264*Annahmen!$B$60/12</f>
        <v>4284.5858604781</v>
      </c>
      <c r="J265" s="50" t="n">
        <f aca="false">MIN($I$3-I265,K264)</f>
        <v>3829.49442742182</v>
      </c>
      <c r="K265" s="50" t="n">
        <f aca="false">K264-J265</f>
        <v>1281546.26371601</v>
      </c>
      <c r="L265" s="50" t="n">
        <f aca="false">C265+F265+I265</f>
        <v>8972.30408006226</v>
      </c>
      <c r="M265" s="50" t="n">
        <f aca="false">D265+G265+J265</f>
        <v>8216.77620783767</v>
      </c>
      <c r="N265" s="50" t="n">
        <f aca="false">L265+M265</f>
        <v>17189.0802878999</v>
      </c>
      <c r="O265" s="50" t="n">
        <f aca="false">E265+H265+K265</f>
        <v>3366954.42015217</v>
      </c>
    </row>
    <row r="266" customFormat="false" ht="15" hidden="false" customHeight="false" outlineLevel="0" collapsed="false">
      <c r="A266" s="49" t="n">
        <v>260</v>
      </c>
      <c r="B266" s="49" t="n">
        <f aca="false">ROUNDUP(A266/12,0)</f>
        <v>22</v>
      </c>
      <c r="C266" s="50" t="n">
        <f aca="false">E265*Annahmen!$B$58/12</f>
        <v>2678.50573786925</v>
      </c>
      <c r="D266" s="50" t="n">
        <f aca="false">MIN($C$3-C266,E265)</f>
        <v>2571.49426213075</v>
      </c>
      <c r="E266" s="50" t="n">
        <f aca="false">E265-D266</f>
        <v>1283111.25991511</v>
      </c>
      <c r="F266" s="50" t="n">
        <f aca="false">H265*Annahmen!$B$59/12</f>
        <v>1999.31350564729</v>
      </c>
      <c r="G266" s="50" t="n">
        <f aca="false">MIN($F$3-F266,H265)</f>
        <v>1825.68649435271</v>
      </c>
      <c r="H266" s="50" t="n">
        <f aca="false">H265-G266</f>
        <v>797899.715764563</v>
      </c>
      <c r="I266" s="50" t="n">
        <f aca="false">K265*Annahmen!$B$60/12</f>
        <v>4271.82087905336</v>
      </c>
      <c r="J266" s="50" t="n">
        <f aca="false">MIN($I$3-I266,K265)</f>
        <v>3842.25940884656</v>
      </c>
      <c r="K266" s="50" t="n">
        <f aca="false">K265-J266</f>
        <v>1277704.00430716</v>
      </c>
      <c r="L266" s="50" t="n">
        <f aca="false">C266+F266+I266</f>
        <v>8949.6401225699</v>
      </c>
      <c r="M266" s="50" t="n">
        <f aca="false">D266+G266+J266</f>
        <v>8239.44016533002</v>
      </c>
      <c r="N266" s="50" t="n">
        <f aca="false">L266+M266</f>
        <v>17189.0802878999</v>
      </c>
      <c r="O266" s="50" t="n">
        <f aca="false">E266+H266+K266</f>
        <v>3358714.97998684</v>
      </c>
    </row>
    <row r="267" customFormat="false" ht="15" hidden="false" customHeight="false" outlineLevel="0" collapsed="false">
      <c r="A267" s="49" t="n">
        <v>261</v>
      </c>
      <c r="B267" s="49" t="n">
        <f aca="false">ROUNDUP(A267/12,0)</f>
        <v>22</v>
      </c>
      <c r="C267" s="50" t="n">
        <f aca="false">E266*Annahmen!$B$58/12</f>
        <v>2673.14845815648</v>
      </c>
      <c r="D267" s="50" t="n">
        <f aca="false">MIN($C$3-C267,E266)</f>
        <v>2576.85154184352</v>
      </c>
      <c r="E267" s="50" t="n">
        <f aca="false">E266-D267</f>
        <v>1280534.40837327</v>
      </c>
      <c r="F267" s="50" t="n">
        <f aca="false">H266*Annahmen!$B$59/12</f>
        <v>1994.74928941141</v>
      </c>
      <c r="G267" s="50" t="n">
        <f aca="false">MIN($F$3-F267,H266)</f>
        <v>1830.25071058859</v>
      </c>
      <c r="H267" s="50" t="n">
        <f aca="false">H266-G267</f>
        <v>796069.465053975</v>
      </c>
      <c r="I267" s="50" t="n">
        <f aca="false">K266*Annahmen!$B$60/12</f>
        <v>4259.01334769054</v>
      </c>
      <c r="J267" s="50" t="n">
        <f aca="false">MIN($I$3-I267,K266)</f>
        <v>3855.06694020938</v>
      </c>
      <c r="K267" s="50" t="n">
        <f aca="false">K266-J267</f>
        <v>1273848.93736695</v>
      </c>
      <c r="L267" s="50" t="n">
        <f aca="false">C267+F267+I267</f>
        <v>8926.91109525843</v>
      </c>
      <c r="M267" s="50" t="n">
        <f aca="false">D267+G267+J267</f>
        <v>8262.1691926415</v>
      </c>
      <c r="N267" s="50" t="n">
        <f aca="false">L267+M267</f>
        <v>17189.0802878999</v>
      </c>
      <c r="O267" s="50" t="n">
        <f aca="false">E267+H267+K267</f>
        <v>3350452.81079419</v>
      </c>
    </row>
    <row r="268" customFormat="false" ht="15" hidden="false" customHeight="false" outlineLevel="0" collapsed="false">
      <c r="A268" s="49" t="n">
        <v>262</v>
      </c>
      <c r="B268" s="49" t="n">
        <f aca="false">ROUNDUP(A268/12,0)</f>
        <v>22</v>
      </c>
      <c r="C268" s="50" t="n">
        <f aca="false">E267*Annahmen!$B$58/12</f>
        <v>2667.78001744431</v>
      </c>
      <c r="D268" s="50" t="n">
        <f aca="false">MIN($C$3-C268,E267)</f>
        <v>2582.21998255569</v>
      </c>
      <c r="E268" s="50" t="n">
        <f aca="false">E267-D268</f>
        <v>1277952.18839071</v>
      </c>
      <c r="F268" s="50" t="n">
        <f aca="false">H267*Annahmen!$B$59/12</f>
        <v>1990.17366263494</v>
      </c>
      <c r="G268" s="50" t="n">
        <f aca="false">MIN($F$3-F268,H267)</f>
        <v>1834.82633736507</v>
      </c>
      <c r="H268" s="50" t="n">
        <f aca="false">H267-G268</f>
        <v>794234.63871661</v>
      </c>
      <c r="I268" s="50" t="n">
        <f aca="false">K267*Annahmen!$B$60/12</f>
        <v>4246.16312455651</v>
      </c>
      <c r="J268" s="50" t="n">
        <f aca="false">MIN($I$3-I268,K267)</f>
        <v>3867.91716334341</v>
      </c>
      <c r="K268" s="50" t="n">
        <f aca="false">K267-J268</f>
        <v>1269981.02020361</v>
      </c>
      <c r="L268" s="50" t="n">
        <f aca="false">C268+F268+I268</f>
        <v>8904.11680463575</v>
      </c>
      <c r="M268" s="50" t="n">
        <f aca="false">D268+G268+J268</f>
        <v>8284.96348326418</v>
      </c>
      <c r="N268" s="50" t="n">
        <f aca="false">L268+M268</f>
        <v>17189.0802878999</v>
      </c>
      <c r="O268" s="50" t="n">
        <f aca="false">E268+H268+K268</f>
        <v>3342167.84731093</v>
      </c>
    </row>
    <row r="269" customFormat="false" ht="15" hidden="false" customHeight="false" outlineLevel="0" collapsed="false">
      <c r="A269" s="49" t="n">
        <v>263</v>
      </c>
      <c r="B269" s="49" t="n">
        <f aca="false">ROUNDUP(A269/12,0)</f>
        <v>22</v>
      </c>
      <c r="C269" s="50" t="n">
        <f aca="false">E268*Annahmen!$B$58/12</f>
        <v>2662.40039248065</v>
      </c>
      <c r="D269" s="50" t="n">
        <f aca="false">MIN($C$3-C269,E268)</f>
        <v>2587.59960751935</v>
      </c>
      <c r="E269" s="50" t="n">
        <f aca="false">E268-D269</f>
        <v>1275364.58878319</v>
      </c>
      <c r="F269" s="50" t="n">
        <f aca="false">H268*Annahmen!$B$59/12</f>
        <v>1985.58659679152</v>
      </c>
      <c r="G269" s="50" t="n">
        <f aca="false">MIN($F$3-F269,H268)</f>
        <v>1839.41340320848</v>
      </c>
      <c r="H269" s="50" t="n">
        <f aca="false">H268-G269</f>
        <v>792395.225313401</v>
      </c>
      <c r="I269" s="50" t="n">
        <f aca="false">K268*Annahmen!$B$60/12</f>
        <v>4233.27006734536</v>
      </c>
      <c r="J269" s="50" t="n">
        <f aca="false">MIN($I$3-I269,K268)</f>
        <v>3880.81022055456</v>
      </c>
      <c r="K269" s="50" t="n">
        <f aca="false">K268-J269</f>
        <v>1266100.20998305</v>
      </c>
      <c r="L269" s="50" t="n">
        <f aca="false">C269+F269+I269</f>
        <v>8881.25705661754</v>
      </c>
      <c r="M269" s="50" t="n">
        <f aca="false">D269+G269+J269</f>
        <v>8307.82323128239</v>
      </c>
      <c r="N269" s="50" t="n">
        <f aca="false">L269+M269</f>
        <v>17189.0802878999</v>
      </c>
      <c r="O269" s="50" t="n">
        <f aca="false">E269+H269+K269</f>
        <v>3333860.02407965</v>
      </c>
    </row>
    <row r="270" customFormat="false" ht="15" hidden="false" customHeight="false" outlineLevel="0" collapsed="false">
      <c r="A270" s="49" t="n">
        <v>264</v>
      </c>
      <c r="B270" s="49" t="n">
        <f aca="false">ROUNDUP(A270/12,0)</f>
        <v>22</v>
      </c>
      <c r="C270" s="50" t="n">
        <f aca="false">E269*Annahmen!$B$58/12</f>
        <v>2657.00955996499</v>
      </c>
      <c r="D270" s="50" t="n">
        <f aca="false">MIN($C$3-C270,E269)</f>
        <v>2592.99044003502</v>
      </c>
      <c r="E270" s="50" t="n">
        <f aca="false">E269-D270</f>
        <v>1272771.59834316</v>
      </c>
      <c r="F270" s="50" t="n">
        <f aca="false">H269*Annahmen!$B$59/12</f>
        <v>1980.9880632835</v>
      </c>
      <c r="G270" s="50" t="n">
        <f aca="false">MIN($F$3-F270,H269)</f>
        <v>1844.0119367165</v>
      </c>
      <c r="H270" s="50" t="n">
        <f aca="false">H269-G270</f>
        <v>790551.213376685</v>
      </c>
      <c r="I270" s="50" t="n">
        <f aca="false">K269*Annahmen!$B$60/12</f>
        <v>4220.33403327685</v>
      </c>
      <c r="J270" s="50" t="n">
        <f aca="false">MIN($I$3-I270,K269)</f>
        <v>3893.74625462307</v>
      </c>
      <c r="K270" s="50" t="n">
        <f aca="false">K269-J270</f>
        <v>1262206.46372843</v>
      </c>
      <c r="L270" s="50" t="n">
        <f aca="false">C270+F270+I270</f>
        <v>8858.33165652533</v>
      </c>
      <c r="M270" s="50" t="n">
        <f aca="false">D270+G270+J270</f>
        <v>8330.74863137459</v>
      </c>
      <c r="N270" s="50" t="n">
        <f aca="false">L270+M270</f>
        <v>17189.0802878999</v>
      </c>
      <c r="O270" s="50" t="n">
        <f aca="false">E270+H270+K270</f>
        <v>3325529.27544827</v>
      </c>
    </row>
    <row r="271" customFormat="false" ht="15" hidden="false" customHeight="false" outlineLevel="0" collapsed="false">
      <c r="A271" s="49" t="n">
        <v>265</v>
      </c>
      <c r="B271" s="49" t="n">
        <f aca="false">ROUNDUP(A271/12,0)</f>
        <v>23</v>
      </c>
      <c r="C271" s="50" t="n">
        <f aca="false">E270*Annahmen!$B$58/12</f>
        <v>2651.60749654825</v>
      </c>
      <c r="D271" s="50" t="n">
        <f aca="false">MIN($C$3-C271,E270)</f>
        <v>2598.39250345176</v>
      </c>
      <c r="E271" s="50" t="n">
        <f aca="false">E270-D271</f>
        <v>1270173.20583971</v>
      </c>
      <c r="F271" s="50" t="n">
        <f aca="false">H270*Annahmen!$B$59/12</f>
        <v>1976.37803344171</v>
      </c>
      <c r="G271" s="50" t="n">
        <f aca="false">MIN($F$3-F271,H270)</f>
        <v>1848.62196655829</v>
      </c>
      <c r="H271" s="50" t="n">
        <f aca="false">H270-G271</f>
        <v>788702.591410126</v>
      </c>
      <c r="I271" s="50" t="n">
        <f aca="false">K270*Annahmen!$B$60/12</f>
        <v>4207.35487909477</v>
      </c>
      <c r="J271" s="50" t="n">
        <f aca="false">MIN($I$3-I271,K270)</f>
        <v>3906.72540880515</v>
      </c>
      <c r="K271" s="50" t="n">
        <f aca="false">K270-J271</f>
        <v>1258299.73831963</v>
      </c>
      <c r="L271" s="50" t="n">
        <f aca="false">C271+F271+I271</f>
        <v>8835.34040908473</v>
      </c>
      <c r="M271" s="50" t="n">
        <f aca="false">D271+G271+J271</f>
        <v>8353.7398788152</v>
      </c>
      <c r="N271" s="50" t="n">
        <f aca="false">L271+M271</f>
        <v>17189.0802878999</v>
      </c>
      <c r="O271" s="50" t="n">
        <f aca="false">E271+H271+K271</f>
        <v>3317175.53556946</v>
      </c>
    </row>
    <row r="272" customFormat="false" ht="15" hidden="false" customHeight="false" outlineLevel="0" collapsed="false">
      <c r="A272" s="49" t="n">
        <v>266</v>
      </c>
      <c r="B272" s="49" t="n">
        <f aca="false">ROUNDUP(A272/12,0)</f>
        <v>23</v>
      </c>
      <c r="C272" s="50" t="n">
        <f aca="false">E271*Annahmen!$B$58/12</f>
        <v>2646.19417883272</v>
      </c>
      <c r="D272" s="50" t="n">
        <f aca="false">MIN($C$3-C272,E271)</f>
        <v>2603.80582116728</v>
      </c>
      <c r="E272" s="50" t="n">
        <f aca="false">E271-D272</f>
        <v>1267569.40001854</v>
      </c>
      <c r="F272" s="50" t="n">
        <f aca="false">H271*Annahmen!$B$59/12</f>
        <v>1971.75647852532</v>
      </c>
      <c r="G272" s="50" t="n">
        <f aca="false">MIN($F$3-F272,H271)</f>
        <v>1853.24352147469</v>
      </c>
      <c r="H272" s="50" t="n">
        <f aca="false">H271-G272</f>
        <v>786849.347888652</v>
      </c>
      <c r="I272" s="50" t="n">
        <f aca="false">K271*Annahmen!$B$60/12</f>
        <v>4194.33246106542</v>
      </c>
      <c r="J272" s="50" t="n">
        <f aca="false">MIN($I$3-I272,K271)</f>
        <v>3919.7478268345</v>
      </c>
      <c r="K272" s="50" t="n">
        <f aca="false">K271-J272</f>
        <v>1254379.99049279</v>
      </c>
      <c r="L272" s="50" t="n">
        <f aca="false">C272+F272+I272</f>
        <v>8812.28311842346</v>
      </c>
      <c r="M272" s="50" t="n">
        <f aca="false">D272+G272+J272</f>
        <v>8376.79716947647</v>
      </c>
      <c r="N272" s="50" t="n">
        <f aca="false">L272+M272</f>
        <v>17189.0802878999</v>
      </c>
      <c r="O272" s="50" t="n">
        <f aca="false">E272+H272+K272</f>
        <v>3308798.73839998</v>
      </c>
    </row>
    <row r="273" customFormat="false" ht="15" hidden="false" customHeight="false" outlineLevel="0" collapsed="false">
      <c r="A273" s="49" t="n">
        <v>267</v>
      </c>
      <c r="B273" s="49" t="n">
        <f aca="false">ROUNDUP(A273/12,0)</f>
        <v>23</v>
      </c>
      <c r="C273" s="50" t="n">
        <f aca="false">E272*Annahmen!$B$58/12</f>
        <v>2640.76958337196</v>
      </c>
      <c r="D273" s="50" t="n">
        <f aca="false">MIN($C$3-C273,E272)</f>
        <v>2609.23041662805</v>
      </c>
      <c r="E273" s="50" t="n">
        <f aca="false">E272-D273</f>
        <v>1264960.16960191</v>
      </c>
      <c r="F273" s="50" t="n">
        <f aca="false">H272*Annahmen!$B$59/12</f>
        <v>1967.12336972163</v>
      </c>
      <c r="G273" s="50" t="n">
        <f aca="false">MIN($F$3-F273,H272)</f>
        <v>1857.87663027837</v>
      </c>
      <c r="H273" s="50" t="n">
        <f aca="false">H272-G273</f>
        <v>784991.471258373</v>
      </c>
      <c r="I273" s="50" t="n">
        <f aca="false">K272*Annahmen!$B$60/12</f>
        <v>4181.26663497597</v>
      </c>
      <c r="J273" s="50" t="n">
        <f aca="false">MIN($I$3-I273,K272)</f>
        <v>3932.81365292395</v>
      </c>
      <c r="K273" s="50" t="n">
        <f aca="false">K272-J273</f>
        <v>1250447.17683987</v>
      </c>
      <c r="L273" s="50" t="n">
        <f aca="false">C273+F273+I273</f>
        <v>8789.15958806956</v>
      </c>
      <c r="M273" s="50" t="n">
        <f aca="false">D273+G273+J273</f>
        <v>8399.92069983037</v>
      </c>
      <c r="N273" s="50" t="n">
        <f aca="false">L273+M273</f>
        <v>17189.0802878999</v>
      </c>
      <c r="O273" s="50" t="n">
        <f aca="false">E273+H273+K273</f>
        <v>3300398.81770015</v>
      </c>
    </row>
    <row r="274" customFormat="false" ht="15" hidden="false" customHeight="false" outlineLevel="0" collapsed="false">
      <c r="A274" s="49" t="n">
        <v>268</v>
      </c>
      <c r="B274" s="49" t="n">
        <f aca="false">ROUNDUP(A274/12,0)</f>
        <v>23</v>
      </c>
      <c r="C274" s="50" t="n">
        <f aca="false">E273*Annahmen!$B$58/12</f>
        <v>2635.33368667065</v>
      </c>
      <c r="D274" s="50" t="n">
        <f aca="false">MIN($C$3-C274,E273)</f>
        <v>2614.66631332936</v>
      </c>
      <c r="E274" s="50" t="n">
        <f aca="false">E273-D274</f>
        <v>1262345.50328858</v>
      </c>
      <c r="F274" s="50" t="n">
        <f aca="false">H273*Annahmen!$B$59/12</f>
        <v>1962.47867814593</v>
      </c>
      <c r="G274" s="50" t="n">
        <f aca="false">MIN($F$3-F274,H273)</f>
        <v>1862.52132185407</v>
      </c>
      <c r="H274" s="50" t="n">
        <f aca="false">H273-G274</f>
        <v>783128.949936519</v>
      </c>
      <c r="I274" s="50" t="n">
        <f aca="false">K273*Annahmen!$B$60/12</f>
        <v>4168.15725613289</v>
      </c>
      <c r="J274" s="50" t="n">
        <f aca="false">MIN($I$3-I274,K273)</f>
        <v>3945.92303176703</v>
      </c>
      <c r="K274" s="50" t="n">
        <f aca="false">K273-J274</f>
        <v>1246501.2538081</v>
      </c>
      <c r="L274" s="50" t="n">
        <f aca="false">C274+F274+I274</f>
        <v>8765.96962094947</v>
      </c>
      <c r="M274" s="50" t="n">
        <f aca="false">D274+G274+J274</f>
        <v>8423.11066695046</v>
      </c>
      <c r="N274" s="50" t="n">
        <f aca="false">L274+M274</f>
        <v>17189.0802878999</v>
      </c>
      <c r="O274" s="50" t="n">
        <f aca="false">E274+H274+K274</f>
        <v>3291975.7070332</v>
      </c>
    </row>
    <row r="275" customFormat="false" ht="15" hidden="false" customHeight="false" outlineLevel="0" collapsed="false">
      <c r="A275" s="49" t="n">
        <v>269</v>
      </c>
      <c r="B275" s="49" t="n">
        <f aca="false">ROUNDUP(A275/12,0)</f>
        <v>23</v>
      </c>
      <c r="C275" s="50" t="n">
        <f aca="false">E274*Annahmen!$B$58/12</f>
        <v>2629.88646518454</v>
      </c>
      <c r="D275" s="50" t="n">
        <f aca="false">MIN($C$3-C275,E274)</f>
        <v>2620.11353481546</v>
      </c>
      <c r="E275" s="50" t="n">
        <f aca="false">E274-D275</f>
        <v>1259725.38975377</v>
      </c>
      <c r="F275" s="50" t="n">
        <f aca="false">H274*Annahmen!$B$59/12</f>
        <v>1957.8223748413</v>
      </c>
      <c r="G275" s="50" t="n">
        <f aca="false">MIN($F$3-F275,H274)</f>
        <v>1867.1776251587</v>
      </c>
      <c r="H275" s="50" t="n">
        <f aca="false">H274-G275</f>
        <v>781261.77231136</v>
      </c>
      <c r="I275" s="50" t="n">
        <f aca="false">K274*Annahmen!$B$60/12</f>
        <v>4155.00417936033</v>
      </c>
      <c r="J275" s="50" t="n">
        <f aca="false">MIN($I$3-I275,K274)</f>
        <v>3959.07610853959</v>
      </c>
      <c r="K275" s="50" t="n">
        <f aca="false">K274-J275</f>
        <v>1242542.17769956</v>
      </c>
      <c r="L275" s="50" t="n">
        <f aca="false">C275+F275+I275</f>
        <v>8742.71301938617</v>
      </c>
      <c r="M275" s="50" t="n">
        <f aca="false">D275+G275+J275</f>
        <v>8446.36726851375</v>
      </c>
      <c r="N275" s="50" t="n">
        <f aca="false">L275+M275</f>
        <v>17189.0802878999</v>
      </c>
      <c r="O275" s="50" t="n">
        <f aca="false">E275+H275+K275</f>
        <v>3283529.33976469</v>
      </c>
    </row>
    <row r="276" customFormat="false" ht="15" hidden="false" customHeight="false" outlineLevel="0" collapsed="false">
      <c r="A276" s="49" t="n">
        <v>270</v>
      </c>
      <c r="B276" s="49" t="n">
        <f aca="false">ROUNDUP(A276/12,0)</f>
        <v>23</v>
      </c>
      <c r="C276" s="50" t="n">
        <f aca="false">E275*Annahmen!$B$58/12</f>
        <v>2624.42789532035</v>
      </c>
      <c r="D276" s="50" t="n">
        <f aca="false">MIN($C$3-C276,E275)</f>
        <v>2625.57210467966</v>
      </c>
      <c r="E276" s="50" t="n">
        <f aca="false">E275-D276</f>
        <v>1257099.81764909</v>
      </c>
      <c r="F276" s="50" t="n">
        <f aca="false">H275*Annahmen!$B$59/12</f>
        <v>1953.1544307784</v>
      </c>
      <c r="G276" s="50" t="n">
        <f aca="false">MIN($F$3-F276,H275)</f>
        <v>1871.8455692216</v>
      </c>
      <c r="H276" s="50" t="n">
        <f aca="false">H275-G276</f>
        <v>779389.926742139</v>
      </c>
      <c r="I276" s="50" t="n">
        <f aca="false">K275*Annahmen!$B$60/12</f>
        <v>4141.80725899853</v>
      </c>
      <c r="J276" s="50" t="n">
        <f aca="false">MIN($I$3-I276,K275)</f>
        <v>3972.27302890139</v>
      </c>
      <c r="K276" s="50" t="n">
        <f aca="false">K275-J276</f>
        <v>1238569.90467066</v>
      </c>
      <c r="L276" s="50" t="n">
        <f aca="false">C276+F276+I276</f>
        <v>8719.38958509728</v>
      </c>
      <c r="M276" s="50" t="n">
        <f aca="false">D276+G276+J276</f>
        <v>8469.69070280264</v>
      </c>
      <c r="N276" s="50" t="n">
        <f aca="false">L276+M276</f>
        <v>17189.0802878999</v>
      </c>
      <c r="O276" s="50" t="n">
        <f aca="false">E276+H276+K276</f>
        <v>3275059.64906188</v>
      </c>
    </row>
    <row r="277" customFormat="false" ht="15" hidden="false" customHeight="false" outlineLevel="0" collapsed="false">
      <c r="A277" s="49" t="n">
        <v>271</v>
      </c>
      <c r="B277" s="49" t="n">
        <f aca="false">ROUNDUP(A277/12,0)</f>
        <v>23</v>
      </c>
      <c r="C277" s="50" t="n">
        <f aca="false">E276*Annahmen!$B$58/12</f>
        <v>2618.9579534356</v>
      </c>
      <c r="D277" s="50" t="n">
        <f aca="false">MIN($C$3-C277,E276)</f>
        <v>2631.04204656441</v>
      </c>
      <c r="E277" s="50" t="n">
        <f aca="false">E276-D277</f>
        <v>1254468.77560252</v>
      </c>
      <c r="F277" s="50" t="n">
        <f aca="false">H276*Annahmen!$B$59/12</f>
        <v>1948.47481685535</v>
      </c>
      <c r="G277" s="50" t="n">
        <f aca="false">MIN($F$3-F277,H276)</f>
        <v>1876.52518314466</v>
      </c>
      <c r="H277" s="50" t="n">
        <f aca="false">H276-G277</f>
        <v>777513.401558994</v>
      </c>
      <c r="I277" s="50" t="n">
        <f aca="false">K276*Annahmen!$B$60/12</f>
        <v>4128.5663489022</v>
      </c>
      <c r="J277" s="50" t="n">
        <f aca="false">MIN($I$3-I277,K276)</f>
        <v>3985.51393899772</v>
      </c>
      <c r="K277" s="50" t="n">
        <f aca="false">K276-J277</f>
        <v>1234584.39073166</v>
      </c>
      <c r="L277" s="50" t="n">
        <f aca="false">C277+F277+I277</f>
        <v>8695.99911919314</v>
      </c>
      <c r="M277" s="50" t="n">
        <f aca="false">D277+G277+J277</f>
        <v>8493.08116870678</v>
      </c>
      <c r="N277" s="50" t="n">
        <f aca="false">L277+M277</f>
        <v>17189.0802878999</v>
      </c>
      <c r="O277" s="50" t="n">
        <f aca="false">E277+H277+K277</f>
        <v>3266566.56789318</v>
      </c>
    </row>
    <row r="278" customFormat="false" ht="15" hidden="false" customHeight="false" outlineLevel="0" collapsed="false">
      <c r="A278" s="49" t="n">
        <v>272</v>
      </c>
      <c r="B278" s="49" t="n">
        <f aca="false">ROUNDUP(A278/12,0)</f>
        <v>23</v>
      </c>
      <c r="C278" s="50" t="n">
        <f aca="false">E277*Annahmen!$B$58/12</f>
        <v>2613.47661583859</v>
      </c>
      <c r="D278" s="50" t="n">
        <f aca="false">MIN($C$3-C278,E277)</f>
        <v>2636.52338416142</v>
      </c>
      <c r="E278" s="50" t="n">
        <f aca="false">E277-D278</f>
        <v>1251832.25221836</v>
      </c>
      <c r="F278" s="50" t="n">
        <f aca="false">H277*Annahmen!$B$59/12</f>
        <v>1943.78350389749</v>
      </c>
      <c r="G278" s="50" t="n">
        <f aca="false">MIN($F$3-F278,H277)</f>
        <v>1881.21649610252</v>
      </c>
      <c r="H278" s="50" t="n">
        <f aca="false">H277-G278</f>
        <v>775632.185062892</v>
      </c>
      <c r="I278" s="50" t="n">
        <f aca="false">K277*Annahmen!$B$60/12</f>
        <v>4115.28130243887</v>
      </c>
      <c r="J278" s="50" t="n">
        <f aca="false">MIN($I$3-I278,K277)</f>
        <v>3998.79898546105</v>
      </c>
      <c r="K278" s="50" t="n">
        <f aca="false">K277-J278</f>
        <v>1230585.5917462</v>
      </c>
      <c r="L278" s="50" t="n">
        <f aca="false">C278+F278+I278</f>
        <v>8672.54142217495</v>
      </c>
      <c r="M278" s="50" t="n">
        <f aca="false">D278+G278+J278</f>
        <v>8516.53886572498</v>
      </c>
      <c r="N278" s="50" t="n">
        <f aca="false">L278+M278</f>
        <v>17189.0802878999</v>
      </c>
      <c r="O278" s="50" t="n">
        <f aca="false">E278+H278+K278</f>
        <v>3258050.02902745</v>
      </c>
    </row>
    <row r="279" customFormat="false" ht="15" hidden="false" customHeight="false" outlineLevel="0" collapsed="false">
      <c r="A279" s="49" t="n">
        <v>273</v>
      </c>
      <c r="B279" s="49" t="n">
        <f aca="false">ROUNDUP(A279/12,0)</f>
        <v>23</v>
      </c>
      <c r="C279" s="50" t="n">
        <f aca="false">E278*Annahmen!$B$58/12</f>
        <v>2607.98385878825</v>
      </c>
      <c r="D279" s="50" t="n">
        <f aca="false">MIN($C$3-C279,E278)</f>
        <v>2642.01614121175</v>
      </c>
      <c r="E279" s="50" t="n">
        <f aca="false">E278-D279</f>
        <v>1249190.23607715</v>
      </c>
      <c r="F279" s="50" t="n">
        <f aca="false">H278*Annahmen!$B$59/12</f>
        <v>1939.08046265723</v>
      </c>
      <c r="G279" s="50" t="n">
        <f aca="false">MIN($F$3-F279,H278)</f>
        <v>1885.91953734277</v>
      </c>
      <c r="H279" s="50" t="n">
        <f aca="false">H278-G279</f>
        <v>773746.265525549</v>
      </c>
      <c r="I279" s="50" t="n">
        <f aca="false">K278*Annahmen!$B$60/12</f>
        <v>4101.95197248733</v>
      </c>
      <c r="J279" s="50" t="n">
        <f aca="false">MIN($I$3-I279,K278)</f>
        <v>4012.12831541259</v>
      </c>
      <c r="K279" s="50" t="n">
        <f aca="false">K278-J279</f>
        <v>1226573.46343079</v>
      </c>
      <c r="L279" s="50" t="n">
        <f aca="false">C279+F279+I279</f>
        <v>8649.01629393282</v>
      </c>
      <c r="M279" s="50" t="n">
        <f aca="false">D279+G279+J279</f>
        <v>8540.06399396711</v>
      </c>
      <c r="N279" s="50" t="n">
        <f aca="false">L279+M279</f>
        <v>17189.0802878999</v>
      </c>
      <c r="O279" s="50" t="n">
        <f aca="false">E279+H279+K279</f>
        <v>3249509.96503349</v>
      </c>
    </row>
    <row r="280" customFormat="false" ht="15" hidden="false" customHeight="false" outlineLevel="0" collapsed="false">
      <c r="A280" s="49" t="n">
        <v>274</v>
      </c>
      <c r="B280" s="49" t="n">
        <f aca="false">ROUNDUP(A280/12,0)</f>
        <v>23</v>
      </c>
      <c r="C280" s="50" t="n">
        <f aca="false">E279*Annahmen!$B$58/12</f>
        <v>2602.47965849406</v>
      </c>
      <c r="D280" s="50" t="n">
        <f aca="false">MIN($C$3-C280,E279)</f>
        <v>2647.52034150594</v>
      </c>
      <c r="E280" s="50" t="n">
        <f aca="false">E279-D280</f>
        <v>1246542.71573564</v>
      </c>
      <c r="F280" s="50" t="n">
        <f aca="false">H279*Annahmen!$B$59/12</f>
        <v>1934.36566381387</v>
      </c>
      <c r="G280" s="50" t="n">
        <f aca="false">MIN($F$3-F280,H279)</f>
        <v>1890.63433618613</v>
      </c>
      <c r="H280" s="50" t="n">
        <f aca="false">H279-G280</f>
        <v>771855.631189363</v>
      </c>
      <c r="I280" s="50" t="n">
        <f aca="false">K279*Annahmen!$B$60/12</f>
        <v>4088.57821143596</v>
      </c>
      <c r="J280" s="50" t="n">
        <f aca="false">MIN($I$3-I280,K279)</f>
        <v>4025.50207646396</v>
      </c>
      <c r="K280" s="50" t="n">
        <f aca="false">K279-J280</f>
        <v>1222547.96135432</v>
      </c>
      <c r="L280" s="50" t="n">
        <f aca="false">C280+F280+I280</f>
        <v>8625.42353374389</v>
      </c>
      <c r="M280" s="50" t="n">
        <f aca="false">D280+G280+J280</f>
        <v>8563.65675415603</v>
      </c>
      <c r="N280" s="50" t="n">
        <f aca="false">L280+M280</f>
        <v>17189.0802878999</v>
      </c>
      <c r="O280" s="50" t="n">
        <f aca="false">E280+H280+K280</f>
        <v>3240946.30827933</v>
      </c>
    </row>
    <row r="281" customFormat="false" ht="15" hidden="false" customHeight="false" outlineLevel="0" collapsed="false">
      <c r="A281" s="49" t="n">
        <v>275</v>
      </c>
      <c r="B281" s="49" t="n">
        <f aca="false">ROUNDUP(A281/12,0)</f>
        <v>23</v>
      </c>
      <c r="C281" s="50" t="n">
        <f aca="false">E280*Annahmen!$B$58/12</f>
        <v>2596.96399111592</v>
      </c>
      <c r="D281" s="50" t="n">
        <f aca="false">MIN($C$3-C281,E280)</f>
        <v>2653.03600888408</v>
      </c>
      <c r="E281" s="50" t="n">
        <f aca="false">E280-D281</f>
        <v>1243889.67972676</v>
      </c>
      <c r="F281" s="50" t="n">
        <f aca="false">H280*Annahmen!$B$59/12</f>
        <v>1929.63907797341</v>
      </c>
      <c r="G281" s="50" t="n">
        <f aca="false">MIN($F$3-F281,H280)</f>
        <v>1895.3609220266</v>
      </c>
      <c r="H281" s="50" t="n">
        <f aca="false">H280-G281</f>
        <v>769960.270267336</v>
      </c>
      <c r="I281" s="50" t="n">
        <f aca="false">K280*Annahmen!$B$60/12</f>
        <v>4075.15987118108</v>
      </c>
      <c r="J281" s="50" t="n">
        <f aca="false">MIN($I$3-I281,K280)</f>
        <v>4038.92041671884</v>
      </c>
      <c r="K281" s="50" t="n">
        <f aca="false">K280-J281</f>
        <v>1218509.0409376</v>
      </c>
      <c r="L281" s="50" t="n">
        <f aca="false">C281+F281+I281</f>
        <v>8601.76294027041</v>
      </c>
      <c r="M281" s="50" t="n">
        <f aca="false">D281+G281+J281</f>
        <v>8587.31734762952</v>
      </c>
      <c r="N281" s="50" t="n">
        <f aca="false">L281+M281</f>
        <v>17189.0802878999</v>
      </c>
      <c r="O281" s="50" t="n">
        <f aca="false">E281+H281+K281</f>
        <v>3232358.9909317</v>
      </c>
    </row>
    <row r="282" customFormat="false" ht="15" hidden="false" customHeight="false" outlineLevel="0" collapsed="false">
      <c r="A282" s="49" t="n">
        <v>276</v>
      </c>
      <c r="B282" s="49" t="n">
        <f aca="false">ROUNDUP(A282/12,0)</f>
        <v>23</v>
      </c>
      <c r="C282" s="50" t="n">
        <f aca="false">E281*Annahmen!$B$58/12</f>
        <v>2591.43683276408</v>
      </c>
      <c r="D282" s="50" t="n">
        <f aca="false">MIN($C$3-C282,E281)</f>
        <v>2658.56316723592</v>
      </c>
      <c r="E282" s="50" t="n">
        <f aca="false">E281-D282</f>
        <v>1241231.11655952</v>
      </c>
      <c r="F282" s="50" t="n">
        <f aca="false">H281*Annahmen!$B$59/12</f>
        <v>1924.90067566834</v>
      </c>
      <c r="G282" s="50" t="n">
        <f aca="false">MIN($F$3-F282,H281)</f>
        <v>1900.09932433166</v>
      </c>
      <c r="H282" s="50" t="n">
        <f aca="false">H281-G282</f>
        <v>768060.170943005</v>
      </c>
      <c r="I282" s="50" t="n">
        <f aca="false">K281*Annahmen!$B$60/12</f>
        <v>4061.69680312535</v>
      </c>
      <c r="J282" s="50" t="n">
        <f aca="false">MIN($I$3-I282,K281)</f>
        <v>4052.38348477457</v>
      </c>
      <c r="K282" s="50" t="n">
        <f aca="false">K281-J282</f>
        <v>1214456.65745283</v>
      </c>
      <c r="L282" s="50" t="n">
        <f aca="false">C282+F282+I282</f>
        <v>8578.03431155777</v>
      </c>
      <c r="M282" s="50" t="n">
        <f aca="false">D282+G282+J282</f>
        <v>8611.04597634215</v>
      </c>
      <c r="N282" s="50" t="n">
        <f aca="false">L282+M282</f>
        <v>17189.0802878999</v>
      </c>
      <c r="O282" s="50" t="n">
        <f aca="false">E282+H282+K282</f>
        <v>3223747.94495536</v>
      </c>
    </row>
    <row r="283" customFormat="false" ht="15" hidden="false" customHeight="false" outlineLevel="0" collapsed="false">
      <c r="A283" s="49" t="n">
        <v>277</v>
      </c>
      <c r="B283" s="49" t="n">
        <f aca="false">ROUNDUP(A283/12,0)</f>
        <v>24</v>
      </c>
      <c r="C283" s="50" t="n">
        <f aca="false">E282*Annahmen!$B$58/12</f>
        <v>2585.89815949901</v>
      </c>
      <c r="D283" s="50" t="n">
        <f aca="false">MIN($C$3-C283,E282)</f>
        <v>2664.101840501</v>
      </c>
      <c r="E283" s="50" t="n">
        <f aca="false">E282-D283</f>
        <v>1238567.01471902</v>
      </c>
      <c r="F283" s="50" t="n">
        <f aca="false">H282*Annahmen!$B$59/12</f>
        <v>1920.15042735751</v>
      </c>
      <c r="G283" s="50" t="n">
        <f aca="false">MIN($F$3-F283,H282)</f>
        <v>1904.84957264249</v>
      </c>
      <c r="H283" s="50" t="n">
        <f aca="false">H282-G283</f>
        <v>766155.321370362</v>
      </c>
      <c r="I283" s="50" t="n">
        <f aca="false">K282*Annahmen!$B$60/12</f>
        <v>4048.1888581761</v>
      </c>
      <c r="J283" s="50" t="n">
        <f aca="false">MIN($I$3-I283,K282)</f>
        <v>4065.89142972382</v>
      </c>
      <c r="K283" s="50" t="n">
        <f aca="false">K282-J283</f>
        <v>1210390.76602311</v>
      </c>
      <c r="L283" s="50" t="n">
        <f aca="false">C283+F283+I283</f>
        <v>8554.23744503262</v>
      </c>
      <c r="M283" s="50" t="n">
        <f aca="false">D283+G283+J283</f>
        <v>8634.84284286731</v>
      </c>
      <c r="N283" s="50" t="n">
        <f aca="false">L283+M283</f>
        <v>17189.0802878999</v>
      </c>
      <c r="O283" s="50" t="n">
        <f aca="false">E283+H283+K283</f>
        <v>3215113.10211249</v>
      </c>
    </row>
    <row r="284" customFormat="false" ht="15" hidden="false" customHeight="false" outlineLevel="0" collapsed="false">
      <c r="A284" s="49" t="n">
        <v>278</v>
      </c>
      <c r="B284" s="49" t="n">
        <f aca="false">ROUNDUP(A284/12,0)</f>
        <v>24</v>
      </c>
      <c r="C284" s="50" t="n">
        <f aca="false">E283*Annahmen!$B$58/12</f>
        <v>2580.3479473313</v>
      </c>
      <c r="D284" s="50" t="n">
        <f aca="false">MIN($C$3-C284,E283)</f>
        <v>2669.65205266871</v>
      </c>
      <c r="E284" s="50" t="n">
        <f aca="false">E283-D284</f>
        <v>1235897.36266635</v>
      </c>
      <c r="F284" s="50" t="n">
        <f aca="false">H283*Annahmen!$B$59/12</f>
        <v>1915.38830342591</v>
      </c>
      <c r="G284" s="50" t="n">
        <f aca="false">MIN($F$3-F284,H283)</f>
        <v>1909.6116965741</v>
      </c>
      <c r="H284" s="50" t="n">
        <f aca="false">H283-G284</f>
        <v>764245.709673788</v>
      </c>
      <c r="I284" s="50" t="n">
        <f aca="false">K283*Annahmen!$B$60/12</f>
        <v>4034.63588674369</v>
      </c>
      <c r="J284" s="50" t="n">
        <f aca="false">MIN($I$3-I284,K283)</f>
        <v>4079.44440115623</v>
      </c>
      <c r="K284" s="50" t="n">
        <f aca="false">K283-J284</f>
        <v>1206311.32162195</v>
      </c>
      <c r="L284" s="50" t="n">
        <f aca="false">C284+F284+I284</f>
        <v>8530.37213750089</v>
      </c>
      <c r="M284" s="50" t="n">
        <f aca="false">D284+G284+J284</f>
        <v>8658.70815039903</v>
      </c>
      <c r="N284" s="50" t="n">
        <f aca="false">L284+M284</f>
        <v>17189.0802878999</v>
      </c>
      <c r="O284" s="50" t="n">
        <f aca="false">E284+H284+K284</f>
        <v>3206454.39396209</v>
      </c>
    </row>
    <row r="285" customFormat="false" ht="15" hidden="false" customHeight="false" outlineLevel="0" collapsed="false">
      <c r="A285" s="49" t="n">
        <v>279</v>
      </c>
      <c r="B285" s="49" t="n">
        <f aca="false">ROUNDUP(A285/12,0)</f>
        <v>24</v>
      </c>
      <c r="C285" s="50" t="n">
        <f aca="false">E284*Annahmen!$B$58/12</f>
        <v>2574.78617222157</v>
      </c>
      <c r="D285" s="50" t="n">
        <f aca="false">MIN($C$3-C285,E284)</f>
        <v>2675.21382777843</v>
      </c>
      <c r="E285" s="50" t="n">
        <f aca="false">E284-D285</f>
        <v>1233222.14883858</v>
      </c>
      <c r="F285" s="50" t="n">
        <f aca="false">H284*Annahmen!$B$59/12</f>
        <v>1910.61427418447</v>
      </c>
      <c r="G285" s="50" t="n">
        <f aca="false">MIN($F$3-F285,H284)</f>
        <v>1914.38572581553</v>
      </c>
      <c r="H285" s="50" t="n">
        <f aca="false">H284-G285</f>
        <v>762331.323947972</v>
      </c>
      <c r="I285" s="50" t="n">
        <f aca="false">K284*Annahmen!$B$60/12</f>
        <v>4021.03773873984</v>
      </c>
      <c r="J285" s="50" t="n">
        <f aca="false">MIN($I$3-I285,K284)</f>
        <v>4093.04254916008</v>
      </c>
      <c r="K285" s="50" t="n">
        <f aca="false">K284-J285</f>
        <v>1202218.27907279</v>
      </c>
      <c r="L285" s="50" t="n">
        <f aca="false">C285+F285+I285</f>
        <v>8506.43818514588</v>
      </c>
      <c r="M285" s="50" t="n">
        <f aca="false">D285+G285+J285</f>
        <v>8682.64210275405</v>
      </c>
      <c r="N285" s="50" t="n">
        <f aca="false">L285+M285</f>
        <v>17189.0802878999</v>
      </c>
      <c r="O285" s="50" t="n">
        <f aca="false">E285+H285+K285</f>
        <v>3197771.75185934</v>
      </c>
    </row>
    <row r="286" customFormat="false" ht="15" hidden="false" customHeight="false" outlineLevel="0" collapsed="false">
      <c r="A286" s="49" t="n">
        <v>280</v>
      </c>
      <c r="B286" s="49" t="n">
        <f aca="false">ROUNDUP(A286/12,0)</f>
        <v>24</v>
      </c>
      <c r="C286" s="50" t="n">
        <f aca="false">E285*Annahmen!$B$58/12</f>
        <v>2569.21281008036</v>
      </c>
      <c r="D286" s="50" t="n">
        <f aca="false">MIN($C$3-C286,E285)</f>
        <v>2680.78718991964</v>
      </c>
      <c r="E286" s="50" t="n">
        <f aca="false">E285-D286</f>
        <v>1230541.36164866</v>
      </c>
      <c r="F286" s="50" t="n">
        <f aca="false">H285*Annahmen!$B$59/12</f>
        <v>1905.82830986993</v>
      </c>
      <c r="G286" s="50" t="n">
        <f aca="false">MIN($F$3-F286,H285)</f>
        <v>1919.17169013007</v>
      </c>
      <c r="H286" s="50" t="n">
        <f aca="false">H285-G286</f>
        <v>760412.152257842</v>
      </c>
      <c r="I286" s="50" t="n">
        <f aca="false">K285*Annahmen!$B$60/12</f>
        <v>4007.39426357597</v>
      </c>
      <c r="J286" s="50" t="n">
        <f aca="false">MIN($I$3-I286,K285)</f>
        <v>4106.68602432395</v>
      </c>
      <c r="K286" s="50" t="n">
        <f aca="false">K285-J286</f>
        <v>1198111.59304847</v>
      </c>
      <c r="L286" s="50" t="n">
        <f aca="false">C286+F286+I286</f>
        <v>8482.43538352627</v>
      </c>
      <c r="M286" s="50" t="n">
        <f aca="false">D286+G286+J286</f>
        <v>8706.64490437366</v>
      </c>
      <c r="N286" s="50" t="n">
        <f aca="false">L286+M286</f>
        <v>17189.0802878999</v>
      </c>
      <c r="O286" s="50" t="n">
        <f aca="false">E286+H286+K286</f>
        <v>3189065.10695496</v>
      </c>
    </row>
    <row r="287" customFormat="false" ht="15" hidden="false" customHeight="false" outlineLevel="0" collapsed="false">
      <c r="A287" s="49" t="n">
        <v>281</v>
      </c>
      <c r="B287" s="49" t="n">
        <f aca="false">ROUNDUP(A287/12,0)</f>
        <v>24</v>
      </c>
      <c r="C287" s="50" t="n">
        <f aca="false">E286*Annahmen!$B$58/12</f>
        <v>2563.62783676803</v>
      </c>
      <c r="D287" s="50" t="n">
        <f aca="false">MIN($C$3-C287,E286)</f>
        <v>2686.37216323197</v>
      </c>
      <c r="E287" s="50" t="n">
        <f aca="false">E286-D287</f>
        <v>1227854.98948542</v>
      </c>
      <c r="F287" s="50" t="n">
        <f aca="false">H286*Annahmen!$B$59/12</f>
        <v>1901.03038064461</v>
      </c>
      <c r="G287" s="50" t="n">
        <f aca="false">MIN($F$3-F287,H286)</f>
        <v>1923.9696193554</v>
      </c>
      <c r="H287" s="50" t="n">
        <f aca="false">H286-G287</f>
        <v>758488.182638487</v>
      </c>
      <c r="I287" s="50" t="n">
        <f aca="false">K286*Annahmen!$B$60/12</f>
        <v>3993.70531016155</v>
      </c>
      <c r="J287" s="50" t="n">
        <f aca="false">MIN($I$3-I287,K286)</f>
        <v>4120.37497773837</v>
      </c>
      <c r="K287" s="50" t="n">
        <f aca="false">K286-J287</f>
        <v>1193991.21807073</v>
      </c>
      <c r="L287" s="50" t="n">
        <f aca="false">C287+F287+I287</f>
        <v>8458.36352757419</v>
      </c>
      <c r="M287" s="50" t="n">
        <f aca="false">D287+G287+J287</f>
        <v>8730.71676032573</v>
      </c>
      <c r="N287" s="50" t="n">
        <f aca="false">L287+M287</f>
        <v>17189.0802878999</v>
      </c>
      <c r="O287" s="50" t="n">
        <f aca="false">E287+H287+K287</f>
        <v>3180334.39019464</v>
      </c>
    </row>
    <row r="288" customFormat="false" ht="15" hidden="false" customHeight="false" outlineLevel="0" collapsed="false">
      <c r="A288" s="49" t="n">
        <v>282</v>
      </c>
      <c r="B288" s="49" t="n">
        <f aca="false">ROUNDUP(A288/12,0)</f>
        <v>24</v>
      </c>
      <c r="C288" s="50" t="n">
        <f aca="false">E287*Annahmen!$B$58/12</f>
        <v>2558.03122809463</v>
      </c>
      <c r="D288" s="50" t="n">
        <f aca="false">MIN($C$3-C288,E287)</f>
        <v>2691.96877190537</v>
      </c>
      <c r="E288" s="50" t="n">
        <f aca="false">E287-D288</f>
        <v>1225163.02071352</v>
      </c>
      <c r="F288" s="50" t="n">
        <f aca="false">H287*Annahmen!$B$59/12</f>
        <v>1896.22045659622</v>
      </c>
      <c r="G288" s="50" t="n">
        <f aca="false">MIN($F$3-F288,H287)</f>
        <v>1928.77954340378</v>
      </c>
      <c r="H288" s="50" t="n">
        <f aca="false">H287-G288</f>
        <v>756559.403095083</v>
      </c>
      <c r="I288" s="50" t="n">
        <f aca="false">K287*Annahmen!$B$60/12</f>
        <v>3979.97072690243</v>
      </c>
      <c r="J288" s="50" t="n">
        <f aca="false">MIN($I$3-I288,K287)</f>
        <v>4134.10956099749</v>
      </c>
      <c r="K288" s="50" t="n">
        <f aca="false">K287-J288</f>
        <v>1189857.10850973</v>
      </c>
      <c r="L288" s="50" t="n">
        <f aca="false">C288+F288+I288</f>
        <v>8434.22241159328</v>
      </c>
      <c r="M288" s="50" t="n">
        <f aca="false">D288+G288+J288</f>
        <v>8754.85787630665</v>
      </c>
      <c r="N288" s="50" t="n">
        <f aca="false">L288+M288</f>
        <v>17189.0802878999</v>
      </c>
      <c r="O288" s="50" t="n">
        <f aca="false">E288+H288+K288</f>
        <v>3171579.53231833</v>
      </c>
    </row>
    <row r="289" customFormat="false" ht="15" hidden="false" customHeight="false" outlineLevel="0" collapsed="false">
      <c r="A289" s="49" t="n">
        <v>283</v>
      </c>
      <c r="B289" s="49" t="n">
        <f aca="false">ROUNDUP(A289/12,0)</f>
        <v>24</v>
      </c>
      <c r="C289" s="50" t="n">
        <f aca="false">E288*Annahmen!$B$58/12</f>
        <v>2552.42295981983</v>
      </c>
      <c r="D289" s="50" t="n">
        <f aca="false">MIN($C$3-C289,E288)</f>
        <v>2697.57704018017</v>
      </c>
      <c r="E289" s="50" t="n">
        <f aca="false">E288-D289</f>
        <v>1222465.44367334</v>
      </c>
      <c r="F289" s="50" t="n">
        <f aca="false">H288*Annahmen!$B$59/12</f>
        <v>1891.39850773771</v>
      </c>
      <c r="G289" s="50" t="n">
        <f aca="false">MIN($F$3-F289,H288)</f>
        <v>1933.60149226229</v>
      </c>
      <c r="H289" s="50" t="n">
        <f aca="false">H288-G289</f>
        <v>754625.801602821</v>
      </c>
      <c r="I289" s="50" t="n">
        <f aca="false">K288*Annahmen!$B$60/12</f>
        <v>3966.1903616991</v>
      </c>
      <c r="J289" s="50" t="n">
        <f aca="false">MIN($I$3-I289,K288)</f>
        <v>4147.88992620082</v>
      </c>
      <c r="K289" s="50" t="n">
        <f aca="false">K288-J289</f>
        <v>1185709.21858353</v>
      </c>
      <c r="L289" s="50" t="n">
        <f aca="false">C289+F289+I289</f>
        <v>8410.01182925664</v>
      </c>
      <c r="M289" s="50" t="n">
        <f aca="false">D289+G289+J289</f>
        <v>8779.06845864328</v>
      </c>
      <c r="N289" s="50" t="n">
        <f aca="false">L289+M289</f>
        <v>17189.0802878999</v>
      </c>
      <c r="O289" s="50" t="n">
        <f aca="false">E289+H289+K289</f>
        <v>3162800.46385969</v>
      </c>
    </row>
    <row r="290" customFormat="false" ht="15" hidden="false" customHeight="false" outlineLevel="0" collapsed="false">
      <c r="A290" s="49" t="n">
        <v>284</v>
      </c>
      <c r="B290" s="49" t="n">
        <f aca="false">ROUNDUP(A290/12,0)</f>
        <v>24</v>
      </c>
      <c r="C290" s="50" t="n">
        <f aca="false">E289*Annahmen!$B$58/12</f>
        <v>2546.80300765279</v>
      </c>
      <c r="D290" s="50" t="n">
        <f aca="false">MIN($C$3-C290,E289)</f>
        <v>2703.19699234722</v>
      </c>
      <c r="E290" s="50" t="n">
        <f aca="false">E289-D290</f>
        <v>1219762.24668099</v>
      </c>
      <c r="F290" s="50" t="n">
        <f aca="false">H289*Annahmen!$B$59/12</f>
        <v>1886.56450400705</v>
      </c>
      <c r="G290" s="50" t="n">
        <f aca="false">MIN($F$3-F290,H289)</f>
        <v>1938.43549599295</v>
      </c>
      <c r="H290" s="50" t="n">
        <f aca="false">H289-G290</f>
        <v>752687.366106828</v>
      </c>
      <c r="I290" s="50" t="n">
        <f aca="false">K289*Annahmen!$B$60/12</f>
        <v>3952.3640619451</v>
      </c>
      <c r="J290" s="50" t="n">
        <f aca="false">MIN($I$3-I290,K289)</f>
        <v>4161.71622595482</v>
      </c>
      <c r="K290" s="50" t="n">
        <f aca="false">K289-J290</f>
        <v>1181547.50235758</v>
      </c>
      <c r="L290" s="50" t="n">
        <f aca="false">C290+F290+I290</f>
        <v>8385.73157360494</v>
      </c>
      <c r="M290" s="50" t="n">
        <f aca="false">D290+G290+J290</f>
        <v>8803.34871429499</v>
      </c>
      <c r="N290" s="50" t="n">
        <f aca="false">L290+M290</f>
        <v>17189.0802878999</v>
      </c>
      <c r="O290" s="50" t="n">
        <f aca="false">E290+H290+K290</f>
        <v>3153997.11514539</v>
      </c>
    </row>
    <row r="291" customFormat="false" ht="15" hidden="false" customHeight="false" outlineLevel="0" collapsed="false">
      <c r="A291" s="49" t="n">
        <v>285</v>
      </c>
      <c r="B291" s="49" t="n">
        <f aca="false">ROUNDUP(A291/12,0)</f>
        <v>24</v>
      </c>
      <c r="C291" s="50" t="n">
        <f aca="false">E290*Annahmen!$B$58/12</f>
        <v>2541.17134725206</v>
      </c>
      <c r="D291" s="50" t="n">
        <f aca="false">MIN($C$3-C291,E290)</f>
        <v>2708.82865274794</v>
      </c>
      <c r="E291" s="50" t="n">
        <f aca="false">E290-D291</f>
        <v>1217053.41802824</v>
      </c>
      <c r="F291" s="50" t="n">
        <f aca="false">H290*Annahmen!$B$59/12</f>
        <v>1881.71841526707</v>
      </c>
      <c r="G291" s="50" t="n">
        <f aca="false">MIN($F$3-F291,H290)</f>
        <v>1943.28158473293</v>
      </c>
      <c r="H291" s="50" t="n">
        <f aca="false">H290-G291</f>
        <v>750744.084522095</v>
      </c>
      <c r="I291" s="50" t="n">
        <f aca="false">K290*Annahmen!$B$60/12</f>
        <v>3938.49167452525</v>
      </c>
      <c r="J291" s="50" t="n">
        <f aca="false">MIN($I$3-I291,K290)</f>
        <v>4175.58861337467</v>
      </c>
      <c r="K291" s="50" t="n">
        <f aca="false">K290-J291</f>
        <v>1177371.9137442</v>
      </c>
      <c r="L291" s="50" t="n">
        <f aca="false">C291+F291+I291</f>
        <v>8361.38143704438</v>
      </c>
      <c r="M291" s="50" t="n">
        <f aca="false">D291+G291+J291</f>
        <v>8827.69885085554</v>
      </c>
      <c r="N291" s="50" t="n">
        <f aca="false">L291+M291</f>
        <v>17189.0802878999</v>
      </c>
      <c r="O291" s="50" t="n">
        <f aca="false">E291+H291+K291</f>
        <v>3145169.41629454</v>
      </c>
    </row>
    <row r="292" customFormat="false" ht="15" hidden="false" customHeight="false" outlineLevel="0" collapsed="false">
      <c r="A292" s="49" t="n">
        <v>286</v>
      </c>
      <c r="B292" s="49" t="n">
        <f aca="false">ROUNDUP(A292/12,0)</f>
        <v>24</v>
      </c>
      <c r="C292" s="50" t="n">
        <f aca="false">E291*Annahmen!$B$58/12</f>
        <v>2535.52795422551</v>
      </c>
      <c r="D292" s="50" t="n">
        <f aca="false">MIN($C$3-C292,E291)</f>
        <v>2714.4720457745</v>
      </c>
      <c r="E292" s="50" t="n">
        <f aca="false">E291-D292</f>
        <v>1214338.94598247</v>
      </c>
      <c r="F292" s="50" t="n">
        <f aca="false">H291*Annahmen!$B$59/12</f>
        <v>1876.86021130524</v>
      </c>
      <c r="G292" s="50" t="n">
        <f aca="false">MIN($F$3-F292,H291)</f>
        <v>1948.13978869476</v>
      </c>
      <c r="H292" s="50" t="n">
        <f aca="false">H291-G292</f>
        <v>748795.9447334</v>
      </c>
      <c r="I292" s="50" t="n">
        <f aca="false">K291*Annahmen!$B$60/12</f>
        <v>3924.573045814</v>
      </c>
      <c r="J292" s="50" t="n">
        <f aca="false">MIN($I$3-I292,K291)</f>
        <v>4189.50724208592</v>
      </c>
      <c r="K292" s="50" t="n">
        <f aca="false">K291-J292</f>
        <v>1173182.40650211</v>
      </c>
      <c r="L292" s="50" t="n">
        <f aca="false">C292+F292+I292</f>
        <v>8336.96121134475</v>
      </c>
      <c r="M292" s="50" t="n">
        <f aca="false">D292+G292+J292</f>
        <v>8852.11907655518</v>
      </c>
      <c r="N292" s="50" t="n">
        <f aca="false">L292+M292</f>
        <v>17189.0802878999</v>
      </c>
      <c r="O292" s="50" t="n">
        <f aca="false">E292+H292+K292</f>
        <v>3136317.29721798</v>
      </c>
    </row>
    <row r="293" customFormat="false" ht="15" hidden="false" customHeight="false" outlineLevel="0" collapsed="false">
      <c r="A293" s="49" t="n">
        <v>287</v>
      </c>
      <c r="B293" s="49" t="n">
        <f aca="false">ROUNDUP(A293/12,0)</f>
        <v>24</v>
      </c>
      <c r="C293" s="50" t="n">
        <f aca="false">E292*Annahmen!$B$58/12</f>
        <v>2529.87280413014</v>
      </c>
      <c r="D293" s="50" t="n">
        <f aca="false">MIN($C$3-C293,E292)</f>
        <v>2720.12719586986</v>
      </c>
      <c r="E293" s="50" t="n">
        <f aca="false">E292-D293</f>
        <v>1211618.8187866</v>
      </c>
      <c r="F293" s="50" t="n">
        <f aca="false">H292*Annahmen!$B$59/12</f>
        <v>1871.9898618335</v>
      </c>
      <c r="G293" s="50" t="n">
        <f aca="false">MIN($F$3-F293,H292)</f>
        <v>1953.0101381665</v>
      </c>
      <c r="H293" s="50" t="n">
        <f aca="false">H292-G293</f>
        <v>746842.934595234</v>
      </c>
      <c r="I293" s="50" t="n">
        <f aca="false">K292*Annahmen!$B$60/12</f>
        <v>3910.60802167372</v>
      </c>
      <c r="J293" s="50" t="n">
        <f aca="false">MIN($I$3-I293,K292)</f>
        <v>4203.4722662262</v>
      </c>
      <c r="K293" s="50" t="n">
        <f aca="false">K292-J293</f>
        <v>1168978.93423589</v>
      </c>
      <c r="L293" s="50" t="n">
        <f aca="false">C293+F293+I293</f>
        <v>8312.47068763736</v>
      </c>
      <c r="M293" s="50" t="n">
        <f aca="false">D293+G293+J293</f>
        <v>8876.60960026257</v>
      </c>
      <c r="N293" s="50" t="n">
        <f aca="false">L293+M293</f>
        <v>17189.0802878999</v>
      </c>
      <c r="O293" s="50" t="n">
        <f aca="false">E293+H293+K293</f>
        <v>3127440.68761772</v>
      </c>
    </row>
    <row r="294" customFormat="false" ht="15" hidden="false" customHeight="false" outlineLevel="0" collapsed="false">
      <c r="A294" s="49" t="n">
        <v>288</v>
      </c>
      <c r="B294" s="49" t="n">
        <f aca="false">ROUNDUP(A294/12,0)</f>
        <v>24</v>
      </c>
      <c r="C294" s="50" t="n">
        <f aca="false">E293*Annahmen!$B$58/12</f>
        <v>2524.20587247208</v>
      </c>
      <c r="D294" s="50" t="n">
        <f aca="false">MIN($C$3-C294,E293)</f>
        <v>2725.79412752792</v>
      </c>
      <c r="E294" s="50" t="n">
        <f aca="false">E293-D294</f>
        <v>1208893.02465907</v>
      </c>
      <c r="F294" s="50" t="n">
        <f aca="false">H293*Annahmen!$B$59/12</f>
        <v>1867.10733648808</v>
      </c>
      <c r="G294" s="50" t="n">
        <f aca="false">MIN($F$3-F294,H293)</f>
        <v>1957.89266351192</v>
      </c>
      <c r="H294" s="50" t="n">
        <f aca="false">H293-G294</f>
        <v>744885.041931722</v>
      </c>
      <c r="I294" s="50" t="n">
        <f aca="false">K293*Annahmen!$B$60/12</f>
        <v>3896.59644745296</v>
      </c>
      <c r="J294" s="50" t="n">
        <f aca="false">MIN($I$3-I294,K293)</f>
        <v>4217.48384044696</v>
      </c>
      <c r="K294" s="50" t="n">
        <f aca="false">K293-J294</f>
        <v>1164761.45039544</v>
      </c>
      <c r="L294" s="50" t="n">
        <f aca="false">C294+F294+I294</f>
        <v>8287.90965641313</v>
      </c>
      <c r="M294" s="50" t="n">
        <f aca="false">D294+G294+J294</f>
        <v>8901.1706314868</v>
      </c>
      <c r="N294" s="50" t="n">
        <f aca="false">L294+M294</f>
        <v>17189.0802878999</v>
      </c>
      <c r="O294" s="50" t="n">
        <f aca="false">E294+H294+K294</f>
        <v>3118539.51698623</v>
      </c>
    </row>
    <row r="295" customFormat="false" ht="15" hidden="false" customHeight="false" outlineLevel="0" collapsed="false">
      <c r="A295" s="49" t="n">
        <v>289</v>
      </c>
      <c r="B295" s="49" t="n">
        <f aca="false">ROUNDUP(A295/12,0)</f>
        <v>25</v>
      </c>
      <c r="C295" s="50" t="n">
        <f aca="false">E294*Annahmen!$B$58/12</f>
        <v>2518.5271347064</v>
      </c>
      <c r="D295" s="50" t="n">
        <f aca="false">MIN($C$3-C295,E294)</f>
        <v>2731.47286529361</v>
      </c>
      <c r="E295" s="50" t="n">
        <f aca="false">E294-D295</f>
        <v>1206161.55179378</v>
      </c>
      <c r="F295" s="50" t="n">
        <f aca="false">H294*Annahmen!$B$59/12</f>
        <v>1862.2126048293</v>
      </c>
      <c r="G295" s="50" t="n">
        <f aca="false">MIN($F$3-F295,H294)</f>
        <v>1962.7873951707</v>
      </c>
      <c r="H295" s="50" t="n">
        <f aca="false">H294-G295</f>
        <v>742922.254536551</v>
      </c>
      <c r="I295" s="50" t="n">
        <f aca="false">K294*Annahmen!$B$60/12</f>
        <v>3882.5381679848</v>
      </c>
      <c r="J295" s="50" t="n">
        <f aca="false">MIN($I$3-I295,K294)</f>
        <v>4231.54211991512</v>
      </c>
      <c r="K295" s="50" t="n">
        <f aca="false">K294-J295</f>
        <v>1160529.90827553</v>
      </c>
      <c r="L295" s="50" t="n">
        <f aca="false">C295+F295+I295</f>
        <v>8263.27790752051</v>
      </c>
      <c r="M295" s="50" t="n">
        <f aca="false">D295+G295+J295</f>
        <v>8925.80238037942</v>
      </c>
      <c r="N295" s="50" t="n">
        <f aca="false">L295+M295</f>
        <v>17189.0802878999</v>
      </c>
      <c r="O295" s="50" t="n">
        <f aca="false">E295+H295+K295</f>
        <v>3109613.71460585</v>
      </c>
    </row>
    <row r="296" customFormat="false" ht="15" hidden="false" customHeight="false" outlineLevel="0" collapsed="false">
      <c r="A296" s="49" t="n">
        <v>290</v>
      </c>
      <c r="B296" s="49" t="n">
        <f aca="false">ROUNDUP(A296/12,0)</f>
        <v>25</v>
      </c>
      <c r="C296" s="50" t="n">
        <f aca="false">E295*Annahmen!$B$58/12</f>
        <v>2512.83656623704</v>
      </c>
      <c r="D296" s="50" t="n">
        <f aca="false">MIN($C$3-C296,E295)</f>
        <v>2737.16343376297</v>
      </c>
      <c r="E296" s="50" t="n">
        <f aca="false">E295-D296</f>
        <v>1203424.38836001</v>
      </c>
      <c r="F296" s="50" t="n">
        <f aca="false">H295*Annahmen!$B$59/12</f>
        <v>1857.30563634138</v>
      </c>
      <c r="G296" s="50" t="n">
        <f aca="false">MIN($F$3-F296,H295)</f>
        <v>1967.69436365862</v>
      </c>
      <c r="H296" s="50" t="n">
        <f aca="false">H295-G296</f>
        <v>740954.560172892</v>
      </c>
      <c r="I296" s="50" t="n">
        <f aca="false">K295*Annahmen!$B$60/12</f>
        <v>3868.43302758509</v>
      </c>
      <c r="J296" s="50" t="n">
        <f aca="false">MIN($I$3-I296,K295)</f>
        <v>4245.64726031483</v>
      </c>
      <c r="K296" s="50" t="n">
        <f aca="false">K295-J296</f>
        <v>1156284.26101521</v>
      </c>
      <c r="L296" s="50" t="n">
        <f aca="false">C296+F296+I296</f>
        <v>8238.5752301635</v>
      </c>
      <c r="M296" s="50" t="n">
        <f aca="false">D296+G296+J296</f>
        <v>8950.50505773642</v>
      </c>
      <c r="N296" s="50" t="n">
        <f aca="false">L296+M296</f>
        <v>17189.0802878999</v>
      </c>
      <c r="O296" s="50" t="n">
        <f aca="false">E296+H296+K296</f>
        <v>3100663.20954812</v>
      </c>
    </row>
    <row r="297" customFormat="false" ht="15" hidden="false" customHeight="false" outlineLevel="0" collapsed="false">
      <c r="A297" s="49" t="n">
        <v>291</v>
      </c>
      <c r="B297" s="49" t="n">
        <f aca="false">ROUNDUP(A297/12,0)</f>
        <v>25</v>
      </c>
      <c r="C297" s="50" t="n">
        <f aca="false">E296*Annahmen!$B$58/12</f>
        <v>2507.1341424167</v>
      </c>
      <c r="D297" s="50" t="n">
        <f aca="false">MIN($C$3-C297,E296)</f>
        <v>2742.86585758331</v>
      </c>
      <c r="E297" s="50" t="n">
        <f aca="false">E296-D297</f>
        <v>1200681.52250243</v>
      </c>
      <c r="F297" s="50" t="n">
        <f aca="false">H296*Annahmen!$B$59/12</f>
        <v>1852.38640043223</v>
      </c>
      <c r="G297" s="50" t="n">
        <f aca="false">MIN($F$3-F297,H296)</f>
        <v>1972.61359956777</v>
      </c>
      <c r="H297" s="50" t="n">
        <f aca="false">H296-G297</f>
        <v>738981.946573325</v>
      </c>
      <c r="I297" s="50" t="n">
        <f aca="false">K296*Annahmen!$B$60/12</f>
        <v>3854.28087005071</v>
      </c>
      <c r="J297" s="50" t="n">
        <f aca="false">MIN($I$3-I297,K296)</f>
        <v>4259.79941784921</v>
      </c>
      <c r="K297" s="50" t="n">
        <f aca="false">K296-J297</f>
        <v>1152024.46159736</v>
      </c>
      <c r="L297" s="50" t="n">
        <f aca="false">C297+F297+I297</f>
        <v>8213.80141289963</v>
      </c>
      <c r="M297" s="50" t="n">
        <f aca="false">D297+G297+J297</f>
        <v>8975.27887500029</v>
      </c>
      <c r="N297" s="50" t="n">
        <f aca="false">L297+M297</f>
        <v>17189.0802878999</v>
      </c>
      <c r="O297" s="50" t="n">
        <f aca="false">E297+H297+K297</f>
        <v>3091687.93067312</v>
      </c>
    </row>
    <row r="298" customFormat="false" ht="15" hidden="false" customHeight="false" outlineLevel="0" collapsed="false">
      <c r="A298" s="49" t="n">
        <v>292</v>
      </c>
      <c r="B298" s="49" t="n">
        <f aca="false">ROUNDUP(A298/12,0)</f>
        <v>25</v>
      </c>
      <c r="C298" s="50" t="n">
        <f aca="false">E297*Annahmen!$B$58/12</f>
        <v>2501.41983854673</v>
      </c>
      <c r="D298" s="50" t="n">
        <f aca="false">MIN($C$3-C298,E297)</f>
        <v>2748.58016145327</v>
      </c>
      <c r="E298" s="50" t="n">
        <f aca="false">E297-D298</f>
        <v>1197932.94234098</v>
      </c>
      <c r="F298" s="50" t="n">
        <f aca="false">H297*Annahmen!$B$59/12</f>
        <v>1847.45486643331</v>
      </c>
      <c r="G298" s="50" t="n">
        <f aca="false">MIN($F$3-F298,H297)</f>
        <v>1977.54513356669</v>
      </c>
      <c r="H298" s="50" t="n">
        <f aca="false">H297-G298</f>
        <v>737004.401439758</v>
      </c>
      <c r="I298" s="50" t="n">
        <f aca="false">K297*Annahmen!$B$60/12</f>
        <v>3840.08153865787</v>
      </c>
      <c r="J298" s="50" t="n">
        <f aca="false">MIN($I$3-I298,K297)</f>
        <v>4273.99874924205</v>
      </c>
      <c r="K298" s="50" t="n">
        <f aca="false">K297-J298</f>
        <v>1147750.46284812</v>
      </c>
      <c r="L298" s="50" t="n">
        <f aca="false">C298+F298+I298</f>
        <v>8188.95624363792</v>
      </c>
      <c r="M298" s="50" t="n">
        <f aca="false">D298+G298+J298</f>
        <v>9000.12404426201</v>
      </c>
      <c r="N298" s="50" t="n">
        <f aca="false">L298+M298</f>
        <v>17189.0802878999</v>
      </c>
      <c r="O298" s="50" t="n">
        <f aca="false">E298+H298+K298</f>
        <v>3082687.80662886</v>
      </c>
    </row>
    <row r="299" customFormat="false" ht="15" hidden="false" customHeight="false" outlineLevel="0" collapsed="false">
      <c r="A299" s="49" t="n">
        <v>293</v>
      </c>
      <c r="B299" s="49" t="n">
        <f aca="false">ROUNDUP(A299/12,0)</f>
        <v>25</v>
      </c>
      <c r="C299" s="50" t="n">
        <f aca="false">E298*Annahmen!$B$58/12</f>
        <v>2495.69362987704</v>
      </c>
      <c r="D299" s="50" t="n">
        <f aca="false">MIN($C$3-C299,E298)</f>
        <v>2754.30637012297</v>
      </c>
      <c r="E299" s="50" t="n">
        <f aca="false">E298-D299</f>
        <v>1195178.63597085</v>
      </c>
      <c r="F299" s="50" t="n">
        <f aca="false">H298*Annahmen!$B$59/12</f>
        <v>1842.51100359939</v>
      </c>
      <c r="G299" s="50" t="n">
        <f aca="false">MIN($F$3-F299,H298)</f>
        <v>1982.48899640061</v>
      </c>
      <c r="H299" s="50" t="n">
        <f aca="false">H298-G299</f>
        <v>735021.912443357</v>
      </c>
      <c r="I299" s="50" t="n">
        <f aca="false">K298*Annahmen!$B$60/12</f>
        <v>3825.8348761604</v>
      </c>
      <c r="J299" s="50" t="n">
        <f aca="false">MIN($I$3-I299,K298)</f>
        <v>4288.24541173952</v>
      </c>
      <c r="K299" s="50" t="n">
        <f aca="false">K298-J299</f>
        <v>1143462.21743638</v>
      </c>
      <c r="L299" s="50" t="n">
        <f aca="false">C299+F299+I299</f>
        <v>8164.03950963683</v>
      </c>
      <c r="M299" s="50" t="n">
        <f aca="false">D299+G299+J299</f>
        <v>9025.04077826309</v>
      </c>
      <c r="N299" s="50" t="n">
        <f aca="false">L299+M299</f>
        <v>17189.0802878999</v>
      </c>
      <c r="O299" s="50" t="n">
        <f aca="false">E299+H299+K299</f>
        <v>3073662.76585059</v>
      </c>
    </row>
    <row r="300" customFormat="false" ht="15" hidden="false" customHeight="false" outlineLevel="0" collapsed="false">
      <c r="A300" s="49" t="n">
        <v>294</v>
      </c>
      <c r="B300" s="49" t="n">
        <f aca="false">ROUNDUP(A300/12,0)</f>
        <v>25</v>
      </c>
      <c r="C300" s="50" t="n">
        <f aca="false">E299*Annahmen!$B$58/12</f>
        <v>2489.95549160595</v>
      </c>
      <c r="D300" s="50" t="n">
        <f aca="false">MIN($C$3-C300,E299)</f>
        <v>2760.04450839406</v>
      </c>
      <c r="E300" s="50" t="n">
        <f aca="false">E299-D300</f>
        <v>1192418.59146246</v>
      </c>
      <c r="F300" s="50" t="n">
        <f aca="false">H299*Annahmen!$B$59/12</f>
        <v>1837.55478110839</v>
      </c>
      <c r="G300" s="50" t="n">
        <f aca="false">MIN($F$3-F300,H299)</f>
        <v>1987.44521889161</v>
      </c>
      <c r="H300" s="50" t="n">
        <f aca="false">H299-G300</f>
        <v>733034.467224466</v>
      </c>
      <c r="I300" s="50" t="n">
        <f aca="false">K299*Annahmen!$B$60/12</f>
        <v>3811.54072478794</v>
      </c>
      <c r="J300" s="50" t="n">
        <f aca="false">MIN($I$3-I300,K299)</f>
        <v>4302.53956311198</v>
      </c>
      <c r="K300" s="50" t="n">
        <f aca="false">K299-J300</f>
        <v>1139159.67787327</v>
      </c>
      <c r="L300" s="50" t="n">
        <f aca="false">C300+F300+I300</f>
        <v>8139.05099750228</v>
      </c>
      <c r="M300" s="50" t="n">
        <f aca="false">D300+G300+J300</f>
        <v>9050.02929039765</v>
      </c>
      <c r="N300" s="50" t="n">
        <f aca="false">L300+M300</f>
        <v>17189.0802878999</v>
      </c>
      <c r="O300" s="50" t="n">
        <f aca="false">E300+H300+K300</f>
        <v>3064612.73656019</v>
      </c>
    </row>
    <row r="301" customFormat="false" ht="15" hidden="false" customHeight="false" outlineLevel="0" collapsed="false">
      <c r="A301" s="49" t="n">
        <v>295</v>
      </c>
      <c r="B301" s="49" t="n">
        <f aca="false">ROUNDUP(A301/12,0)</f>
        <v>25</v>
      </c>
      <c r="C301" s="50" t="n">
        <f aca="false">E300*Annahmen!$B$58/12</f>
        <v>2484.20539888013</v>
      </c>
      <c r="D301" s="50" t="n">
        <f aca="false">MIN($C$3-C301,E300)</f>
        <v>2765.79460111988</v>
      </c>
      <c r="E301" s="50" t="n">
        <f aca="false">E300-D301</f>
        <v>1189652.79686134</v>
      </c>
      <c r="F301" s="50" t="n">
        <f aca="false">H300*Annahmen!$B$59/12</f>
        <v>1832.58616806116</v>
      </c>
      <c r="G301" s="50" t="n">
        <f aca="false">MIN($F$3-F301,H300)</f>
        <v>1992.41383193884</v>
      </c>
      <c r="H301" s="50" t="n">
        <f aca="false">H300-G301</f>
        <v>731042.053392527</v>
      </c>
      <c r="I301" s="50" t="n">
        <f aca="false">K300*Annahmen!$B$60/12</f>
        <v>3797.19892624423</v>
      </c>
      <c r="J301" s="50" t="n">
        <f aca="false">MIN($I$3-I301,K300)</f>
        <v>4316.88136165569</v>
      </c>
      <c r="K301" s="50" t="n">
        <f aca="false">K300-J301</f>
        <v>1134842.79651161</v>
      </c>
      <c r="L301" s="50" t="n">
        <f aca="false">C301+F301+I301</f>
        <v>8113.99049318552</v>
      </c>
      <c r="M301" s="50" t="n">
        <f aca="false">D301+G301+J301</f>
        <v>9075.0897947144</v>
      </c>
      <c r="N301" s="50" t="n">
        <f aca="false">L301+M301</f>
        <v>17189.0802878999</v>
      </c>
      <c r="O301" s="50" t="n">
        <f aca="false">E301+H301+K301</f>
        <v>3055537.64676548</v>
      </c>
    </row>
    <row r="302" customFormat="false" ht="15" hidden="false" customHeight="false" outlineLevel="0" collapsed="false">
      <c r="A302" s="49" t="n">
        <v>296</v>
      </c>
      <c r="B302" s="49" t="n">
        <f aca="false">ROUNDUP(A302/12,0)</f>
        <v>25</v>
      </c>
      <c r="C302" s="50" t="n">
        <f aca="false">E301*Annahmen!$B$58/12</f>
        <v>2478.44332679446</v>
      </c>
      <c r="D302" s="50" t="n">
        <f aca="false">MIN($C$3-C302,E301)</f>
        <v>2771.55667320554</v>
      </c>
      <c r="E302" s="50" t="n">
        <f aca="false">E301-D302</f>
        <v>1186881.24018814</v>
      </c>
      <c r="F302" s="50" t="n">
        <f aca="false">H301*Annahmen!$B$59/12</f>
        <v>1827.60513348132</v>
      </c>
      <c r="G302" s="50" t="n">
        <f aca="false">MIN($F$3-F302,H301)</f>
        <v>1997.39486651868</v>
      </c>
      <c r="H302" s="50" t="n">
        <f aca="false">H301-G302</f>
        <v>729044.658526008</v>
      </c>
      <c r="I302" s="50" t="n">
        <f aca="false">K301*Annahmen!$B$60/12</f>
        <v>3782.80932170538</v>
      </c>
      <c r="J302" s="50" t="n">
        <f aca="false">MIN($I$3-I302,K301)</f>
        <v>4331.27096619454</v>
      </c>
      <c r="K302" s="50" t="n">
        <f aca="false">K301-J302</f>
        <v>1130511.52554542</v>
      </c>
      <c r="L302" s="50" t="n">
        <f aca="false">C302+F302+I302</f>
        <v>8088.85778198115</v>
      </c>
      <c r="M302" s="50" t="n">
        <f aca="false">D302+G302+J302</f>
        <v>9100.22250591877</v>
      </c>
      <c r="N302" s="50" t="n">
        <f aca="false">L302+M302</f>
        <v>17189.0802878999</v>
      </c>
      <c r="O302" s="50" t="n">
        <f aca="false">E302+H302+K302</f>
        <v>3046437.42425956</v>
      </c>
    </row>
    <row r="303" customFormat="false" ht="15" hidden="false" customHeight="false" outlineLevel="0" collapsed="false">
      <c r="A303" s="49" t="n">
        <v>297</v>
      </c>
      <c r="B303" s="49" t="n">
        <f aca="false">ROUNDUP(A303/12,0)</f>
        <v>25</v>
      </c>
      <c r="C303" s="50" t="n">
        <f aca="false">E302*Annahmen!$B$58/12</f>
        <v>2472.66925039195</v>
      </c>
      <c r="D303" s="50" t="n">
        <f aca="false">MIN($C$3-C303,E302)</f>
        <v>2777.33074960805</v>
      </c>
      <c r="E303" s="50" t="n">
        <f aca="false">E302-D303</f>
        <v>1184103.90943853</v>
      </c>
      <c r="F303" s="50" t="n">
        <f aca="false">H302*Annahmen!$B$59/12</f>
        <v>1822.61164631502</v>
      </c>
      <c r="G303" s="50" t="n">
        <f aca="false">MIN($F$3-F303,H302)</f>
        <v>2002.38835368498</v>
      </c>
      <c r="H303" s="50" t="n">
        <f aca="false">H302-G303</f>
        <v>727042.270172323</v>
      </c>
      <c r="I303" s="50" t="n">
        <f aca="false">K302*Annahmen!$B$60/12</f>
        <v>3768.37175181806</v>
      </c>
      <c r="J303" s="50" t="n">
        <f aca="false">MIN($I$3-I303,K302)</f>
        <v>4345.70853608186</v>
      </c>
      <c r="K303" s="50" t="n">
        <f aca="false">K302-J303</f>
        <v>1126165.81700934</v>
      </c>
      <c r="L303" s="50" t="n">
        <f aca="false">C303+F303+I303</f>
        <v>8063.65264852503</v>
      </c>
      <c r="M303" s="50" t="n">
        <f aca="false">D303+G303+J303</f>
        <v>9125.42763937489</v>
      </c>
      <c r="N303" s="50" t="n">
        <f aca="false">L303+M303</f>
        <v>17189.0802878999</v>
      </c>
      <c r="O303" s="50" t="n">
        <f aca="false">E303+H303+K303</f>
        <v>3037311.99662019</v>
      </c>
    </row>
    <row r="304" customFormat="false" ht="15" hidden="false" customHeight="false" outlineLevel="0" collapsed="false">
      <c r="A304" s="49" t="n">
        <v>298</v>
      </c>
      <c r="B304" s="49" t="n">
        <f aca="false">ROUNDUP(A304/12,0)</f>
        <v>25</v>
      </c>
      <c r="C304" s="50" t="n">
        <f aca="false">E303*Annahmen!$B$58/12</f>
        <v>2466.8831446636</v>
      </c>
      <c r="D304" s="50" t="n">
        <f aca="false">MIN($C$3-C304,E303)</f>
        <v>2783.1168553364</v>
      </c>
      <c r="E304" s="50" t="n">
        <f aca="false">E303-D304</f>
        <v>1181320.79258319</v>
      </c>
      <c r="F304" s="50" t="n">
        <f aca="false">H303*Annahmen!$B$59/12</f>
        <v>1817.60567543081</v>
      </c>
      <c r="G304" s="50" t="n">
        <f aca="false">MIN($F$3-F304,H303)</f>
        <v>2007.39432456919</v>
      </c>
      <c r="H304" s="50" t="n">
        <f aca="false">H303-G304</f>
        <v>725034.875847754</v>
      </c>
      <c r="I304" s="50" t="n">
        <f aca="false">K303*Annahmen!$B$60/12</f>
        <v>3753.88605669779</v>
      </c>
      <c r="J304" s="50" t="n">
        <f aca="false">MIN($I$3-I304,K303)</f>
        <v>4360.19423120213</v>
      </c>
      <c r="K304" s="50" t="n">
        <f aca="false">K303-J304</f>
        <v>1121805.62277813</v>
      </c>
      <c r="L304" s="50" t="n">
        <f aca="false">C304+F304+I304</f>
        <v>8038.3748767922</v>
      </c>
      <c r="M304" s="50" t="n">
        <f aca="false">D304+G304+J304</f>
        <v>9150.70541110773</v>
      </c>
      <c r="N304" s="50" t="n">
        <f aca="false">L304+M304</f>
        <v>17189.0802878999</v>
      </c>
      <c r="O304" s="50" t="n">
        <f aca="false">E304+H304+K304</f>
        <v>3028161.29120908</v>
      </c>
    </row>
    <row r="305" customFormat="false" ht="15" hidden="false" customHeight="false" outlineLevel="0" collapsed="false">
      <c r="A305" s="49" t="n">
        <v>299</v>
      </c>
      <c r="B305" s="49" t="n">
        <f aca="false">ROUNDUP(A305/12,0)</f>
        <v>25</v>
      </c>
      <c r="C305" s="50" t="n">
        <f aca="false">E304*Annahmen!$B$58/12</f>
        <v>2461.08498454831</v>
      </c>
      <c r="D305" s="50" t="n">
        <f aca="false">MIN($C$3-C305,E304)</f>
        <v>2788.91501545169</v>
      </c>
      <c r="E305" s="50" t="n">
        <f aca="false">E304-D305</f>
        <v>1178531.87756774</v>
      </c>
      <c r="F305" s="50" t="n">
        <f aca="false">H304*Annahmen!$B$59/12</f>
        <v>1812.58718961938</v>
      </c>
      <c r="G305" s="50" t="n">
        <f aca="false">MIN($F$3-F305,H304)</f>
        <v>2012.41281038062</v>
      </c>
      <c r="H305" s="50" t="n">
        <f aca="false">H304-G305</f>
        <v>723022.463037373</v>
      </c>
      <c r="I305" s="50" t="n">
        <f aca="false">K304*Annahmen!$B$60/12</f>
        <v>3739.35207592712</v>
      </c>
      <c r="J305" s="50" t="n">
        <f aca="false">MIN($I$3-I305,K304)</f>
        <v>4374.7282119728</v>
      </c>
      <c r="K305" s="50" t="n">
        <f aca="false">K304-J305</f>
        <v>1117430.89456616</v>
      </c>
      <c r="L305" s="50" t="n">
        <f aca="false">C305+F305+I305</f>
        <v>8013.02425009482</v>
      </c>
      <c r="M305" s="50" t="n">
        <f aca="false">D305+G305+J305</f>
        <v>9176.05603780511</v>
      </c>
      <c r="N305" s="50" t="n">
        <f aca="false">L305+M305</f>
        <v>17189.0802878999</v>
      </c>
      <c r="O305" s="50" t="n">
        <f aca="false">E305+H305+K305</f>
        <v>3018985.23517127</v>
      </c>
    </row>
    <row r="306" customFormat="false" ht="15" hidden="false" customHeight="false" outlineLevel="0" collapsed="false">
      <c r="A306" s="49" t="n">
        <v>300</v>
      </c>
      <c r="B306" s="49" t="n">
        <f aca="false">ROUNDUP(A306/12,0)</f>
        <v>25</v>
      </c>
      <c r="C306" s="50" t="n">
        <f aca="false">E305*Annahmen!$B$58/12</f>
        <v>2455.27474493279</v>
      </c>
      <c r="D306" s="50" t="n">
        <f aca="false">MIN($C$3-C306,E305)</f>
        <v>2794.72525506721</v>
      </c>
      <c r="E306" s="50" t="n">
        <f aca="false">E305-D306</f>
        <v>1175737.15231267</v>
      </c>
      <c r="F306" s="50" t="n">
        <f aca="false">H305*Annahmen!$B$59/12</f>
        <v>1807.55615759343</v>
      </c>
      <c r="G306" s="50" t="n">
        <f aca="false">MIN($F$3-F306,H305)</f>
        <v>2017.44384240657</v>
      </c>
      <c r="H306" s="50" t="n">
        <f aca="false">H305-G306</f>
        <v>721005.019194967</v>
      </c>
      <c r="I306" s="50" t="n">
        <f aca="false">K305*Annahmen!$B$60/12</f>
        <v>3724.76964855387</v>
      </c>
      <c r="J306" s="50" t="n">
        <f aca="false">MIN($I$3-I306,K305)</f>
        <v>4389.31063934605</v>
      </c>
      <c r="K306" s="50" t="n">
        <f aca="false">K305-J306</f>
        <v>1113041.58392682</v>
      </c>
      <c r="L306" s="50" t="n">
        <f aca="false">C306+F306+I306</f>
        <v>7987.6005510801</v>
      </c>
      <c r="M306" s="50" t="n">
        <f aca="false">D306+G306+J306</f>
        <v>9201.47973681983</v>
      </c>
      <c r="N306" s="50" t="n">
        <f aca="false">L306+M306</f>
        <v>17189.0802878999</v>
      </c>
      <c r="O306" s="50" t="n">
        <f aca="false">E306+H306+K306</f>
        <v>3009783.75543445</v>
      </c>
    </row>
    <row r="307" customFormat="false" ht="15" hidden="false" customHeight="false" outlineLevel="0" collapsed="false">
      <c r="A307" s="49" t="n">
        <v>301</v>
      </c>
      <c r="B307" s="49" t="n">
        <f aca="false">ROUNDUP(A307/12,0)</f>
        <v>26</v>
      </c>
      <c r="C307" s="50" t="n">
        <f aca="false">E306*Annahmen!$B$58/12</f>
        <v>2449.4524006514</v>
      </c>
      <c r="D307" s="50" t="n">
        <f aca="false">MIN($C$3-C307,E306)</f>
        <v>2800.5475993486</v>
      </c>
      <c r="E307" s="50" t="n">
        <f aca="false">E306-D307</f>
        <v>1172936.60471332</v>
      </c>
      <c r="F307" s="50" t="n">
        <f aca="false">H306*Annahmen!$B$59/12</f>
        <v>1802.51254798742</v>
      </c>
      <c r="G307" s="50" t="n">
        <f aca="false">MIN($F$3-F307,H306)</f>
        <v>2022.48745201259</v>
      </c>
      <c r="H307" s="50" t="n">
        <f aca="false">H306-G307</f>
        <v>718982.531742954</v>
      </c>
      <c r="I307" s="50" t="n">
        <f aca="false">K306*Annahmen!$B$60/12</f>
        <v>3710.13861308939</v>
      </c>
      <c r="J307" s="50" t="n">
        <f aca="false">MIN($I$3-I307,K306)</f>
        <v>4403.94167481053</v>
      </c>
      <c r="K307" s="50" t="n">
        <f aca="false">K306-J307</f>
        <v>1108637.64225201</v>
      </c>
      <c r="L307" s="50" t="n">
        <f aca="false">C307+F307+I307</f>
        <v>7962.1035617282</v>
      </c>
      <c r="M307" s="50" t="n">
        <f aca="false">D307+G307+J307</f>
        <v>9226.97672617172</v>
      </c>
      <c r="N307" s="50" t="n">
        <f aca="false">L307+M307</f>
        <v>17189.0802878999</v>
      </c>
      <c r="O307" s="50" t="n">
        <f aca="false">E307+H307+K307</f>
        <v>3000556.77870828</v>
      </c>
    </row>
    <row r="308" customFormat="false" ht="15" hidden="false" customHeight="false" outlineLevel="0" collapsed="false">
      <c r="A308" s="49" t="n">
        <v>302</v>
      </c>
      <c r="B308" s="49" t="n">
        <f aca="false">ROUNDUP(A308/12,0)</f>
        <v>26</v>
      </c>
      <c r="C308" s="50" t="n">
        <f aca="false">E307*Annahmen!$B$58/12</f>
        <v>2443.61792648609</v>
      </c>
      <c r="D308" s="50" t="n">
        <f aca="false">MIN($C$3-C308,E307)</f>
        <v>2806.38207351391</v>
      </c>
      <c r="E308" s="50" t="n">
        <f aca="false">E307-D308</f>
        <v>1170130.22263981</v>
      </c>
      <c r="F308" s="50" t="n">
        <f aca="false">H307*Annahmen!$B$59/12</f>
        <v>1797.45632935739</v>
      </c>
      <c r="G308" s="50" t="n">
        <f aca="false">MIN($F$3-F308,H307)</f>
        <v>2027.54367064262</v>
      </c>
      <c r="H308" s="50" t="n">
        <f aca="false">H307-G308</f>
        <v>716954.988072312</v>
      </c>
      <c r="I308" s="50" t="n">
        <f aca="false">K307*Annahmen!$B$60/12</f>
        <v>3695.45880750668</v>
      </c>
      <c r="J308" s="50" t="n">
        <f aca="false">MIN($I$3-I308,K307)</f>
        <v>4418.62148039324</v>
      </c>
      <c r="K308" s="50" t="n">
        <f aca="false">K307-J308</f>
        <v>1104219.02077161</v>
      </c>
      <c r="L308" s="50" t="n">
        <f aca="false">C308+F308+I308</f>
        <v>7936.53306335016</v>
      </c>
      <c r="M308" s="50" t="n">
        <f aca="false">D308+G308+J308</f>
        <v>9252.54722454977</v>
      </c>
      <c r="N308" s="50" t="n">
        <f aca="false">L308+M308</f>
        <v>17189.0802878999</v>
      </c>
      <c r="O308" s="50" t="n">
        <f aca="false">E308+H308+K308</f>
        <v>2991304.23148373</v>
      </c>
    </row>
    <row r="309" customFormat="false" ht="15" hidden="false" customHeight="false" outlineLevel="0" collapsed="false">
      <c r="A309" s="49" t="n">
        <v>303</v>
      </c>
      <c r="B309" s="49" t="n">
        <f aca="false">ROUNDUP(A309/12,0)</f>
        <v>26</v>
      </c>
      <c r="C309" s="50" t="n">
        <f aca="false">E308*Annahmen!$B$58/12</f>
        <v>2437.77129716627</v>
      </c>
      <c r="D309" s="50" t="n">
        <f aca="false">MIN($C$3-C309,E308)</f>
        <v>2812.22870283373</v>
      </c>
      <c r="E309" s="50" t="n">
        <f aca="false">E308-D309</f>
        <v>1167317.99393698</v>
      </c>
      <c r="F309" s="50" t="n">
        <f aca="false">H308*Annahmen!$B$59/12</f>
        <v>1792.38747018078</v>
      </c>
      <c r="G309" s="50" t="n">
        <f aca="false">MIN($F$3-F309,H308)</f>
        <v>2032.61252981922</v>
      </c>
      <c r="H309" s="50" t="n">
        <f aca="false">H308-G309</f>
        <v>714922.375542492</v>
      </c>
      <c r="I309" s="50" t="n">
        <f aca="false">K308*Annahmen!$B$60/12</f>
        <v>3680.73006923871</v>
      </c>
      <c r="J309" s="50" t="n">
        <f aca="false">MIN($I$3-I309,K308)</f>
        <v>4433.35021866121</v>
      </c>
      <c r="K309" s="50" t="n">
        <f aca="false">K308-J309</f>
        <v>1099785.67055295</v>
      </c>
      <c r="L309" s="50" t="n">
        <f aca="false">C309+F309+I309</f>
        <v>7910.88883658576</v>
      </c>
      <c r="M309" s="50" t="n">
        <f aca="false">D309+G309+J309</f>
        <v>9278.19145131417</v>
      </c>
      <c r="N309" s="50" t="n">
        <f aca="false">L309+M309</f>
        <v>17189.0802878999</v>
      </c>
      <c r="O309" s="50" t="n">
        <f aca="false">E309+H309+K309</f>
        <v>2982026.04003242</v>
      </c>
    </row>
    <row r="310" customFormat="false" ht="15" hidden="false" customHeight="false" outlineLevel="0" collapsed="false">
      <c r="A310" s="49" t="n">
        <v>304</v>
      </c>
      <c r="B310" s="49" t="n">
        <f aca="false">ROUNDUP(A310/12,0)</f>
        <v>26</v>
      </c>
      <c r="C310" s="50" t="n">
        <f aca="false">E309*Annahmen!$B$58/12</f>
        <v>2431.9124873687</v>
      </c>
      <c r="D310" s="50" t="n">
        <f aca="false">MIN($C$3-C310,E309)</f>
        <v>2818.0875126313</v>
      </c>
      <c r="E310" s="50" t="n">
        <f aca="false">E309-D310</f>
        <v>1164499.90642434</v>
      </c>
      <c r="F310" s="50" t="n">
        <f aca="false">H309*Annahmen!$B$59/12</f>
        <v>1787.30593885623</v>
      </c>
      <c r="G310" s="50" t="n">
        <f aca="false">MIN($F$3-F310,H309)</f>
        <v>2037.69406114377</v>
      </c>
      <c r="H310" s="50" t="n">
        <f aca="false">H309-G310</f>
        <v>712884.681481349</v>
      </c>
      <c r="I310" s="50" t="n">
        <f aca="false">K309*Annahmen!$B$60/12</f>
        <v>3665.9522351765</v>
      </c>
      <c r="J310" s="50" t="n">
        <f aca="false">MIN($I$3-I310,K309)</f>
        <v>4448.12805272342</v>
      </c>
      <c r="K310" s="50" t="n">
        <f aca="false">K309-J310</f>
        <v>1095337.54250023</v>
      </c>
      <c r="L310" s="50" t="n">
        <f aca="false">C310+F310+I310</f>
        <v>7885.17066140143</v>
      </c>
      <c r="M310" s="50" t="n">
        <f aca="false">D310+G310+J310</f>
        <v>9303.90962649849</v>
      </c>
      <c r="N310" s="50" t="n">
        <f aca="false">L310+M310</f>
        <v>17189.0802878999</v>
      </c>
      <c r="O310" s="50" t="n">
        <f aca="false">E310+H310+K310</f>
        <v>2972722.13040592</v>
      </c>
    </row>
    <row r="311" customFormat="false" ht="15" hidden="false" customHeight="false" outlineLevel="0" collapsed="false">
      <c r="A311" s="49" t="n">
        <v>305</v>
      </c>
      <c r="B311" s="49" t="n">
        <f aca="false">ROUNDUP(A311/12,0)</f>
        <v>26</v>
      </c>
      <c r="C311" s="50" t="n">
        <f aca="false">E310*Annahmen!$B$58/12</f>
        <v>2426.04147171738</v>
      </c>
      <c r="D311" s="50" t="n">
        <f aca="false">MIN($C$3-C311,E310)</f>
        <v>2823.95852828262</v>
      </c>
      <c r="E311" s="50" t="n">
        <f aca="false">E310-D311</f>
        <v>1161675.94789606</v>
      </c>
      <c r="F311" s="50" t="n">
        <f aca="false">H310*Annahmen!$B$59/12</f>
        <v>1782.21170370337</v>
      </c>
      <c r="G311" s="50" t="n">
        <f aca="false">MIN($F$3-F311,H310)</f>
        <v>2042.78829629663</v>
      </c>
      <c r="H311" s="50" t="n">
        <f aca="false">H310-G311</f>
        <v>710841.893185052</v>
      </c>
      <c r="I311" s="50" t="n">
        <f aca="false">K310*Annahmen!$B$60/12</f>
        <v>3651.12514166742</v>
      </c>
      <c r="J311" s="50" t="n">
        <f aca="false">MIN($I$3-I311,K310)</f>
        <v>4462.95514623249</v>
      </c>
      <c r="K311" s="50" t="n">
        <f aca="false">K310-J311</f>
        <v>1090874.587354</v>
      </c>
      <c r="L311" s="50" t="n">
        <f aca="false">C311+F311+I311</f>
        <v>7859.37831708818</v>
      </c>
      <c r="M311" s="50" t="n">
        <f aca="false">D311+G311+J311</f>
        <v>9329.70197081174</v>
      </c>
      <c r="N311" s="50" t="n">
        <f aca="false">L311+M311</f>
        <v>17189.0802878999</v>
      </c>
      <c r="O311" s="50" t="n">
        <f aca="false">E311+H311+K311</f>
        <v>2963392.42843511</v>
      </c>
    </row>
    <row r="312" customFormat="false" ht="15" hidden="false" customHeight="false" outlineLevel="0" collapsed="false">
      <c r="A312" s="49" t="n">
        <v>306</v>
      </c>
      <c r="B312" s="49" t="n">
        <f aca="false">ROUNDUP(A312/12,0)</f>
        <v>26</v>
      </c>
      <c r="C312" s="50" t="n">
        <f aca="false">E311*Annahmen!$B$58/12</f>
        <v>2420.15822478346</v>
      </c>
      <c r="D312" s="50" t="n">
        <f aca="false">MIN($C$3-C312,E311)</f>
        <v>2829.84177521654</v>
      </c>
      <c r="E312" s="50" t="n">
        <f aca="false">E311-D312</f>
        <v>1158846.10612085</v>
      </c>
      <c r="F312" s="50" t="n">
        <f aca="false">H311*Annahmen!$B$59/12</f>
        <v>1777.10473296263</v>
      </c>
      <c r="G312" s="50" t="n">
        <f aca="false">MIN($F$3-F312,H311)</f>
        <v>2047.89526703737</v>
      </c>
      <c r="H312" s="50" t="n">
        <f aca="false">H311-G312</f>
        <v>708793.997918015</v>
      </c>
      <c r="I312" s="50" t="n">
        <f aca="false">K311*Annahmen!$B$60/12</f>
        <v>3636.24862451332</v>
      </c>
      <c r="J312" s="50" t="n">
        <f aca="false">MIN($I$3-I312,K311)</f>
        <v>4477.8316633866</v>
      </c>
      <c r="K312" s="50" t="n">
        <f aca="false">K311-J312</f>
        <v>1086396.75569061</v>
      </c>
      <c r="L312" s="50" t="n">
        <f aca="false">C312+F312+I312</f>
        <v>7833.51158225941</v>
      </c>
      <c r="M312" s="50" t="n">
        <f aca="false">D312+G312+J312</f>
        <v>9355.56870564052</v>
      </c>
      <c r="N312" s="50" t="n">
        <f aca="false">L312+M312</f>
        <v>17189.0802878999</v>
      </c>
      <c r="O312" s="50" t="n">
        <f aca="false">E312+H312+K312</f>
        <v>2954036.85972947</v>
      </c>
    </row>
    <row r="313" customFormat="false" ht="15" hidden="false" customHeight="false" outlineLevel="0" collapsed="false">
      <c r="A313" s="49" t="n">
        <v>307</v>
      </c>
      <c r="B313" s="49" t="n">
        <f aca="false">ROUNDUP(A313/12,0)</f>
        <v>26</v>
      </c>
      <c r="C313" s="50" t="n">
        <f aca="false">E312*Annahmen!$B$58/12</f>
        <v>2414.26272108509</v>
      </c>
      <c r="D313" s="50" t="n">
        <f aca="false">MIN($C$3-C313,E312)</f>
        <v>2835.73727891491</v>
      </c>
      <c r="E313" s="50" t="n">
        <f aca="false">E312-D313</f>
        <v>1156010.36884193</v>
      </c>
      <c r="F313" s="50" t="n">
        <f aca="false">H312*Annahmen!$B$59/12</f>
        <v>1771.98499479504</v>
      </c>
      <c r="G313" s="50" t="n">
        <f aca="false">MIN($F$3-F313,H312)</f>
        <v>2053.01500520497</v>
      </c>
      <c r="H313" s="50" t="n">
        <f aca="false">H312-G313</f>
        <v>706740.98291281</v>
      </c>
      <c r="I313" s="50" t="n">
        <f aca="false">K312*Annahmen!$B$60/12</f>
        <v>3621.32251896869</v>
      </c>
      <c r="J313" s="50" t="n">
        <f aca="false">MIN($I$3-I313,K312)</f>
        <v>4492.75776893123</v>
      </c>
      <c r="K313" s="50" t="n">
        <f aca="false">K312-J313</f>
        <v>1081903.99792168</v>
      </c>
      <c r="L313" s="50" t="n">
        <f aca="false">C313+F313+I313</f>
        <v>7807.57023484883</v>
      </c>
      <c r="M313" s="50" t="n">
        <f aca="false">D313+G313+J313</f>
        <v>9381.5100530511</v>
      </c>
      <c r="N313" s="50" t="n">
        <f aca="false">L313+M313</f>
        <v>17189.0802878999</v>
      </c>
      <c r="O313" s="50" t="n">
        <f aca="false">E313+H313+K313</f>
        <v>2944655.34967642</v>
      </c>
    </row>
    <row r="314" customFormat="false" ht="15" hidden="false" customHeight="false" outlineLevel="0" collapsed="false">
      <c r="A314" s="49" t="n">
        <v>308</v>
      </c>
      <c r="B314" s="49" t="n">
        <f aca="false">ROUNDUP(A314/12,0)</f>
        <v>26</v>
      </c>
      <c r="C314" s="50" t="n">
        <f aca="false">E313*Annahmen!$B$58/12</f>
        <v>2408.35493508735</v>
      </c>
      <c r="D314" s="50" t="n">
        <f aca="false">MIN($C$3-C314,E313)</f>
        <v>2841.64506491265</v>
      </c>
      <c r="E314" s="50" t="n">
        <f aca="false">E313-D314</f>
        <v>1153168.72377702</v>
      </c>
      <c r="F314" s="50" t="n">
        <f aca="false">H313*Annahmen!$B$59/12</f>
        <v>1766.85245728202</v>
      </c>
      <c r="G314" s="50" t="n">
        <f aca="false">MIN($F$3-F314,H313)</f>
        <v>2058.14754271798</v>
      </c>
      <c r="H314" s="50" t="n">
        <f aca="false">H313-G314</f>
        <v>704682.835370092</v>
      </c>
      <c r="I314" s="50" t="n">
        <f aca="false">K313*Annahmen!$B$60/12</f>
        <v>3606.34665973892</v>
      </c>
      <c r="J314" s="50" t="n">
        <f aca="false">MIN($I$3-I314,K313)</f>
        <v>4507.733628161</v>
      </c>
      <c r="K314" s="50" t="n">
        <f aca="false">K313-J314</f>
        <v>1077396.26429352</v>
      </c>
      <c r="L314" s="50" t="n">
        <f aca="false">C314+F314+I314</f>
        <v>7781.5540521083</v>
      </c>
      <c r="M314" s="50" t="n">
        <f aca="false">D314+G314+J314</f>
        <v>9407.52623579162</v>
      </c>
      <c r="N314" s="50" t="n">
        <f aca="false">L314+M314</f>
        <v>17189.0802878999</v>
      </c>
      <c r="O314" s="50" t="n">
        <f aca="false">E314+H314+K314</f>
        <v>2935247.82344063</v>
      </c>
    </row>
    <row r="315" customFormat="false" ht="15" hidden="false" customHeight="false" outlineLevel="0" collapsed="false">
      <c r="A315" s="49" t="n">
        <v>309</v>
      </c>
      <c r="B315" s="49" t="n">
        <f aca="false">ROUNDUP(A315/12,0)</f>
        <v>26</v>
      </c>
      <c r="C315" s="50" t="n">
        <f aca="false">E314*Annahmen!$B$58/12</f>
        <v>2402.43484120212</v>
      </c>
      <c r="D315" s="50" t="n">
        <f aca="false">MIN($C$3-C315,E314)</f>
        <v>2847.56515879788</v>
      </c>
      <c r="E315" s="50" t="n">
        <f aca="false">E314-D315</f>
        <v>1150321.15861822</v>
      </c>
      <c r="F315" s="50" t="n">
        <f aca="false">H314*Annahmen!$B$59/12</f>
        <v>1761.70708842523</v>
      </c>
      <c r="G315" s="50" t="n">
        <f aca="false">MIN($F$3-F315,H314)</f>
        <v>2063.29291157477</v>
      </c>
      <c r="H315" s="50" t="n">
        <f aca="false">H314-G315</f>
        <v>702619.542458517</v>
      </c>
      <c r="I315" s="50" t="n">
        <f aca="false">K314*Annahmen!$B$60/12</f>
        <v>3591.32088097839</v>
      </c>
      <c r="J315" s="50" t="n">
        <f aca="false">MIN($I$3-I315,K314)</f>
        <v>4522.75940692153</v>
      </c>
      <c r="K315" s="50" t="n">
        <f aca="false">K314-J315</f>
        <v>1072873.50488659</v>
      </c>
      <c r="L315" s="50" t="n">
        <f aca="false">C315+F315+I315</f>
        <v>7755.46281060574</v>
      </c>
      <c r="M315" s="50" t="n">
        <f aca="false">D315+G315+J315</f>
        <v>9433.61747729419</v>
      </c>
      <c r="N315" s="50" t="n">
        <f aca="false">L315+M315</f>
        <v>17189.0802878999</v>
      </c>
      <c r="O315" s="50" t="n">
        <f aca="false">E315+H315+K315</f>
        <v>2925814.20596333</v>
      </c>
    </row>
    <row r="316" customFormat="false" ht="15" hidden="false" customHeight="false" outlineLevel="0" collapsed="false">
      <c r="A316" s="49" t="n">
        <v>310</v>
      </c>
      <c r="B316" s="49" t="n">
        <f aca="false">ROUNDUP(A316/12,0)</f>
        <v>26</v>
      </c>
      <c r="C316" s="50" t="n">
        <f aca="false">E315*Annahmen!$B$58/12</f>
        <v>2396.50241378796</v>
      </c>
      <c r="D316" s="50" t="n">
        <f aca="false">MIN($C$3-C316,E315)</f>
        <v>2853.49758621205</v>
      </c>
      <c r="E316" s="50" t="n">
        <f aca="false">E315-D316</f>
        <v>1147467.66103201</v>
      </c>
      <c r="F316" s="50" t="n">
        <f aca="false">H315*Annahmen!$B$59/12</f>
        <v>1756.54885614629</v>
      </c>
      <c r="G316" s="50" t="n">
        <f aca="false">MIN($F$3-F316,H315)</f>
        <v>2068.45114385371</v>
      </c>
      <c r="H316" s="50" t="n">
        <f aca="false">H315-G316</f>
        <v>700551.091314663</v>
      </c>
      <c r="I316" s="50" t="n">
        <f aca="false">K315*Annahmen!$B$60/12</f>
        <v>3576.24501628865</v>
      </c>
      <c r="J316" s="50" t="n">
        <f aca="false">MIN($I$3-I316,K315)</f>
        <v>4537.83527161127</v>
      </c>
      <c r="K316" s="50" t="n">
        <f aca="false">K315-J316</f>
        <v>1068335.66961498</v>
      </c>
      <c r="L316" s="50" t="n">
        <f aca="false">C316+F316+I316</f>
        <v>7729.2962862229</v>
      </c>
      <c r="M316" s="50" t="n">
        <f aca="false">D316+G316+J316</f>
        <v>9459.78400167703</v>
      </c>
      <c r="N316" s="50" t="n">
        <f aca="false">L316+M316</f>
        <v>17189.0802878999</v>
      </c>
      <c r="O316" s="50" t="n">
        <f aca="false">E316+H316+K316</f>
        <v>2916354.42196165</v>
      </c>
    </row>
    <row r="317" customFormat="false" ht="15" hidden="false" customHeight="false" outlineLevel="0" collapsed="false">
      <c r="A317" s="49" t="n">
        <v>311</v>
      </c>
      <c r="B317" s="49" t="n">
        <f aca="false">ROUNDUP(A317/12,0)</f>
        <v>26</v>
      </c>
      <c r="C317" s="50" t="n">
        <f aca="false">E316*Annahmen!$B$58/12</f>
        <v>2390.55762715002</v>
      </c>
      <c r="D317" s="50" t="n">
        <f aca="false">MIN($C$3-C317,E316)</f>
        <v>2859.44237284999</v>
      </c>
      <c r="E317" s="50" t="n">
        <f aca="false">E316-D317</f>
        <v>1144608.21865916</v>
      </c>
      <c r="F317" s="50" t="n">
        <f aca="false">H316*Annahmen!$B$59/12</f>
        <v>1751.37772828666</v>
      </c>
      <c r="G317" s="50" t="n">
        <f aca="false">MIN($F$3-F317,H316)</f>
        <v>2073.62227171334</v>
      </c>
      <c r="H317" s="50" t="n">
        <f aca="false">H316-G317</f>
        <v>698477.46904295</v>
      </c>
      <c r="I317" s="50" t="n">
        <f aca="false">K316*Annahmen!$B$60/12</f>
        <v>3561.11889871661</v>
      </c>
      <c r="J317" s="50" t="n">
        <f aca="false">MIN($I$3-I317,K316)</f>
        <v>4552.96138918331</v>
      </c>
      <c r="K317" s="50" t="n">
        <f aca="false">K316-J317</f>
        <v>1063782.7082258</v>
      </c>
      <c r="L317" s="50" t="n">
        <f aca="false">C317+F317+I317</f>
        <v>7703.05425415329</v>
      </c>
      <c r="M317" s="50" t="n">
        <f aca="false">D317+G317+J317</f>
        <v>9486.02603374664</v>
      </c>
      <c r="N317" s="50" t="n">
        <f aca="false">L317+M317</f>
        <v>17189.0802878999</v>
      </c>
      <c r="O317" s="50" t="n">
        <f aca="false">E317+H317+K317</f>
        <v>2906868.39592791</v>
      </c>
    </row>
    <row r="318" customFormat="false" ht="15" hidden="false" customHeight="false" outlineLevel="0" collapsed="false">
      <c r="A318" s="49" t="n">
        <v>312</v>
      </c>
      <c r="B318" s="49" t="n">
        <f aca="false">ROUNDUP(A318/12,0)</f>
        <v>26</v>
      </c>
      <c r="C318" s="50" t="n">
        <f aca="false">E317*Annahmen!$B$58/12</f>
        <v>2384.60045553991</v>
      </c>
      <c r="D318" s="50" t="n">
        <f aca="false">MIN($C$3-C318,E317)</f>
        <v>2865.39954446009</v>
      </c>
      <c r="E318" s="50" t="n">
        <f aca="false">E317-D318</f>
        <v>1141742.8191147</v>
      </c>
      <c r="F318" s="50" t="n">
        <f aca="false">H317*Annahmen!$B$59/12</f>
        <v>1746.19367260737</v>
      </c>
      <c r="G318" s="50" t="n">
        <f aca="false">MIN($F$3-F318,H317)</f>
        <v>2078.80632739263</v>
      </c>
      <c r="H318" s="50" t="n">
        <f aca="false">H317-G318</f>
        <v>696398.662715557</v>
      </c>
      <c r="I318" s="50" t="n">
        <f aca="false">K317*Annahmen!$B$60/12</f>
        <v>3545.94236075267</v>
      </c>
      <c r="J318" s="50" t="n">
        <f aca="false">MIN($I$3-I318,K317)</f>
        <v>4568.13792714725</v>
      </c>
      <c r="K318" s="50" t="n">
        <f aca="false">K317-J318</f>
        <v>1059214.57029865</v>
      </c>
      <c r="L318" s="50" t="n">
        <f aca="false">C318+F318+I318</f>
        <v>7676.73648889995</v>
      </c>
      <c r="M318" s="50" t="n">
        <f aca="false">D318+G318+J318</f>
        <v>9512.34379899997</v>
      </c>
      <c r="N318" s="50" t="n">
        <f aca="false">L318+M318</f>
        <v>17189.0802878999</v>
      </c>
      <c r="O318" s="50" t="n">
        <f aca="false">E318+H318+K318</f>
        <v>2897356.05212891</v>
      </c>
    </row>
    <row r="319" customFormat="false" ht="15" hidden="false" customHeight="false" outlineLevel="0" collapsed="false">
      <c r="A319" s="49" t="n">
        <v>313</v>
      </c>
      <c r="B319" s="49" t="n">
        <f aca="false">ROUNDUP(A319/12,0)</f>
        <v>27</v>
      </c>
      <c r="C319" s="50" t="n">
        <f aca="false">E318*Annahmen!$B$58/12</f>
        <v>2378.63087315562</v>
      </c>
      <c r="D319" s="50" t="n">
        <f aca="false">MIN($C$3-C319,E318)</f>
        <v>2871.36912684438</v>
      </c>
      <c r="E319" s="50" t="n">
        <f aca="false">E318-D319</f>
        <v>1138871.44998785</v>
      </c>
      <c r="F319" s="50" t="n">
        <f aca="false">H318*Annahmen!$B$59/12</f>
        <v>1740.99665678889</v>
      </c>
      <c r="G319" s="50" t="n">
        <f aca="false">MIN($F$3-F319,H318)</f>
        <v>2084.00334321111</v>
      </c>
      <c r="H319" s="50" t="n">
        <f aca="false">H318-G319</f>
        <v>694314.659372346</v>
      </c>
      <c r="I319" s="50" t="n">
        <f aca="false">K318*Annahmen!$B$60/12</f>
        <v>3530.71523432884</v>
      </c>
      <c r="J319" s="50" t="n">
        <f aca="false">MIN($I$3-I319,K318)</f>
        <v>4583.36505357108</v>
      </c>
      <c r="K319" s="50" t="n">
        <f aca="false">K318-J319</f>
        <v>1054631.20524508</v>
      </c>
      <c r="L319" s="50" t="n">
        <f aca="false">C319+F319+I319</f>
        <v>7650.34276427336</v>
      </c>
      <c r="M319" s="50" t="n">
        <f aca="false">D319+G319+J319</f>
        <v>9538.73752362657</v>
      </c>
      <c r="N319" s="50" t="n">
        <f aca="false">L319+M319</f>
        <v>17189.0802878999</v>
      </c>
      <c r="O319" s="50" t="n">
        <f aca="false">E319+H319+K319</f>
        <v>2887817.31460528</v>
      </c>
    </row>
    <row r="320" customFormat="false" ht="15" hidden="false" customHeight="false" outlineLevel="0" collapsed="false">
      <c r="A320" s="49" t="n">
        <v>314</v>
      </c>
      <c r="B320" s="49" t="n">
        <f aca="false">ROUNDUP(A320/12,0)</f>
        <v>27</v>
      </c>
      <c r="C320" s="50" t="n">
        <f aca="false">E319*Annahmen!$B$58/12</f>
        <v>2372.64885414136</v>
      </c>
      <c r="D320" s="50" t="n">
        <f aca="false">MIN($C$3-C320,E319)</f>
        <v>2877.35114585864</v>
      </c>
      <c r="E320" s="50" t="n">
        <f aca="false">E319-D320</f>
        <v>1135994.09884199</v>
      </c>
      <c r="F320" s="50" t="n">
        <f aca="false">H319*Annahmen!$B$59/12</f>
        <v>1735.78664843087</v>
      </c>
      <c r="G320" s="50" t="n">
        <f aca="false">MIN($F$3-F320,H319)</f>
        <v>2089.21335156914</v>
      </c>
      <c r="H320" s="50" t="n">
        <f aca="false">H319-G320</f>
        <v>692225.446020777</v>
      </c>
      <c r="I320" s="50" t="n">
        <f aca="false">K319*Annahmen!$B$60/12</f>
        <v>3515.43735081694</v>
      </c>
      <c r="J320" s="50" t="n">
        <f aca="false">MIN($I$3-I320,K319)</f>
        <v>4598.64293708298</v>
      </c>
      <c r="K320" s="50" t="n">
        <f aca="false">K319-J320</f>
        <v>1050032.562308</v>
      </c>
      <c r="L320" s="50" t="n">
        <f aca="false">C320+F320+I320</f>
        <v>7623.87285338916</v>
      </c>
      <c r="M320" s="50" t="n">
        <f aca="false">D320+G320+J320</f>
        <v>9565.20743451076</v>
      </c>
      <c r="N320" s="50" t="n">
        <f aca="false">L320+M320</f>
        <v>17189.0802878999</v>
      </c>
      <c r="O320" s="50" t="n">
        <f aca="false">E320+H320+K320</f>
        <v>2878252.10717077</v>
      </c>
    </row>
    <row r="321" customFormat="false" ht="15" hidden="false" customHeight="false" outlineLevel="0" collapsed="false">
      <c r="A321" s="49" t="n">
        <v>315</v>
      </c>
      <c r="B321" s="49" t="n">
        <f aca="false">ROUNDUP(A321/12,0)</f>
        <v>27</v>
      </c>
      <c r="C321" s="50" t="n">
        <f aca="false">E320*Annahmen!$B$58/12</f>
        <v>2366.65437258749</v>
      </c>
      <c r="D321" s="50" t="n">
        <f aca="false">MIN($C$3-C321,E320)</f>
        <v>2883.34562741251</v>
      </c>
      <c r="E321" s="50" t="n">
        <f aca="false">E320-D321</f>
        <v>1133110.75321458</v>
      </c>
      <c r="F321" s="50" t="n">
        <f aca="false">H320*Annahmen!$B$59/12</f>
        <v>1730.56361505194</v>
      </c>
      <c r="G321" s="50" t="n">
        <f aca="false">MIN($F$3-F321,H320)</f>
        <v>2094.43638494806</v>
      </c>
      <c r="H321" s="50" t="n">
        <f aca="false">H320-G321</f>
        <v>690131.009635829</v>
      </c>
      <c r="I321" s="50" t="n">
        <f aca="false">K320*Annahmen!$B$60/12</f>
        <v>3500.10854102666</v>
      </c>
      <c r="J321" s="50" t="n">
        <f aca="false">MIN($I$3-I321,K320)</f>
        <v>4613.97174687326</v>
      </c>
      <c r="K321" s="50" t="n">
        <f aca="false">K320-J321</f>
        <v>1045418.59056113</v>
      </c>
      <c r="L321" s="50" t="n">
        <f aca="false">C321+F321+I321</f>
        <v>7597.32652866609</v>
      </c>
      <c r="M321" s="50" t="n">
        <f aca="false">D321+G321+J321</f>
        <v>9591.75375923383</v>
      </c>
      <c r="N321" s="50" t="n">
        <f aca="false">L321+M321</f>
        <v>17189.0802878999</v>
      </c>
      <c r="O321" s="50" t="n">
        <f aca="false">E321+H321+K321</f>
        <v>2868660.35341154</v>
      </c>
    </row>
    <row r="322" customFormat="false" ht="15" hidden="false" customHeight="false" outlineLevel="0" collapsed="false">
      <c r="A322" s="49" t="n">
        <v>316</v>
      </c>
      <c r="B322" s="49" t="n">
        <f aca="false">ROUNDUP(A322/12,0)</f>
        <v>27</v>
      </c>
      <c r="C322" s="50" t="n">
        <f aca="false">E321*Annahmen!$B$58/12</f>
        <v>2360.64740253038</v>
      </c>
      <c r="D322" s="50" t="n">
        <f aca="false">MIN($C$3-C322,E321)</f>
        <v>2889.35259746962</v>
      </c>
      <c r="E322" s="50" t="n">
        <f aca="false">E321-D322</f>
        <v>1130221.40061711</v>
      </c>
      <c r="F322" s="50" t="n">
        <f aca="false">H321*Annahmen!$B$59/12</f>
        <v>1725.32752408957</v>
      </c>
      <c r="G322" s="50" t="n">
        <f aca="false">MIN($F$3-F322,H321)</f>
        <v>2099.67247591043</v>
      </c>
      <c r="H322" s="50" t="n">
        <f aca="false">H321-G322</f>
        <v>688031.337159918</v>
      </c>
      <c r="I322" s="50" t="n">
        <f aca="false">K321*Annahmen!$B$60/12</f>
        <v>3484.72863520375</v>
      </c>
      <c r="J322" s="50" t="n">
        <f aca="false">MIN($I$3-I322,K321)</f>
        <v>4629.35165269617</v>
      </c>
      <c r="K322" s="50" t="n">
        <f aca="false">K321-J322</f>
        <v>1040789.23890843</v>
      </c>
      <c r="L322" s="50" t="n">
        <f aca="false">C322+F322+I322</f>
        <v>7570.7035618237</v>
      </c>
      <c r="M322" s="50" t="n">
        <f aca="false">D322+G322+J322</f>
        <v>9618.37672607622</v>
      </c>
      <c r="N322" s="50" t="n">
        <f aca="false">L322+M322</f>
        <v>17189.0802878999</v>
      </c>
      <c r="O322" s="50" t="n">
        <f aca="false">E322+H322+K322</f>
        <v>2859041.97668546</v>
      </c>
    </row>
    <row r="323" customFormat="false" ht="15" hidden="false" customHeight="false" outlineLevel="0" collapsed="false">
      <c r="A323" s="49" t="n">
        <v>317</v>
      </c>
      <c r="B323" s="49" t="n">
        <f aca="false">ROUNDUP(A323/12,0)</f>
        <v>27</v>
      </c>
      <c r="C323" s="50" t="n">
        <f aca="false">E322*Annahmen!$B$58/12</f>
        <v>2354.62791795232</v>
      </c>
      <c r="D323" s="50" t="n">
        <f aca="false">MIN($C$3-C323,E322)</f>
        <v>2895.37208204769</v>
      </c>
      <c r="E323" s="50" t="n">
        <f aca="false">E322-D323</f>
        <v>1127326.02853506</v>
      </c>
      <c r="F323" s="50" t="n">
        <f aca="false">H322*Annahmen!$B$59/12</f>
        <v>1720.0783428998</v>
      </c>
      <c r="G323" s="50" t="n">
        <f aca="false">MIN($F$3-F323,H322)</f>
        <v>2104.92165710021</v>
      </c>
      <c r="H323" s="50" t="n">
        <f aca="false">H322-G323</f>
        <v>685926.415502818</v>
      </c>
      <c r="I323" s="50" t="n">
        <f aca="false">K322*Annahmen!$B$60/12</f>
        <v>3469.2974630281</v>
      </c>
      <c r="J323" s="50" t="n">
        <f aca="false">MIN($I$3-I323,K322)</f>
        <v>4644.78282487182</v>
      </c>
      <c r="K323" s="50" t="n">
        <f aca="false">K322-J323</f>
        <v>1036144.45608356</v>
      </c>
      <c r="L323" s="50" t="n">
        <f aca="false">C323+F323+I323</f>
        <v>7544.00372388021</v>
      </c>
      <c r="M323" s="50" t="n">
        <f aca="false">D323+G323+J323</f>
        <v>9645.07656401971</v>
      </c>
      <c r="N323" s="50" t="n">
        <f aca="false">L323+M323</f>
        <v>17189.0802878999</v>
      </c>
      <c r="O323" s="50" t="n">
        <f aca="false">E323+H323+K323</f>
        <v>2849396.90012144</v>
      </c>
    </row>
    <row r="324" customFormat="false" ht="15" hidden="false" customHeight="false" outlineLevel="0" collapsed="false">
      <c r="A324" s="49" t="n">
        <v>318</v>
      </c>
      <c r="B324" s="49" t="n">
        <f aca="false">ROUNDUP(A324/12,0)</f>
        <v>27</v>
      </c>
      <c r="C324" s="50" t="n">
        <f aca="false">E323*Annahmen!$B$58/12</f>
        <v>2348.59589278138</v>
      </c>
      <c r="D324" s="50" t="n">
        <f aca="false">MIN($C$3-C324,E323)</f>
        <v>2901.40410721862</v>
      </c>
      <c r="E324" s="50" t="n">
        <f aca="false">E323-D324</f>
        <v>1124424.62442785</v>
      </c>
      <c r="F324" s="50" t="n">
        <f aca="false">H323*Annahmen!$B$59/12</f>
        <v>1714.81603875705</v>
      </c>
      <c r="G324" s="50" t="n">
        <f aca="false">MIN($F$3-F324,H323)</f>
        <v>2110.18396124296</v>
      </c>
      <c r="H324" s="50" t="n">
        <f aca="false">H323-G324</f>
        <v>683816.231541575</v>
      </c>
      <c r="I324" s="50" t="n">
        <f aca="false">K323*Annahmen!$B$60/12</f>
        <v>3453.81485361186</v>
      </c>
      <c r="J324" s="50" t="n">
        <f aca="false">MIN($I$3-I324,K323)</f>
        <v>4660.26543428806</v>
      </c>
      <c r="K324" s="50" t="n">
        <f aca="false">K323-J324</f>
        <v>1031484.19064927</v>
      </c>
      <c r="L324" s="50" t="n">
        <f aca="false">C324+F324+I324</f>
        <v>7517.22678515029</v>
      </c>
      <c r="M324" s="50" t="n">
        <f aca="false">D324+G324+J324</f>
        <v>9671.85350274964</v>
      </c>
      <c r="N324" s="50" t="n">
        <f aca="false">L324+M324</f>
        <v>17189.0802878999</v>
      </c>
      <c r="O324" s="50" t="n">
        <f aca="false">E324+H324+K324</f>
        <v>2839725.04661869</v>
      </c>
    </row>
    <row r="325" customFormat="false" ht="15" hidden="false" customHeight="false" outlineLevel="0" collapsed="false">
      <c r="A325" s="49" t="n">
        <v>319</v>
      </c>
      <c r="B325" s="49" t="n">
        <f aca="false">ROUNDUP(A325/12,0)</f>
        <v>27</v>
      </c>
      <c r="C325" s="50" t="n">
        <f aca="false">E324*Annahmen!$B$58/12</f>
        <v>2342.55130089135</v>
      </c>
      <c r="D325" s="50" t="n">
        <f aca="false">MIN($C$3-C325,E324)</f>
        <v>2907.44869910866</v>
      </c>
      <c r="E325" s="50" t="n">
        <f aca="false">E324-D325</f>
        <v>1121517.17572874</v>
      </c>
      <c r="F325" s="50" t="n">
        <f aca="false">H324*Annahmen!$B$59/12</f>
        <v>1709.54057885394</v>
      </c>
      <c r="G325" s="50" t="n">
        <f aca="false">MIN($F$3-F325,H324)</f>
        <v>2115.45942114606</v>
      </c>
      <c r="H325" s="50" t="n">
        <f aca="false">H324-G325</f>
        <v>681700.772120429</v>
      </c>
      <c r="I325" s="50" t="n">
        <f aca="false">K324*Annahmen!$B$60/12</f>
        <v>3438.28063549756</v>
      </c>
      <c r="J325" s="50" t="n">
        <f aca="false">MIN($I$3-I325,K324)</f>
        <v>4675.79965240236</v>
      </c>
      <c r="K325" s="50" t="n">
        <f aca="false">K324-J325</f>
        <v>1026808.39099687</v>
      </c>
      <c r="L325" s="50" t="n">
        <f aca="false">C325+F325+I325</f>
        <v>7490.37251524285</v>
      </c>
      <c r="M325" s="50" t="n">
        <f aca="false">D325+G325+J325</f>
        <v>9698.70777265708</v>
      </c>
      <c r="N325" s="50" t="n">
        <f aca="false">L325+M325</f>
        <v>17189.0802878999</v>
      </c>
      <c r="O325" s="50" t="n">
        <f aca="false">E325+H325+K325</f>
        <v>2830026.33884603</v>
      </c>
    </row>
    <row r="326" customFormat="false" ht="15" hidden="false" customHeight="false" outlineLevel="0" collapsed="false">
      <c r="A326" s="49" t="n">
        <v>320</v>
      </c>
      <c r="B326" s="49" t="n">
        <f aca="false">ROUNDUP(A326/12,0)</f>
        <v>27</v>
      </c>
      <c r="C326" s="50" t="n">
        <f aca="false">E325*Annahmen!$B$58/12</f>
        <v>2336.49411610154</v>
      </c>
      <c r="D326" s="50" t="n">
        <f aca="false">MIN($C$3-C326,E325)</f>
        <v>2913.50588389847</v>
      </c>
      <c r="E326" s="50" t="n">
        <f aca="false">E325-D326</f>
        <v>1118603.66984484</v>
      </c>
      <c r="F326" s="50" t="n">
        <f aca="false">H325*Annahmen!$B$59/12</f>
        <v>1704.25193030107</v>
      </c>
      <c r="G326" s="50" t="n">
        <f aca="false">MIN($F$3-F326,H325)</f>
        <v>2120.74806969893</v>
      </c>
      <c r="H326" s="50" t="n">
        <f aca="false">H325-G326</f>
        <v>679580.02405073</v>
      </c>
      <c r="I326" s="50" t="n">
        <f aca="false">K325*Annahmen!$B$60/12</f>
        <v>3422.69463665622</v>
      </c>
      <c r="J326" s="50" t="n">
        <f aca="false">MIN($I$3-I326,K325)</f>
        <v>4691.3856512437</v>
      </c>
      <c r="K326" s="50" t="n">
        <f aca="false">K325-J326</f>
        <v>1022117.00534562</v>
      </c>
      <c r="L326" s="50" t="n">
        <f aca="false">C326+F326+I326</f>
        <v>7463.44068305883</v>
      </c>
      <c r="M326" s="50" t="n">
        <f aca="false">D326+G326+J326</f>
        <v>9725.63960484109</v>
      </c>
      <c r="N326" s="50" t="n">
        <f aca="false">L326+M326</f>
        <v>17189.0802878999</v>
      </c>
      <c r="O326" s="50" t="n">
        <f aca="false">E326+H326+K326</f>
        <v>2820300.69924119</v>
      </c>
    </row>
    <row r="327" customFormat="false" ht="15" hidden="false" customHeight="false" outlineLevel="0" collapsed="false">
      <c r="A327" s="49" t="n">
        <v>321</v>
      </c>
      <c r="B327" s="49" t="n">
        <f aca="false">ROUNDUP(A327/12,0)</f>
        <v>27</v>
      </c>
      <c r="C327" s="50" t="n">
        <f aca="false">E326*Annahmen!$B$58/12</f>
        <v>2330.42431217675</v>
      </c>
      <c r="D327" s="50" t="n">
        <f aca="false">MIN($C$3-C327,E326)</f>
        <v>2919.57568782325</v>
      </c>
      <c r="E327" s="50" t="n">
        <f aca="false">E326-D327</f>
        <v>1115684.09415702</v>
      </c>
      <c r="F327" s="50" t="n">
        <f aca="false">H326*Annahmen!$B$59/12</f>
        <v>1698.95006012683</v>
      </c>
      <c r="G327" s="50" t="n">
        <f aca="false">MIN($F$3-F327,H326)</f>
        <v>2126.04993987318</v>
      </c>
      <c r="H327" s="50" t="n">
        <f aca="false">H326-G327</f>
        <v>677453.974110857</v>
      </c>
      <c r="I327" s="50" t="n">
        <f aca="false">K326*Annahmen!$B$60/12</f>
        <v>3407.05668448541</v>
      </c>
      <c r="J327" s="50" t="n">
        <f aca="false">MIN($I$3-I327,K326)</f>
        <v>4707.02360341451</v>
      </c>
      <c r="K327" s="50" t="n">
        <f aca="false">K326-J327</f>
        <v>1017409.98174221</v>
      </c>
      <c r="L327" s="50" t="n">
        <f aca="false">C327+F327+I327</f>
        <v>7436.43105678898</v>
      </c>
      <c r="M327" s="50" t="n">
        <f aca="false">D327+G327+J327</f>
        <v>9752.64923111094</v>
      </c>
      <c r="N327" s="50" t="n">
        <f aca="false">L327+M327</f>
        <v>17189.0802878999</v>
      </c>
      <c r="O327" s="50" t="n">
        <f aca="false">E327+H327+K327</f>
        <v>2810548.05001008</v>
      </c>
    </row>
    <row r="328" customFormat="false" ht="15" hidden="false" customHeight="false" outlineLevel="0" collapsed="false">
      <c r="A328" s="49" t="n">
        <v>322</v>
      </c>
      <c r="B328" s="49" t="n">
        <f aca="false">ROUNDUP(A328/12,0)</f>
        <v>27</v>
      </c>
      <c r="C328" s="50" t="n">
        <f aca="false">E327*Annahmen!$B$58/12</f>
        <v>2324.34186282712</v>
      </c>
      <c r="D328" s="50" t="n">
        <f aca="false">MIN($C$3-C328,E327)</f>
        <v>2925.65813717289</v>
      </c>
      <c r="E328" s="50" t="n">
        <f aca="false">E327-D328</f>
        <v>1112758.43601984</v>
      </c>
      <c r="F328" s="50" t="n">
        <f aca="false">H327*Annahmen!$B$59/12</f>
        <v>1693.63493527714</v>
      </c>
      <c r="G328" s="50" t="n">
        <f aca="false">MIN($F$3-F328,H327)</f>
        <v>2131.36506472286</v>
      </c>
      <c r="H328" s="50" t="n">
        <f aca="false">H327-G328</f>
        <v>675322.609046134</v>
      </c>
      <c r="I328" s="50" t="n">
        <f aca="false">K327*Annahmen!$B$60/12</f>
        <v>3391.36660580736</v>
      </c>
      <c r="J328" s="50" t="n">
        <f aca="false">MIN($I$3-I328,K327)</f>
        <v>4722.71368209256</v>
      </c>
      <c r="K328" s="50" t="n">
        <f aca="false">K327-J328</f>
        <v>1012687.26806012</v>
      </c>
      <c r="L328" s="50" t="n">
        <f aca="false">C328+F328+I328</f>
        <v>7409.34340391162</v>
      </c>
      <c r="M328" s="50" t="n">
        <f aca="false">D328+G328+J328</f>
        <v>9779.7368839883</v>
      </c>
      <c r="N328" s="50" t="n">
        <f aca="false">L328+M328</f>
        <v>17189.0802878999</v>
      </c>
      <c r="O328" s="50" t="n">
        <f aca="false">E328+H328+K328</f>
        <v>2800768.31312609</v>
      </c>
    </row>
    <row r="329" customFormat="false" ht="15" hidden="false" customHeight="false" outlineLevel="0" collapsed="false">
      <c r="A329" s="49" t="n">
        <v>323</v>
      </c>
      <c r="B329" s="49" t="n">
        <f aca="false">ROUNDUP(A329/12,0)</f>
        <v>27</v>
      </c>
      <c r="C329" s="50" t="n">
        <f aca="false">E328*Annahmen!$B$58/12</f>
        <v>2318.24674170801</v>
      </c>
      <c r="D329" s="50" t="n">
        <f aca="false">MIN($C$3-C329,E328)</f>
        <v>2931.753258292</v>
      </c>
      <c r="E329" s="50" t="n">
        <f aca="false">E328-D329</f>
        <v>1109826.68276155</v>
      </c>
      <c r="F329" s="50" t="n">
        <f aca="false">H328*Annahmen!$B$59/12</f>
        <v>1688.30652261534</v>
      </c>
      <c r="G329" s="50" t="n">
        <f aca="false">MIN($F$3-F329,H328)</f>
        <v>2136.69347738467</v>
      </c>
      <c r="H329" s="50" t="n">
        <f aca="false">H328-G329</f>
        <v>673185.91556875</v>
      </c>
      <c r="I329" s="50" t="n">
        <f aca="false">K328*Annahmen!$B$60/12</f>
        <v>3375.62422686705</v>
      </c>
      <c r="J329" s="50" t="n">
        <f aca="false">MIN($I$3-I329,K328)</f>
        <v>4738.45606103287</v>
      </c>
      <c r="K329" s="50" t="n">
        <f aca="false">K328-J329</f>
        <v>1007948.81199908</v>
      </c>
      <c r="L329" s="50" t="n">
        <f aca="false">C329+F329+I329</f>
        <v>7382.1774911904</v>
      </c>
      <c r="M329" s="50" t="n">
        <f aca="false">D329+G329+J329</f>
        <v>9806.90279670953</v>
      </c>
      <c r="N329" s="50" t="n">
        <f aca="false">L329+M329</f>
        <v>17189.0802878999</v>
      </c>
      <c r="O329" s="50" t="n">
        <f aca="false">E329+H329+K329</f>
        <v>2790961.41032938</v>
      </c>
    </row>
    <row r="330" customFormat="false" ht="15" hidden="false" customHeight="false" outlineLevel="0" collapsed="false">
      <c r="A330" s="49" t="n">
        <v>324</v>
      </c>
      <c r="B330" s="49" t="n">
        <f aca="false">ROUNDUP(A330/12,0)</f>
        <v>27</v>
      </c>
      <c r="C330" s="50" t="n">
        <f aca="false">E329*Annahmen!$B$58/12</f>
        <v>2312.1389224199</v>
      </c>
      <c r="D330" s="50" t="n">
        <f aca="false">MIN($C$3-C330,E329)</f>
        <v>2937.86107758011</v>
      </c>
      <c r="E330" s="50" t="n">
        <f aca="false">E329-D330</f>
        <v>1106888.82168397</v>
      </c>
      <c r="F330" s="50" t="n">
        <f aca="false">H329*Annahmen!$B$59/12</f>
        <v>1682.96478892187</v>
      </c>
      <c r="G330" s="50" t="n">
        <f aca="false">MIN($F$3-F330,H329)</f>
        <v>2142.03521107813</v>
      </c>
      <c r="H330" s="50" t="n">
        <f aca="false">H329-G330</f>
        <v>671043.880357672</v>
      </c>
      <c r="I330" s="50" t="n">
        <f aca="false">K329*Annahmen!$B$60/12</f>
        <v>3359.82937333028</v>
      </c>
      <c r="J330" s="50" t="n">
        <f aca="false">MIN($I$3-I330,K329)</f>
        <v>4754.25091456964</v>
      </c>
      <c r="K330" s="50" t="n">
        <f aca="false">K329-J330</f>
        <v>1003194.56108451</v>
      </c>
      <c r="L330" s="50" t="n">
        <f aca="false">C330+F330+I330</f>
        <v>7354.93308467205</v>
      </c>
      <c r="M330" s="50" t="n">
        <f aca="false">D330+G330+J330</f>
        <v>9834.14720322788</v>
      </c>
      <c r="N330" s="50" t="n">
        <f aca="false">L330+M330</f>
        <v>17189.0802878999</v>
      </c>
      <c r="O330" s="50" t="n">
        <f aca="false">E330+H330+K330</f>
        <v>2781127.26312616</v>
      </c>
    </row>
    <row r="331" customFormat="false" ht="15" hidden="false" customHeight="false" outlineLevel="0" collapsed="false">
      <c r="A331" s="49" t="n">
        <v>325</v>
      </c>
      <c r="B331" s="49" t="n">
        <f aca="false">ROUNDUP(A331/12,0)</f>
        <v>28</v>
      </c>
      <c r="C331" s="50" t="n">
        <f aca="false">E330*Annahmen!$B$58/12</f>
        <v>2306.01837850827</v>
      </c>
      <c r="D331" s="50" t="n">
        <f aca="false">MIN($C$3-C331,E330)</f>
        <v>2943.98162149173</v>
      </c>
      <c r="E331" s="50" t="n">
        <f aca="false">E330-D331</f>
        <v>1103944.84006248</v>
      </c>
      <c r="F331" s="50" t="n">
        <f aca="false">H330*Annahmen!$B$59/12</f>
        <v>1677.60970089418</v>
      </c>
      <c r="G331" s="50" t="n">
        <f aca="false">MIN($F$3-F331,H330)</f>
        <v>2147.39029910582</v>
      </c>
      <c r="H331" s="50" t="n">
        <f aca="false">H330-G331</f>
        <v>668896.490058566</v>
      </c>
      <c r="I331" s="50" t="n">
        <f aca="false">K330*Annahmen!$B$60/12</f>
        <v>3343.98187028171</v>
      </c>
      <c r="J331" s="50" t="n">
        <f aca="false">MIN($I$3-I331,K330)</f>
        <v>4770.09841761821</v>
      </c>
      <c r="K331" s="50" t="n">
        <f aca="false">K330-J331</f>
        <v>998424.462666895</v>
      </c>
      <c r="L331" s="50" t="n">
        <f aca="false">C331+F331+I331</f>
        <v>7327.60994968416</v>
      </c>
      <c r="M331" s="50" t="n">
        <f aca="false">D331+G331+J331</f>
        <v>9861.47033821576</v>
      </c>
      <c r="N331" s="50" t="n">
        <f aca="false">L331+M331</f>
        <v>17189.0802878999</v>
      </c>
      <c r="O331" s="50" t="n">
        <f aca="false">E331+H331+K331</f>
        <v>2771265.79278794</v>
      </c>
    </row>
    <row r="332" customFormat="false" ht="15" hidden="false" customHeight="false" outlineLevel="0" collapsed="false">
      <c r="A332" s="49" t="n">
        <v>326</v>
      </c>
      <c r="B332" s="49" t="n">
        <f aca="false">ROUNDUP(A332/12,0)</f>
        <v>28</v>
      </c>
      <c r="C332" s="50" t="n">
        <f aca="false">E331*Annahmen!$B$58/12</f>
        <v>2299.8850834635</v>
      </c>
      <c r="D332" s="50" t="n">
        <f aca="false">MIN($C$3-C332,E331)</f>
        <v>2950.11491653651</v>
      </c>
      <c r="E332" s="50" t="n">
        <f aca="false">E331-D332</f>
        <v>1100994.72514594</v>
      </c>
      <c r="F332" s="50" t="n">
        <f aca="false">H331*Annahmen!$B$59/12</f>
        <v>1672.24122514641</v>
      </c>
      <c r="G332" s="50" t="n">
        <f aca="false">MIN($F$3-F332,H331)</f>
        <v>2152.75877485359</v>
      </c>
      <c r="H332" s="50" t="n">
        <f aca="false">H331-G332</f>
        <v>666743.731283712</v>
      </c>
      <c r="I332" s="50" t="n">
        <f aca="false">K331*Annahmen!$B$60/12</f>
        <v>3328.08154222298</v>
      </c>
      <c r="J332" s="50" t="n">
        <f aca="false">MIN($I$3-I332,K331)</f>
        <v>4785.99874567694</v>
      </c>
      <c r="K332" s="50" t="n">
        <f aca="false">K331-J332</f>
        <v>993638.463921218</v>
      </c>
      <c r="L332" s="50" t="n">
        <f aca="false">C332+F332+I332</f>
        <v>7300.2078508329</v>
      </c>
      <c r="M332" s="50" t="n">
        <f aca="false">D332+G332+J332</f>
        <v>9888.87243706703</v>
      </c>
      <c r="N332" s="50" t="n">
        <f aca="false">L332+M332</f>
        <v>17189.0802878999</v>
      </c>
      <c r="O332" s="50" t="n">
        <f aca="false">E332+H332+K332</f>
        <v>2761376.92035087</v>
      </c>
    </row>
    <row r="333" customFormat="false" ht="15" hidden="false" customHeight="false" outlineLevel="0" collapsed="false">
      <c r="A333" s="49" t="n">
        <v>327</v>
      </c>
      <c r="B333" s="49" t="n">
        <f aca="false">ROUNDUP(A333/12,0)</f>
        <v>28</v>
      </c>
      <c r="C333" s="50" t="n">
        <f aca="false">E332*Annahmen!$B$58/12</f>
        <v>2293.73901072071</v>
      </c>
      <c r="D333" s="50" t="n">
        <f aca="false">MIN($C$3-C333,E332)</f>
        <v>2956.26098927929</v>
      </c>
      <c r="E333" s="50" t="n">
        <f aca="false">E332-D333</f>
        <v>1098038.46415666</v>
      </c>
      <c r="F333" s="50" t="n">
        <f aca="false">H332*Annahmen!$B$59/12</f>
        <v>1666.85932820928</v>
      </c>
      <c r="G333" s="50" t="n">
        <f aca="false">MIN($F$3-F333,H332)</f>
        <v>2158.14067179072</v>
      </c>
      <c r="H333" s="50" t="n">
        <f aca="false">H332-G333</f>
        <v>664585.590611922</v>
      </c>
      <c r="I333" s="50" t="n">
        <f aca="false">K332*Annahmen!$B$60/12</f>
        <v>3312.12821307073</v>
      </c>
      <c r="J333" s="50" t="n">
        <f aca="false">MIN($I$3-I333,K332)</f>
        <v>4801.95207482919</v>
      </c>
      <c r="K333" s="50" t="n">
        <f aca="false">K332-J333</f>
        <v>988836.511846389</v>
      </c>
      <c r="L333" s="50" t="n">
        <f aca="false">C333+F333+I333</f>
        <v>7272.72655200072</v>
      </c>
      <c r="M333" s="50" t="n">
        <f aca="false">D333+G333+J333</f>
        <v>9916.3537358992</v>
      </c>
      <c r="N333" s="50" t="n">
        <f aca="false">L333+M333</f>
        <v>17189.0802878999</v>
      </c>
      <c r="O333" s="50" t="n">
        <f aca="false">E333+H333+K333</f>
        <v>2751460.56661497</v>
      </c>
    </row>
    <row r="334" customFormat="false" ht="15" hidden="false" customHeight="false" outlineLevel="0" collapsed="false">
      <c r="A334" s="49" t="n">
        <v>328</v>
      </c>
      <c r="B334" s="49" t="n">
        <f aca="false">ROUNDUP(A334/12,0)</f>
        <v>28</v>
      </c>
      <c r="C334" s="50" t="n">
        <f aca="false">E333*Annahmen!$B$58/12</f>
        <v>2287.58013365971</v>
      </c>
      <c r="D334" s="50" t="n">
        <f aca="false">MIN($C$3-C334,E333)</f>
        <v>2962.41986634029</v>
      </c>
      <c r="E334" s="50" t="n">
        <f aca="false">E333-D334</f>
        <v>1095076.04429032</v>
      </c>
      <c r="F334" s="50" t="n">
        <f aca="false">H333*Annahmen!$B$59/12</f>
        <v>1661.4639765298</v>
      </c>
      <c r="G334" s="50" t="n">
        <f aca="false">MIN($F$3-F334,H333)</f>
        <v>2163.5360234702</v>
      </c>
      <c r="H334" s="50" t="n">
        <f aca="false">H333-G334</f>
        <v>662422.054588451</v>
      </c>
      <c r="I334" s="50" t="n">
        <f aca="false">K333*Annahmen!$B$60/12</f>
        <v>3296.12170615463</v>
      </c>
      <c r="J334" s="50" t="n">
        <f aca="false">MIN($I$3-I334,K333)</f>
        <v>4817.95858174529</v>
      </c>
      <c r="K334" s="50" t="n">
        <f aca="false">K333-J334</f>
        <v>984018.553264644</v>
      </c>
      <c r="L334" s="50" t="n">
        <f aca="false">C334+F334+I334</f>
        <v>7245.16581634415</v>
      </c>
      <c r="M334" s="50" t="n">
        <f aca="false">D334+G334+J334</f>
        <v>9943.91447155577</v>
      </c>
      <c r="N334" s="50" t="n">
        <f aca="false">L334+M334</f>
        <v>17189.0802878999</v>
      </c>
      <c r="O334" s="50" t="n">
        <f aca="false">E334+H334+K334</f>
        <v>2741516.65214342</v>
      </c>
    </row>
    <row r="335" customFormat="false" ht="15" hidden="false" customHeight="false" outlineLevel="0" collapsed="false">
      <c r="A335" s="49" t="n">
        <v>329</v>
      </c>
      <c r="B335" s="49" t="n">
        <f aca="false">ROUNDUP(A335/12,0)</f>
        <v>28</v>
      </c>
      <c r="C335" s="50" t="n">
        <f aca="false">E334*Annahmen!$B$58/12</f>
        <v>2281.40842560484</v>
      </c>
      <c r="D335" s="50" t="n">
        <f aca="false">MIN($C$3-C335,E334)</f>
        <v>2968.59157439516</v>
      </c>
      <c r="E335" s="50" t="n">
        <f aca="false">E334-D335</f>
        <v>1092107.45271593</v>
      </c>
      <c r="F335" s="50" t="n">
        <f aca="false">H334*Annahmen!$B$59/12</f>
        <v>1656.05513647113</v>
      </c>
      <c r="G335" s="50" t="n">
        <f aca="false">MIN($F$3-F335,H334)</f>
        <v>2168.94486352887</v>
      </c>
      <c r="H335" s="50" t="n">
        <f aca="false">H334-G335</f>
        <v>660253.109724923</v>
      </c>
      <c r="I335" s="50" t="n">
        <f aca="false">K334*Annahmen!$B$60/12</f>
        <v>3280.06184421548</v>
      </c>
      <c r="J335" s="50" t="n">
        <f aca="false">MIN($I$3-I335,K334)</f>
        <v>4834.01844368444</v>
      </c>
      <c r="K335" s="50" t="n">
        <f aca="false">K334-J335</f>
        <v>979184.53482096</v>
      </c>
      <c r="L335" s="50" t="n">
        <f aca="false">C335+F335+I335</f>
        <v>7217.52540629145</v>
      </c>
      <c r="M335" s="50" t="n">
        <f aca="false">D335+G335+J335</f>
        <v>9971.55488160848</v>
      </c>
      <c r="N335" s="50" t="n">
        <f aca="false">L335+M335</f>
        <v>17189.0802878999</v>
      </c>
      <c r="O335" s="50" t="n">
        <f aca="false">E335+H335+K335</f>
        <v>2731545.09726181</v>
      </c>
    </row>
    <row r="336" customFormat="false" ht="15" hidden="false" customHeight="false" outlineLevel="0" collapsed="false">
      <c r="A336" s="49" t="n">
        <v>330</v>
      </c>
      <c r="B336" s="49" t="n">
        <f aca="false">ROUNDUP(A336/12,0)</f>
        <v>28</v>
      </c>
      <c r="C336" s="50" t="n">
        <f aca="false">E335*Annahmen!$B$58/12</f>
        <v>2275.22385982485</v>
      </c>
      <c r="D336" s="50" t="n">
        <f aca="false">MIN($C$3-C336,E335)</f>
        <v>2974.77614017515</v>
      </c>
      <c r="E336" s="50" t="n">
        <f aca="false">E335-D336</f>
        <v>1089132.67657575</v>
      </c>
      <c r="F336" s="50" t="n">
        <f aca="false">H335*Annahmen!$B$59/12</f>
        <v>1650.63277431231</v>
      </c>
      <c r="G336" s="50" t="n">
        <f aca="false">MIN($F$3-F336,H335)</f>
        <v>2174.3672256877</v>
      </c>
      <c r="H336" s="50" t="n">
        <f aca="false">H335-G336</f>
        <v>658078.742499235</v>
      </c>
      <c r="I336" s="50" t="n">
        <f aca="false">K335*Annahmen!$B$60/12</f>
        <v>3263.9484494032</v>
      </c>
      <c r="J336" s="50" t="n">
        <f aca="false">MIN($I$3-I336,K335)</f>
        <v>4850.13183849672</v>
      </c>
      <c r="K336" s="50" t="n">
        <f aca="false">K335-J336</f>
        <v>974334.402982463</v>
      </c>
      <c r="L336" s="50" t="n">
        <f aca="false">C336+F336+I336</f>
        <v>7189.80508354035</v>
      </c>
      <c r="M336" s="50" t="n">
        <f aca="false">D336+G336+J336</f>
        <v>9999.27520435957</v>
      </c>
      <c r="N336" s="50" t="n">
        <f aca="false">L336+M336</f>
        <v>17189.0802878999</v>
      </c>
      <c r="O336" s="50" t="n">
        <f aca="false">E336+H336+K336</f>
        <v>2721545.82205745</v>
      </c>
    </row>
    <row r="337" customFormat="false" ht="15" hidden="false" customHeight="false" outlineLevel="0" collapsed="false">
      <c r="A337" s="49" t="n">
        <v>331</v>
      </c>
      <c r="B337" s="49" t="n">
        <f aca="false">ROUNDUP(A337/12,0)</f>
        <v>28</v>
      </c>
      <c r="C337" s="50" t="n">
        <f aca="false">E336*Annahmen!$B$58/12</f>
        <v>2269.02640953282</v>
      </c>
      <c r="D337" s="50" t="n">
        <f aca="false">MIN($C$3-C337,E336)</f>
        <v>2980.97359046718</v>
      </c>
      <c r="E337" s="50" t="n">
        <f aca="false">E336-D337</f>
        <v>1086151.70298529</v>
      </c>
      <c r="F337" s="50" t="n">
        <f aca="false">H336*Annahmen!$B$59/12</f>
        <v>1645.19685624809</v>
      </c>
      <c r="G337" s="50" t="n">
        <f aca="false">MIN($F$3-F337,H336)</f>
        <v>2179.80314375192</v>
      </c>
      <c r="H337" s="50" t="n">
        <f aca="false">H336-G337</f>
        <v>655898.939355483</v>
      </c>
      <c r="I337" s="50" t="n">
        <f aca="false">K336*Annahmen!$B$60/12</f>
        <v>3247.78134327488</v>
      </c>
      <c r="J337" s="50" t="n">
        <f aca="false">MIN($I$3-I337,K336)</f>
        <v>4866.29894462504</v>
      </c>
      <c r="K337" s="50" t="n">
        <f aca="false">K336-J337</f>
        <v>969468.104037838</v>
      </c>
      <c r="L337" s="50" t="n">
        <f aca="false">C337+F337+I337</f>
        <v>7162.00460905578</v>
      </c>
      <c r="M337" s="50" t="n">
        <f aca="false">D337+G337+J337</f>
        <v>10027.0756788441</v>
      </c>
      <c r="N337" s="50" t="n">
        <f aca="false">L337+M337</f>
        <v>17189.0802878999</v>
      </c>
      <c r="O337" s="50" t="n">
        <f aca="false">E337+H337+K337</f>
        <v>2711518.74637861</v>
      </c>
    </row>
    <row r="338" customFormat="false" ht="15" hidden="false" customHeight="false" outlineLevel="0" collapsed="false">
      <c r="A338" s="49" t="n">
        <v>332</v>
      </c>
      <c r="B338" s="49" t="n">
        <f aca="false">ROUNDUP(A338/12,0)</f>
        <v>28</v>
      </c>
      <c r="C338" s="50" t="n">
        <f aca="false">E337*Annahmen!$B$58/12</f>
        <v>2262.81604788601</v>
      </c>
      <c r="D338" s="50" t="n">
        <f aca="false">MIN($C$3-C338,E337)</f>
        <v>2987.18395211399</v>
      </c>
      <c r="E338" s="50" t="n">
        <f aca="false">E337-D338</f>
        <v>1083164.51903317</v>
      </c>
      <c r="F338" s="50" t="n">
        <f aca="false">H337*Annahmen!$B$59/12</f>
        <v>1639.74734838871</v>
      </c>
      <c r="G338" s="50" t="n">
        <f aca="false">MIN($F$3-F338,H337)</f>
        <v>2185.2526516113</v>
      </c>
      <c r="H338" s="50" t="n">
        <f aca="false">H337-G338</f>
        <v>653713.686703872</v>
      </c>
      <c r="I338" s="50" t="n">
        <f aca="false">K337*Annahmen!$B$60/12</f>
        <v>3231.56034679279</v>
      </c>
      <c r="J338" s="50" t="n">
        <f aca="false">MIN($I$3-I338,K337)</f>
        <v>4882.51994110713</v>
      </c>
      <c r="K338" s="50" t="n">
        <f aca="false">K337-J338</f>
        <v>964585.584096731</v>
      </c>
      <c r="L338" s="50" t="n">
        <f aca="false">C338+F338+I338</f>
        <v>7134.12374306751</v>
      </c>
      <c r="M338" s="50" t="n">
        <f aca="false">D338+G338+J338</f>
        <v>10054.9565448324</v>
      </c>
      <c r="N338" s="50" t="n">
        <f aca="false">L338+M338</f>
        <v>17189.0802878999</v>
      </c>
      <c r="O338" s="50" t="n">
        <f aca="false">E338+H338+K338</f>
        <v>2701463.78983377</v>
      </c>
    </row>
    <row r="339" customFormat="false" ht="15" hidden="false" customHeight="false" outlineLevel="0" collapsed="false">
      <c r="A339" s="49" t="n">
        <v>333</v>
      </c>
      <c r="B339" s="49" t="n">
        <f aca="false">ROUNDUP(A339/12,0)</f>
        <v>28</v>
      </c>
      <c r="C339" s="50" t="n">
        <f aca="false">E338*Annahmen!$B$58/12</f>
        <v>2256.59274798577</v>
      </c>
      <c r="D339" s="50" t="n">
        <f aca="false">MIN($C$3-C339,E338)</f>
        <v>2993.40725201423</v>
      </c>
      <c r="E339" s="50" t="n">
        <f aca="false">E338-D339</f>
        <v>1080171.11178116</v>
      </c>
      <c r="F339" s="50" t="n">
        <f aca="false">H338*Annahmen!$B$59/12</f>
        <v>1634.28421675968</v>
      </c>
      <c r="G339" s="50" t="n">
        <f aca="false">MIN($F$3-F339,H338)</f>
        <v>2190.71578324032</v>
      </c>
      <c r="H339" s="50" t="n">
        <f aca="false">H338-G339</f>
        <v>651522.970920631</v>
      </c>
      <c r="I339" s="50" t="n">
        <f aca="false">K338*Annahmen!$B$60/12</f>
        <v>3215.28528032244</v>
      </c>
      <c r="J339" s="50" t="n">
        <f aca="false">MIN($I$3-I339,K338)</f>
        <v>4898.79500757748</v>
      </c>
      <c r="K339" s="50" t="n">
        <f aca="false">K338-J339</f>
        <v>959686.789089153</v>
      </c>
      <c r="L339" s="50" t="n">
        <f aca="false">C339+F339+I339</f>
        <v>7106.16224506789</v>
      </c>
      <c r="M339" s="50" t="n">
        <f aca="false">D339+G339+J339</f>
        <v>10082.918042832</v>
      </c>
      <c r="N339" s="50" t="n">
        <f aca="false">L339+M339</f>
        <v>17189.0802878999</v>
      </c>
      <c r="O339" s="50" t="n">
        <f aca="false">E339+H339+K339</f>
        <v>2691380.87179094</v>
      </c>
    </row>
    <row r="340" customFormat="false" ht="15" hidden="false" customHeight="false" outlineLevel="0" collapsed="false">
      <c r="A340" s="49" t="n">
        <v>334</v>
      </c>
      <c r="B340" s="49" t="n">
        <f aca="false">ROUNDUP(A340/12,0)</f>
        <v>28</v>
      </c>
      <c r="C340" s="50" t="n">
        <f aca="false">E339*Annahmen!$B$58/12</f>
        <v>2250.35648287741</v>
      </c>
      <c r="D340" s="50" t="n">
        <f aca="false">MIN($C$3-C340,E339)</f>
        <v>2999.64351712259</v>
      </c>
      <c r="E340" s="50" t="n">
        <f aca="false">E339-D340</f>
        <v>1077171.46826403</v>
      </c>
      <c r="F340" s="50" t="n">
        <f aca="false">H339*Annahmen!$B$59/12</f>
        <v>1628.80742730158</v>
      </c>
      <c r="G340" s="50" t="n">
        <f aca="false">MIN($F$3-F340,H339)</f>
        <v>2196.19257269842</v>
      </c>
      <c r="H340" s="50" t="n">
        <f aca="false">H339-G340</f>
        <v>649326.778347933</v>
      </c>
      <c r="I340" s="50" t="n">
        <f aca="false">K339*Annahmen!$B$60/12</f>
        <v>3198.95596363051</v>
      </c>
      <c r="J340" s="50" t="n">
        <f aca="false">MIN($I$3-I340,K339)</f>
        <v>4915.12432426941</v>
      </c>
      <c r="K340" s="50" t="n">
        <f aca="false">K339-J340</f>
        <v>954771.664764884</v>
      </c>
      <c r="L340" s="50" t="n">
        <f aca="false">C340+F340+I340</f>
        <v>7078.1198738095</v>
      </c>
      <c r="M340" s="50" t="n">
        <f aca="false">D340+G340+J340</f>
        <v>10110.9604140904</v>
      </c>
      <c r="N340" s="50" t="n">
        <f aca="false">L340+M340</f>
        <v>17189.0802878999</v>
      </c>
      <c r="O340" s="50" t="n">
        <f aca="false">E340+H340+K340</f>
        <v>2681269.91137685</v>
      </c>
    </row>
    <row r="341" customFormat="false" ht="15" hidden="false" customHeight="false" outlineLevel="0" collapsed="false">
      <c r="A341" s="49" t="n">
        <v>335</v>
      </c>
      <c r="B341" s="49" t="n">
        <f aca="false">ROUNDUP(A341/12,0)</f>
        <v>28</v>
      </c>
      <c r="C341" s="50" t="n">
        <f aca="false">E340*Annahmen!$B$58/12</f>
        <v>2244.10722555007</v>
      </c>
      <c r="D341" s="50" t="n">
        <f aca="false">MIN($C$3-C341,E340)</f>
        <v>3005.89277444993</v>
      </c>
      <c r="E341" s="50" t="n">
        <f aca="false">E340-D341</f>
        <v>1074165.57548958</v>
      </c>
      <c r="F341" s="50" t="n">
        <f aca="false">H340*Annahmen!$B$59/12</f>
        <v>1623.31694586983</v>
      </c>
      <c r="G341" s="50" t="n">
        <f aca="false">MIN($F$3-F341,H340)</f>
        <v>2201.68305413017</v>
      </c>
      <c r="H341" s="50" t="n">
        <f aca="false">H340-G341</f>
        <v>647125.095293803</v>
      </c>
      <c r="I341" s="50" t="n">
        <f aca="false">K340*Annahmen!$B$60/12</f>
        <v>3182.57221588295</v>
      </c>
      <c r="J341" s="50" t="n">
        <f aca="false">MIN($I$3-I341,K340)</f>
        <v>4931.50807201697</v>
      </c>
      <c r="K341" s="50" t="n">
        <f aca="false">K340-J341</f>
        <v>949840.156692867</v>
      </c>
      <c r="L341" s="50" t="n">
        <f aca="false">C341+F341+I341</f>
        <v>7049.99638730285</v>
      </c>
      <c r="M341" s="50" t="n">
        <f aca="false">D341+G341+J341</f>
        <v>10139.0839005971</v>
      </c>
      <c r="N341" s="50" t="n">
        <f aca="false">L341+M341</f>
        <v>17189.0802878999</v>
      </c>
      <c r="O341" s="50" t="n">
        <f aca="false">E341+H341+K341</f>
        <v>2671130.82747625</v>
      </c>
    </row>
    <row r="342" customFormat="false" ht="15" hidden="false" customHeight="false" outlineLevel="0" collapsed="false">
      <c r="A342" s="49" t="n">
        <v>336</v>
      </c>
      <c r="B342" s="49" t="n">
        <f aca="false">ROUNDUP(A342/12,0)</f>
        <v>28</v>
      </c>
      <c r="C342" s="50" t="n">
        <f aca="false">E341*Annahmen!$B$58/12</f>
        <v>2237.84494893664</v>
      </c>
      <c r="D342" s="50" t="n">
        <f aca="false">MIN($C$3-C342,E341)</f>
        <v>3012.15505106337</v>
      </c>
      <c r="E342" s="50" t="n">
        <f aca="false">E341-D342</f>
        <v>1071153.42043852</v>
      </c>
      <c r="F342" s="50" t="n">
        <f aca="false">H341*Annahmen!$B$59/12</f>
        <v>1617.81273823451</v>
      </c>
      <c r="G342" s="50" t="n">
        <f aca="false">MIN($F$3-F342,H341)</f>
        <v>2207.1872617655</v>
      </c>
      <c r="H342" s="50" t="n">
        <f aca="false">H341-G342</f>
        <v>644917.908032037</v>
      </c>
      <c r="I342" s="50" t="n">
        <f aca="false">K341*Annahmen!$B$60/12</f>
        <v>3166.13385564289</v>
      </c>
      <c r="J342" s="50" t="n">
        <f aca="false">MIN($I$3-I342,K341)</f>
        <v>4947.94643225703</v>
      </c>
      <c r="K342" s="50" t="n">
        <f aca="false">K341-J342</f>
        <v>944892.21026061</v>
      </c>
      <c r="L342" s="50" t="n">
        <f aca="false">C342+F342+I342</f>
        <v>7021.79154281403</v>
      </c>
      <c r="M342" s="50" t="n">
        <f aca="false">D342+G342+J342</f>
        <v>10167.2887450859</v>
      </c>
      <c r="N342" s="50" t="n">
        <f aca="false">L342+M342</f>
        <v>17189.0802878999</v>
      </c>
      <c r="O342" s="50" t="n">
        <f aca="false">E342+H342+K342</f>
        <v>2660963.53873117</v>
      </c>
    </row>
    <row r="343" customFormat="false" ht="15" hidden="false" customHeight="false" outlineLevel="0" collapsed="false">
      <c r="A343" s="49" t="n">
        <v>337</v>
      </c>
      <c r="B343" s="49" t="n">
        <f aca="false">ROUNDUP(A343/12,0)</f>
        <v>29</v>
      </c>
      <c r="C343" s="50" t="n">
        <f aca="false">E342*Annahmen!$B$58/12</f>
        <v>2231.56962591359</v>
      </c>
      <c r="D343" s="50" t="n">
        <f aca="false">MIN($C$3-C343,E342)</f>
        <v>3018.43037408642</v>
      </c>
      <c r="E343" s="50" t="n">
        <f aca="false">E342-D343</f>
        <v>1068134.99006444</v>
      </c>
      <c r="F343" s="50" t="n">
        <f aca="false">H342*Annahmen!$B$59/12</f>
        <v>1612.29477008009</v>
      </c>
      <c r="G343" s="50" t="n">
        <f aca="false">MIN($F$3-F343,H342)</f>
        <v>2212.70522991991</v>
      </c>
      <c r="H343" s="50" t="n">
        <f aca="false">H342-G343</f>
        <v>642705.202802117</v>
      </c>
      <c r="I343" s="50" t="n">
        <f aca="false">K342*Annahmen!$B$60/12</f>
        <v>3149.6407008687</v>
      </c>
      <c r="J343" s="50" t="n">
        <f aca="false">MIN($I$3-I343,K342)</f>
        <v>4964.43958703122</v>
      </c>
      <c r="K343" s="50" t="n">
        <f aca="false">K342-J343</f>
        <v>939927.770673578</v>
      </c>
      <c r="L343" s="50" t="n">
        <f aca="false">C343+F343+I343</f>
        <v>6993.50509686238</v>
      </c>
      <c r="M343" s="50" t="n">
        <f aca="false">D343+G343+J343</f>
        <v>10195.5751910375</v>
      </c>
      <c r="N343" s="50" t="n">
        <f aca="false">L343+M343</f>
        <v>17189.0802878999</v>
      </c>
      <c r="O343" s="50" t="n">
        <f aca="false">E343+H343+K343</f>
        <v>2650767.96354013</v>
      </c>
    </row>
    <row r="344" customFormat="false" ht="15" hidden="false" customHeight="false" outlineLevel="0" collapsed="false">
      <c r="A344" s="49" t="n">
        <v>338</v>
      </c>
      <c r="B344" s="49" t="n">
        <f aca="false">ROUNDUP(A344/12,0)</f>
        <v>29</v>
      </c>
      <c r="C344" s="50" t="n">
        <f aca="false">E343*Annahmen!$B$58/12</f>
        <v>2225.28122930091</v>
      </c>
      <c r="D344" s="50" t="n">
        <f aca="false">MIN($C$3-C344,E343)</f>
        <v>3024.7187706991</v>
      </c>
      <c r="E344" s="50" t="n">
        <f aca="false">E343-D344</f>
        <v>1065110.27129374</v>
      </c>
      <c r="F344" s="50" t="n">
        <f aca="false">H343*Annahmen!$B$59/12</f>
        <v>1606.76300700529</v>
      </c>
      <c r="G344" s="50" t="n">
        <f aca="false">MIN($F$3-F344,H343)</f>
        <v>2218.23699299471</v>
      </c>
      <c r="H344" s="50" t="n">
        <f aca="false">H343-G344</f>
        <v>640486.965809123</v>
      </c>
      <c r="I344" s="50" t="n">
        <f aca="false">K343*Annahmen!$B$60/12</f>
        <v>3133.09256891193</v>
      </c>
      <c r="J344" s="50" t="n">
        <f aca="false">MIN($I$3-I344,K343)</f>
        <v>4980.98771898799</v>
      </c>
      <c r="K344" s="50" t="n">
        <f aca="false">K343-J344</f>
        <v>934946.78295459</v>
      </c>
      <c r="L344" s="50" t="n">
        <f aca="false">C344+F344+I344</f>
        <v>6965.13680521813</v>
      </c>
      <c r="M344" s="50" t="n">
        <f aca="false">D344+G344+J344</f>
        <v>10223.9434826818</v>
      </c>
      <c r="N344" s="50" t="n">
        <f aca="false">L344+M344</f>
        <v>17189.0802878999</v>
      </c>
      <c r="O344" s="50" t="n">
        <f aca="false">E344+H344+K344</f>
        <v>2640544.02005745</v>
      </c>
    </row>
    <row r="345" customFormat="false" ht="15" hidden="false" customHeight="false" outlineLevel="0" collapsed="false">
      <c r="A345" s="49" t="n">
        <v>339</v>
      </c>
      <c r="B345" s="49" t="n">
        <f aca="false">ROUNDUP(A345/12,0)</f>
        <v>29</v>
      </c>
      <c r="C345" s="50" t="n">
        <f aca="false">E344*Annahmen!$B$58/12</f>
        <v>2218.97973186195</v>
      </c>
      <c r="D345" s="50" t="n">
        <f aca="false">MIN($C$3-C345,E344)</f>
        <v>3031.02026813805</v>
      </c>
      <c r="E345" s="50" t="n">
        <f aca="false">E344-D345</f>
        <v>1062079.2510256</v>
      </c>
      <c r="F345" s="50" t="n">
        <f aca="false">H344*Annahmen!$B$59/12</f>
        <v>1601.21741452281</v>
      </c>
      <c r="G345" s="50" t="n">
        <f aca="false">MIN($F$3-F345,H344)</f>
        <v>2223.7825854772</v>
      </c>
      <c r="H345" s="50" t="n">
        <f aca="false">H344-G345</f>
        <v>638263.183223645</v>
      </c>
      <c r="I345" s="50" t="n">
        <f aca="false">K344*Annahmen!$B$60/12</f>
        <v>3116.4892765153</v>
      </c>
      <c r="J345" s="50" t="n">
        <f aca="false">MIN($I$3-I345,K344)</f>
        <v>4997.59101138462</v>
      </c>
      <c r="K345" s="50" t="n">
        <f aca="false">K344-J345</f>
        <v>929949.191943206</v>
      </c>
      <c r="L345" s="50" t="n">
        <f aca="false">C345+F345+I345</f>
        <v>6936.68642290006</v>
      </c>
      <c r="M345" s="50" t="n">
        <f aca="false">D345+G345+J345</f>
        <v>10252.3938649999</v>
      </c>
      <c r="N345" s="50" t="n">
        <f aca="false">L345+M345</f>
        <v>17189.0802878999</v>
      </c>
      <c r="O345" s="50" t="n">
        <f aca="false">E345+H345+K345</f>
        <v>2630291.62619245</v>
      </c>
    </row>
    <row r="346" customFormat="false" ht="15" hidden="false" customHeight="false" outlineLevel="0" collapsed="false">
      <c r="A346" s="49" t="n">
        <v>340</v>
      </c>
      <c r="B346" s="49" t="n">
        <f aca="false">ROUNDUP(A346/12,0)</f>
        <v>29</v>
      </c>
      <c r="C346" s="50" t="n">
        <f aca="false">E345*Annahmen!$B$58/12</f>
        <v>2212.66510630333</v>
      </c>
      <c r="D346" s="50" t="n">
        <f aca="false">MIN($C$3-C346,E345)</f>
        <v>3037.33489369667</v>
      </c>
      <c r="E346" s="50" t="n">
        <f aca="false">E345-D346</f>
        <v>1059041.9161319</v>
      </c>
      <c r="F346" s="50" t="n">
        <f aca="false">H345*Annahmen!$B$59/12</f>
        <v>1595.65795805911</v>
      </c>
      <c r="G346" s="50" t="n">
        <f aca="false">MIN($F$3-F346,H345)</f>
        <v>2229.34204194089</v>
      </c>
      <c r="H346" s="50" t="n">
        <f aca="false">H345-G346</f>
        <v>636033.841181704</v>
      </c>
      <c r="I346" s="50" t="n">
        <f aca="false">K345*Annahmen!$B$60/12</f>
        <v>3099.83063981069</v>
      </c>
      <c r="J346" s="50" t="n">
        <f aca="false">MIN($I$3-I346,K345)</f>
        <v>5014.24964808923</v>
      </c>
      <c r="K346" s="50" t="n">
        <f aca="false">K345-J346</f>
        <v>924934.942295117</v>
      </c>
      <c r="L346" s="50" t="n">
        <f aca="false">C346+F346+I346</f>
        <v>6908.15370417313</v>
      </c>
      <c r="M346" s="50" t="n">
        <f aca="false">D346+G346+J346</f>
        <v>10280.9265837268</v>
      </c>
      <c r="N346" s="50" t="n">
        <f aca="false">L346+M346</f>
        <v>17189.0802878999</v>
      </c>
      <c r="O346" s="50" t="n">
        <f aca="false">E346+H346+K346</f>
        <v>2620010.69960872</v>
      </c>
    </row>
    <row r="347" customFormat="false" ht="15" hidden="false" customHeight="false" outlineLevel="0" collapsed="false">
      <c r="A347" s="49" t="n">
        <v>341</v>
      </c>
      <c r="B347" s="49" t="n">
        <f aca="false">ROUNDUP(A347/12,0)</f>
        <v>29</v>
      </c>
      <c r="C347" s="50" t="n">
        <f aca="false">E346*Annahmen!$B$58/12</f>
        <v>2206.33732527479</v>
      </c>
      <c r="D347" s="50" t="n">
        <f aca="false">MIN($C$3-C347,E346)</f>
        <v>3043.66267472521</v>
      </c>
      <c r="E347" s="50" t="n">
        <f aca="false">E346-D347</f>
        <v>1055998.25345718</v>
      </c>
      <c r="F347" s="50" t="n">
        <f aca="false">H346*Annahmen!$B$59/12</f>
        <v>1590.08460295426</v>
      </c>
      <c r="G347" s="50" t="n">
        <f aca="false">MIN($F$3-F347,H346)</f>
        <v>2234.91539704574</v>
      </c>
      <c r="H347" s="50" t="n">
        <f aca="false">H346-G347</f>
        <v>633798.925784659</v>
      </c>
      <c r="I347" s="50" t="n">
        <f aca="false">K346*Annahmen!$B$60/12</f>
        <v>3083.11647431706</v>
      </c>
      <c r="J347" s="50" t="n">
        <f aca="false">MIN($I$3-I347,K346)</f>
        <v>5030.96381358286</v>
      </c>
      <c r="K347" s="50" t="n">
        <f aca="false">K346-J347</f>
        <v>919903.978481534</v>
      </c>
      <c r="L347" s="50" t="n">
        <f aca="false">C347+F347+I347</f>
        <v>6879.53840254611</v>
      </c>
      <c r="M347" s="50" t="n">
        <f aca="false">D347+G347+J347</f>
        <v>10309.5418853538</v>
      </c>
      <c r="N347" s="50" t="n">
        <f aca="false">L347+M347</f>
        <v>17189.0802878999</v>
      </c>
      <c r="O347" s="50" t="n">
        <f aca="false">E347+H347+K347</f>
        <v>2609701.15772337</v>
      </c>
    </row>
    <row r="348" customFormat="false" ht="15" hidden="false" customHeight="false" outlineLevel="0" collapsed="false">
      <c r="A348" s="49" t="n">
        <v>342</v>
      </c>
      <c r="B348" s="49" t="n">
        <f aca="false">ROUNDUP(A348/12,0)</f>
        <v>29</v>
      </c>
      <c r="C348" s="50" t="n">
        <f aca="false">E347*Annahmen!$B$58/12</f>
        <v>2199.99636136912</v>
      </c>
      <c r="D348" s="50" t="n">
        <f aca="false">MIN($C$3-C348,E347)</f>
        <v>3050.00363863089</v>
      </c>
      <c r="E348" s="50" t="n">
        <f aca="false">E347-D348</f>
        <v>1052948.24981855</v>
      </c>
      <c r="F348" s="50" t="n">
        <f aca="false">H347*Annahmen!$B$59/12</f>
        <v>1584.49731446165</v>
      </c>
      <c r="G348" s="50" t="n">
        <f aca="false">MIN($F$3-F348,H347)</f>
        <v>2240.50268553836</v>
      </c>
      <c r="H348" s="50" t="n">
        <f aca="false">H347-G348</f>
        <v>631558.42309912</v>
      </c>
      <c r="I348" s="50" t="n">
        <f aca="false">K347*Annahmen!$B$60/12</f>
        <v>3066.34659493845</v>
      </c>
      <c r="J348" s="50" t="n">
        <f aca="false">MIN($I$3-I348,K347)</f>
        <v>5047.73369296147</v>
      </c>
      <c r="K348" s="50" t="n">
        <f aca="false">K347-J348</f>
        <v>914856.244788572</v>
      </c>
      <c r="L348" s="50" t="n">
        <f aca="false">C348+F348+I348</f>
        <v>6850.84027076921</v>
      </c>
      <c r="M348" s="50" t="n">
        <f aca="false">D348+G348+J348</f>
        <v>10338.2400171307</v>
      </c>
      <c r="N348" s="50" t="n">
        <f aca="false">L348+M348</f>
        <v>17189.0802878999</v>
      </c>
      <c r="O348" s="50" t="n">
        <f aca="false">E348+H348+K348</f>
        <v>2599362.91770624</v>
      </c>
    </row>
    <row r="349" customFormat="false" ht="15" hidden="false" customHeight="false" outlineLevel="0" collapsed="false">
      <c r="A349" s="49" t="n">
        <v>343</v>
      </c>
      <c r="B349" s="49" t="n">
        <f aca="false">ROUNDUP(A349/12,0)</f>
        <v>29</v>
      </c>
      <c r="C349" s="50" t="n">
        <f aca="false">E348*Annahmen!$B$58/12</f>
        <v>2193.64218712197</v>
      </c>
      <c r="D349" s="50" t="n">
        <f aca="false">MIN($C$3-C349,E348)</f>
        <v>3056.35781287803</v>
      </c>
      <c r="E349" s="50" t="n">
        <f aca="false">E348-D349</f>
        <v>1049891.89200567</v>
      </c>
      <c r="F349" s="50" t="n">
        <f aca="false">H348*Annahmen!$B$59/12</f>
        <v>1578.8960577478</v>
      </c>
      <c r="G349" s="50" t="n">
        <f aca="false">MIN($F$3-F349,H348)</f>
        <v>2246.1039422522</v>
      </c>
      <c r="H349" s="50" t="n">
        <f aca="false">H348-G349</f>
        <v>629312.319156868</v>
      </c>
      <c r="I349" s="50" t="n">
        <f aca="false">K348*Annahmen!$B$60/12</f>
        <v>3049.52081596191</v>
      </c>
      <c r="J349" s="50" t="n">
        <f aca="false">MIN($I$3-I349,K348)</f>
        <v>5064.55947193801</v>
      </c>
      <c r="K349" s="50" t="n">
        <f aca="false">K348-J349</f>
        <v>909791.685316634</v>
      </c>
      <c r="L349" s="50" t="n">
        <f aca="false">C349+F349+I349</f>
        <v>6822.05906083168</v>
      </c>
      <c r="M349" s="50" t="n">
        <f aca="false">D349+G349+J349</f>
        <v>10367.0212270682</v>
      </c>
      <c r="N349" s="50" t="n">
        <f aca="false">L349+M349</f>
        <v>17189.0802878999</v>
      </c>
      <c r="O349" s="50" t="n">
        <f aca="false">E349+H349+K349</f>
        <v>2588995.89647917</v>
      </c>
    </row>
    <row r="350" customFormat="false" ht="15" hidden="false" customHeight="false" outlineLevel="0" collapsed="false">
      <c r="A350" s="49" t="n">
        <v>344</v>
      </c>
      <c r="B350" s="49" t="n">
        <f aca="false">ROUNDUP(A350/12,0)</f>
        <v>29</v>
      </c>
      <c r="C350" s="50" t="n">
        <f aca="false">E349*Annahmen!$B$58/12</f>
        <v>2187.27477501181</v>
      </c>
      <c r="D350" s="50" t="n">
        <f aca="false">MIN($C$3-C350,E349)</f>
        <v>3062.7252249882</v>
      </c>
      <c r="E350" s="50" t="n">
        <f aca="false">E349-D350</f>
        <v>1046829.16678068</v>
      </c>
      <c r="F350" s="50" t="n">
        <f aca="false">H349*Annahmen!$B$59/12</f>
        <v>1573.28079789217</v>
      </c>
      <c r="G350" s="50" t="n">
        <f aca="false">MIN($F$3-F350,H349)</f>
        <v>2251.71920210783</v>
      </c>
      <c r="H350" s="50" t="n">
        <f aca="false">H349-G350</f>
        <v>627060.59995476</v>
      </c>
      <c r="I350" s="50" t="n">
        <f aca="false">K349*Annahmen!$B$60/12</f>
        <v>3032.63895105545</v>
      </c>
      <c r="J350" s="50" t="n">
        <f aca="false">MIN($I$3-I350,K349)</f>
        <v>5081.44133684447</v>
      </c>
      <c r="K350" s="50" t="n">
        <f aca="false">K349-J350</f>
        <v>904710.24397979</v>
      </c>
      <c r="L350" s="50" t="n">
        <f aca="false">C350+F350+I350</f>
        <v>6793.19452395942</v>
      </c>
      <c r="M350" s="50" t="n">
        <f aca="false">D350+G350+J350</f>
        <v>10395.8857639405</v>
      </c>
      <c r="N350" s="50" t="n">
        <f aca="false">L350+M350</f>
        <v>17189.0802878999</v>
      </c>
      <c r="O350" s="50" t="n">
        <f aca="false">E350+H350+K350</f>
        <v>2578600.01071523</v>
      </c>
    </row>
    <row r="351" customFormat="false" ht="15" hidden="false" customHeight="false" outlineLevel="0" collapsed="false">
      <c r="A351" s="49" t="n">
        <v>345</v>
      </c>
      <c r="B351" s="49" t="n">
        <f aca="false">ROUNDUP(A351/12,0)</f>
        <v>29</v>
      </c>
      <c r="C351" s="50" t="n">
        <f aca="false">E350*Annahmen!$B$58/12</f>
        <v>2180.89409745975</v>
      </c>
      <c r="D351" s="50" t="n">
        <f aca="false">MIN($C$3-C351,E350)</f>
        <v>3069.10590254026</v>
      </c>
      <c r="E351" s="50" t="n">
        <f aca="false">E350-D351</f>
        <v>1043760.06087814</v>
      </c>
      <c r="F351" s="50" t="n">
        <f aca="false">H350*Annahmen!$B$59/12</f>
        <v>1567.6514998869</v>
      </c>
      <c r="G351" s="50" t="n">
        <f aca="false">MIN($F$3-F351,H350)</f>
        <v>2257.3485001131</v>
      </c>
      <c r="H351" s="50" t="n">
        <f aca="false">H350-G351</f>
        <v>624803.251454647</v>
      </c>
      <c r="I351" s="50" t="n">
        <f aca="false">K350*Annahmen!$B$60/12</f>
        <v>3015.70081326597</v>
      </c>
      <c r="J351" s="50" t="n">
        <f aca="false">MIN($I$3-I351,K350)</f>
        <v>5098.37947463395</v>
      </c>
      <c r="K351" s="50" t="n">
        <f aca="false">K350-J351</f>
        <v>899611.864505156</v>
      </c>
      <c r="L351" s="50" t="n">
        <f aca="false">C351+F351+I351</f>
        <v>6764.24641061261</v>
      </c>
      <c r="M351" s="50" t="n">
        <f aca="false">D351+G351+J351</f>
        <v>10424.8338772873</v>
      </c>
      <c r="N351" s="50" t="n">
        <f aca="false">L351+M351</f>
        <v>17189.0802878999</v>
      </c>
      <c r="O351" s="50" t="n">
        <f aca="false">E351+H351+K351</f>
        <v>2568175.17683794</v>
      </c>
    </row>
    <row r="352" customFormat="false" ht="15" hidden="false" customHeight="false" outlineLevel="0" collapsed="false">
      <c r="A352" s="49" t="n">
        <v>346</v>
      </c>
      <c r="B352" s="49" t="n">
        <f aca="false">ROUNDUP(A352/12,0)</f>
        <v>29</v>
      </c>
      <c r="C352" s="50" t="n">
        <f aca="false">E351*Annahmen!$B$58/12</f>
        <v>2174.50012682946</v>
      </c>
      <c r="D352" s="50" t="n">
        <f aca="false">MIN($C$3-C352,E351)</f>
        <v>3075.49987317055</v>
      </c>
      <c r="E352" s="50" t="n">
        <f aca="false">E351-D352</f>
        <v>1040684.56100497</v>
      </c>
      <c r="F352" s="50" t="n">
        <f aca="false">H351*Annahmen!$B$59/12</f>
        <v>1562.00812863662</v>
      </c>
      <c r="G352" s="50" t="n">
        <f aca="false">MIN($F$3-F352,H351)</f>
        <v>2262.99187136338</v>
      </c>
      <c r="H352" s="50" t="n">
        <f aca="false">H351-G352</f>
        <v>622540.259583284</v>
      </c>
      <c r="I352" s="50" t="n">
        <f aca="false">K351*Annahmen!$B$60/12</f>
        <v>2998.70621501719</v>
      </c>
      <c r="J352" s="50" t="n">
        <f aca="false">MIN($I$3-I352,K351)</f>
        <v>5115.37407288273</v>
      </c>
      <c r="K352" s="50" t="n">
        <f aca="false">K351-J352</f>
        <v>894496.490432273</v>
      </c>
      <c r="L352" s="50" t="n">
        <f aca="false">C352+F352+I352</f>
        <v>6735.21447048326</v>
      </c>
      <c r="M352" s="50" t="n">
        <f aca="false">D352+G352+J352</f>
        <v>10453.8658174167</v>
      </c>
      <c r="N352" s="50" t="n">
        <f aca="false">L352+M352</f>
        <v>17189.0802878999</v>
      </c>
      <c r="O352" s="50" t="n">
        <f aca="false">E352+H352+K352</f>
        <v>2557721.31102052</v>
      </c>
    </row>
    <row r="353" customFormat="false" ht="15" hidden="false" customHeight="false" outlineLevel="0" collapsed="false">
      <c r="A353" s="49" t="n">
        <v>347</v>
      </c>
      <c r="B353" s="49" t="n">
        <f aca="false">ROUNDUP(A353/12,0)</f>
        <v>29</v>
      </c>
      <c r="C353" s="50" t="n">
        <f aca="false">E352*Annahmen!$B$58/12</f>
        <v>2168.09283542702</v>
      </c>
      <c r="D353" s="50" t="n">
        <f aca="false">MIN($C$3-C353,E352)</f>
        <v>3081.90716457299</v>
      </c>
      <c r="E353" s="50" t="n">
        <f aca="false">E352-D353</f>
        <v>1037602.6538404</v>
      </c>
      <c r="F353" s="50" t="n">
        <f aca="false">H352*Annahmen!$B$59/12</f>
        <v>1556.35064895821</v>
      </c>
      <c r="G353" s="50" t="n">
        <f aca="false">MIN($F$3-F353,H352)</f>
        <v>2268.64935104179</v>
      </c>
      <c r="H353" s="50" t="n">
        <f aca="false">H352-G353</f>
        <v>620271.610232242</v>
      </c>
      <c r="I353" s="50" t="n">
        <f aca="false">K352*Annahmen!$B$60/12</f>
        <v>2981.65496810758</v>
      </c>
      <c r="J353" s="50" t="n">
        <f aca="false">MIN($I$3-I353,K352)</f>
        <v>5132.42531979234</v>
      </c>
      <c r="K353" s="50" t="n">
        <f aca="false">K352-J353</f>
        <v>889364.065112481</v>
      </c>
      <c r="L353" s="50" t="n">
        <f aca="false">C353+F353+I353</f>
        <v>6706.0984524928</v>
      </c>
      <c r="M353" s="50" t="n">
        <f aca="false">D353+G353+J353</f>
        <v>10482.9818354071</v>
      </c>
      <c r="N353" s="50" t="n">
        <f aca="false">L353+M353</f>
        <v>17189.0802878999</v>
      </c>
      <c r="O353" s="50" t="n">
        <f aca="false">E353+H353+K353</f>
        <v>2547238.32918512</v>
      </c>
    </row>
    <row r="354" customFormat="false" ht="15" hidden="false" customHeight="false" outlineLevel="0" collapsed="false">
      <c r="A354" s="49" t="n">
        <v>348</v>
      </c>
      <c r="B354" s="49" t="n">
        <f aca="false">ROUNDUP(A354/12,0)</f>
        <v>29</v>
      </c>
      <c r="C354" s="50" t="n">
        <f aca="false">E353*Annahmen!$B$58/12</f>
        <v>2161.67219550082</v>
      </c>
      <c r="D354" s="50" t="n">
        <f aca="false">MIN($C$3-C354,E353)</f>
        <v>3088.32780449918</v>
      </c>
      <c r="E354" s="50" t="n">
        <f aca="false">E353-D354</f>
        <v>1034514.3260359</v>
      </c>
      <c r="F354" s="50" t="n">
        <f aca="false">H353*Annahmen!$B$59/12</f>
        <v>1550.6790255806</v>
      </c>
      <c r="G354" s="50" t="n">
        <f aca="false">MIN($F$3-F354,H353)</f>
        <v>2274.3209744194</v>
      </c>
      <c r="H354" s="50" t="n">
        <f aca="false">H353-G354</f>
        <v>617997.289257823</v>
      </c>
      <c r="I354" s="50" t="n">
        <f aca="false">K353*Annahmen!$B$60/12</f>
        <v>2964.54688370827</v>
      </c>
      <c r="J354" s="50" t="n">
        <f aca="false">MIN($I$3-I354,K353)</f>
        <v>5149.53340419165</v>
      </c>
      <c r="K354" s="50" t="n">
        <f aca="false">K353-J354</f>
        <v>884214.531708289</v>
      </c>
      <c r="L354" s="50" t="n">
        <f aca="false">C354+F354+I354</f>
        <v>6676.8981047897</v>
      </c>
      <c r="M354" s="50" t="n">
        <f aca="false">D354+G354+J354</f>
        <v>10512.1821831102</v>
      </c>
      <c r="N354" s="50" t="n">
        <f aca="false">L354+M354</f>
        <v>17189.0802878999</v>
      </c>
      <c r="O354" s="50" t="n">
        <f aca="false">E354+H354+K354</f>
        <v>2536726.14700201</v>
      </c>
    </row>
    <row r="355" customFormat="false" ht="15" hidden="false" customHeight="false" outlineLevel="0" collapsed="false">
      <c r="A355" s="49" t="n">
        <v>349</v>
      </c>
      <c r="B355" s="49" t="n">
        <f aca="false">ROUNDUP(A355/12,0)</f>
        <v>30</v>
      </c>
      <c r="C355" s="50" t="n">
        <f aca="false">E354*Annahmen!$B$58/12</f>
        <v>2155.23817924145</v>
      </c>
      <c r="D355" s="50" t="n">
        <f aca="false">MIN($C$3-C355,E354)</f>
        <v>3094.76182075855</v>
      </c>
      <c r="E355" s="50" t="n">
        <f aca="false">E354-D355</f>
        <v>1031419.56421514</v>
      </c>
      <c r="F355" s="50" t="n">
        <f aca="false">H354*Annahmen!$B$59/12</f>
        <v>1544.99322314456</v>
      </c>
      <c r="G355" s="50" t="n">
        <f aca="false">MIN($F$3-F355,H354)</f>
        <v>2280.00677685545</v>
      </c>
      <c r="H355" s="50" t="n">
        <f aca="false">H354-G355</f>
        <v>615717.282480967</v>
      </c>
      <c r="I355" s="50" t="n">
        <f aca="false">K354*Annahmen!$B$60/12</f>
        <v>2947.38177236096</v>
      </c>
      <c r="J355" s="50" t="n">
        <f aca="false">MIN($I$3-I355,K354)</f>
        <v>5166.69851553896</v>
      </c>
      <c r="K355" s="50" t="n">
        <f aca="false">K354-J355</f>
        <v>879047.83319275</v>
      </c>
      <c r="L355" s="50" t="n">
        <f aca="false">C355+F355+I355</f>
        <v>6647.61317474697</v>
      </c>
      <c r="M355" s="50" t="n">
        <f aca="false">D355+G355+J355</f>
        <v>10541.467113153</v>
      </c>
      <c r="N355" s="50" t="n">
        <f aca="false">L355+M355</f>
        <v>17189.0802878999</v>
      </c>
      <c r="O355" s="50" t="n">
        <f aca="false">E355+H355+K355</f>
        <v>2526184.67988885</v>
      </c>
    </row>
    <row r="356" customFormat="false" ht="15" hidden="false" customHeight="false" outlineLevel="0" collapsed="false">
      <c r="A356" s="49" t="n">
        <v>350</v>
      </c>
      <c r="B356" s="49" t="n">
        <f aca="false">ROUNDUP(A356/12,0)</f>
        <v>30</v>
      </c>
      <c r="C356" s="50" t="n">
        <f aca="false">E355*Annahmen!$B$58/12</f>
        <v>2148.79075878154</v>
      </c>
      <c r="D356" s="50" t="n">
        <f aca="false">MIN($C$3-C356,E355)</f>
        <v>3101.20924121847</v>
      </c>
      <c r="E356" s="50" t="n">
        <f aca="false">E355-D356</f>
        <v>1028318.35497392</v>
      </c>
      <c r="F356" s="50" t="n">
        <f aca="false">H355*Annahmen!$B$59/12</f>
        <v>1539.29320620242</v>
      </c>
      <c r="G356" s="50" t="n">
        <f aca="false">MIN($F$3-F356,H355)</f>
        <v>2285.70679379758</v>
      </c>
      <c r="H356" s="50" t="n">
        <f aca="false">H355-G356</f>
        <v>613431.57568717</v>
      </c>
      <c r="I356" s="50" t="n">
        <f aca="false">K355*Annahmen!$B$60/12</f>
        <v>2930.15944397583</v>
      </c>
      <c r="J356" s="50" t="n">
        <f aca="false">MIN($I$3-I356,K355)</f>
        <v>5183.92084392409</v>
      </c>
      <c r="K356" s="50" t="n">
        <f aca="false">K355-J356</f>
        <v>873863.912348826</v>
      </c>
      <c r="L356" s="50" t="n">
        <f aca="false">C356+F356+I356</f>
        <v>6618.24340895979</v>
      </c>
      <c r="M356" s="50" t="n">
        <f aca="false">D356+G356+J356</f>
        <v>10570.8368789401</v>
      </c>
      <c r="N356" s="50" t="n">
        <f aca="false">L356+M356</f>
        <v>17189.0802878999</v>
      </c>
      <c r="O356" s="50" t="n">
        <f aca="false">E356+H356+K356</f>
        <v>2515613.84300991</v>
      </c>
    </row>
    <row r="357" customFormat="false" ht="15" hidden="false" customHeight="false" outlineLevel="0" collapsed="false">
      <c r="A357" s="49" t="n">
        <v>351</v>
      </c>
      <c r="B357" s="49" t="n">
        <f aca="false">ROUNDUP(A357/12,0)</f>
        <v>30</v>
      </c>
      <c r="C357" s="50" t="n">
        <f aca="false">E356*Annahmen!$B$58/12</f>
        <v>2142.32990619566</v>
      </c>
      <c r="D357" s="50" t="n">
        <f aca="false">MIN($C$3-C357,E356)</f>
        <v>3107.67009380434</v>
      </c>
      <c r="E357" s="50" t="n">
        <f aca="false">E356-D357</f>
        <v>1025210.68488011</v>
      </c>
      <c r="F357" s="50" t="n">
        <f aca="false">H356*Annahmen!$B$59/12</f>
        <v>1533.57893921792</v>
      </c>
      <c r="G357" s="50" t="n">
        <f aca="false">MIN($F$3-F357,H356)</f>
        <v>2291.42106078208</v>
      </c>
      <c r="H357" s="50" t="n">
        <f aca="false">H356-G357</f>
        <v>611140.154626388</v>
      </c>
      <c r="I357" s="50" t="n">
        <f aca="false">K356*Annahmen!$B$60/12</f>
        <v>2912.87970782942</v>
      </c>
      <c r="J357" s="50" t="n">
        <f aca="false">MIN($I$3-I357,K356)</f>
        <v>5201.2005800705</v>
      </c>
      <c r="K357" s="50" t="n">
        <f aca="false">K356-J357</f>
        <v>868662.711768756</v>
      </c>
      <c r="L357" s="50" t="n">
        <f aca="false">C357+F357+I357</f>
        <v>6588.78855324301</v>
      </c>
      <c r="M357" s="50" t="n">
        <f aca="false">D357+G357+J357</f>
        <v>10600.2917346569</v>
      </c>
      <c r="N357" s="50" t="n">
        <f aca="false">L357+M357</f>
        <v>17189.0802878999</v>
      </c>
      <c r="O357" s="50" t="n">
        <f aca="false">E357+H357+K357</f>
        <v>2505013.55127526</v>
      </c>
    </row>
    <row r="358" customFormat="false" ht="15" hidden="false" customHeight="false" outlineLevel="0" collapsed="false">
      <c r="A358" s="49" t="n">
        <v>352</v>
      </c>
      <c r="B358" s="49" t="n">
        <f aca="false">ROUNDUP(A358/12,0)</f>
        <v>30</v>
      </c>
      <c r="C358" s="50" t="n">
        <f aca="false">E357*Annahmen!$B$58/12</f>
        <v>2135.85559350024</v>
      </c>
      <c r="D358" s="50" t="n">
        <f aca="false">MIN($C$3-C358,E357)</f>
        <v>3114.14440649976</v>
      </c>
      <c r="E358" s="50" t="n">
        <f aca="false">E357-D358</f>
        <v>1022096.54047361</v>
      </c>
      <c r="F358" s="50" t="n">
        <f aca="false">H357*Annahmen!$B$59/12</f>
        <v>1527.85038656597</v>
      </c>
      <c r="G358" s="50" t="n">
        <f aca="false">MIN($F$3-F358,H357)</f>
        <v>2297.14961343403</v>
      </c>
      <c r="H358" s="50" t="n">
        <f aca="false">H357-G358</f>
        <v>608843.005012954</v>
      </c>
      <c r="I358" s="50" t="n">
        <f aca="false">K357*Annahmen!$B$60/12</f>
        <v>2895.54237256252</v>
      </c>
      <c r="J358" s="50" t="n">
        <f aca="false">MIN($I$3-I358,K357)</f>
        <v>5218.5379153374</v>
      </c>
      <c r="K358" s="50" t="n">
        <f aca="false">K357-J358</f>
        <v>863444.173853418</v>
      </c>
      <c r="L358" s="50" t="n">
        <f aca="false">C358+F358+I358</f>
        <v>6559.24835262873</v>
      </c>
      <c r="M358" s="50" t="n">
        <f aca="false">D358+G358+J358</f>
        <v>10629.8319352712</v>
      </c>
      <c r="N358" s="50" t="n">
        <f aca="false">L358+M358</f>
        <v>17189.0802878999</v>
      </c>
      <c r="O358" s="50" t="n">
        <f aca="false">E358+H358+K358</f>
        <v>2494383.71933999</v>
      </c>
    </row>
    <row r="359" customFormat="false" ht="15" hidden="false" customHeight="false" outlineLevel="0" collapsed="false">
      <c r="A359" s="49" t="n">
        <v>353</v>
      </c>
      <c r="B359" s="49" t="n">
        <f aca="false">ROUNDUP(A359/12,0)</f>
        <v>30</v>
      </c>
      <c r="C359" s="50" t="n">
        <f aca="false">E358*Annahmen!$B$58/12</f>
        <v>2129.36779265336</v>
      </c>
      <c r="D359" s="50" t="n">
        <f aca="false">MIN($C$3-C359,E358)</f>
        <v>3120.63220734664</v>
      </c>
      <c r="E359" s="50" t="n">
        <f aca="false">E358-D359</f>
        <v>1018975.90826627</v>
      </c>
      <c r="F359" s="50" t="n">
        <f aca="false">H358*Annahmen!$B$59/12</f>
        <v>1522.10751253238</v>
      </c>
      <c r="G359" s="50" t="n">
        <f aca="false">MIN($F$3-F359,H358)</f>
        <v>2302.89248746762</v>
      </c>
      <c r="H359" s="50" t="n">
        <f aca="false">H358-G359</f>
        <v>606540.112525486</v>
      </c>
      <c r="I359" s="50" t="n">
        <f aca="false">K358*Annahmen!$B$60/12</f>
        <v>2878.14724617806</v>
      </c>
      <c r="J359" s="50" t="n">
        <f aca="false">MIN($I$3-I359,K358)</f>
        <v>5235.93304172186</v>
      </c>
      <c r="K359" s="50" t="n">
        <f aca="false">K358-J359</f>
        <v>858208.240811696</v>
      </c>
      <c r="L359" s="50" t="n">
        <f aca="false">C359+F359+I359</f>
        <v>6529.62255136381</v>
      </c>
      <c r="M359" s="50" t="n">
        <f aca="false">D359+G359+J359</f>
        <v>10659.4577365361</v>
      </c>
      <c r="N359" s="50" t="n">
        <f aca="false">L359+M359</f>
        <v>17189.0802878999</v>
      </c>
      <c r="O359" s="50" t="n">
        <f aca="false">E359+H359+K359</f>
        <v>2483724.26160345</v>
      </c>
    </row>
    <row r="360" customFormat="false" ht="15" hidden="false" customHeight="false" outlineLevel="0" collapsed="false">
      <c r="A360" s="49" t="n">
        <v>354</v>
      </c>
      <c r="B360" s="49" t="n">
        <f aca="false">ROUNDUP(A360/12,0)</f>
        <v>30</v>
      </c>
      <c r="C360" s="50" t="n">
        <f aca="false">E359*Annahmen!$B$58/12</f>
        <v>2122.86647555473</v>
      </c>
      <c r="D360" s="50" t="n">
        <f aca="false">MIN($C$3-C360,E359)</f>
        <v>3127.13352444528</v>
      </c>
      <c r="E360" s="50" t="n">
        <f aca="false">E359-D360</f>
        <v>1015848.77474182</v>
      </c>
      <c r="F360" s="50" t="n">
        <f aca="false">H359*Annahmen!$B$59/12</f>
        <v>1516.35028131371</v>
      </c>
      <c r="G360" s="50" t="n">
        <f aca="false">MIN($F$3-F360,H359)</f>
        <v>2308.64971868629</v>
      </c>
      <c r="H360" s="50" t="n">
        <f aca="false">H359-G360</f>
        <v>604231.4628068</v>
      </c>
      <c r="I360" s="50" t="n">
        <f aca="false">K359*Annahmen!$B$60/12</f>
        <v>2860.69413603899</v>
      </c>
      <c r="J360" s="50" t="n">
        <f aca="false">MIN($I$3-I360,K359)</f>
        <v>5253.38615186093</v>
      </c>
      <c r="K360" s="50" t="n">
        <f aca="false">K359-J360</f>
        <v>852954.854659835</v>
      </c>
      <c r="L360" s="50" t="n">
        <f aca="false">C360+F360+I360</f>
        <v>6499.91089290743</v>
      </c>
      <c r="M360" s="50" t="n">
        <f aca="false">D360+G360+J360</f>
        <v>10689.1693949925</v>
      </c>
      <c r="N360" s="50" t="n">
        <f aca="false">L360+M360</f>
        <v>17189.0802878999</v>
      </c>
      <c r="O360" s="50" t="n">
        <f aca="false">E360+H360+K360</f>
        <v>2473035.09220846</v>
      </c>
    </row>
    <row r="361" customFormat="false" ht="15" hidden="false" customHeight="false" outlineLevel="0" collapsed="false">
      <c r="A361" s="49" t="n">
        <v>355</v>
      </c>
      <c r="B361" s="49" t="n">
        <f aca="false">ROUNDUP(A361/12,0)</f>
        <v>30</v>
      </c>
      <c r="C361" s="50" t="n">
        <f aca="false">E360*Annahmen!$B$58/12</f>
        <v>2116.35161404546</v>
      </c>
      <c r="D361" s="50" t="n">
        <f aca="false">MIN($C$3-C361,E360)</f>
        <v>3133.64838595454</v>
      </c>
      <c r="E361" s="50" t="n">
        <f aca="false">E360-D361</f>
        <v>1012715.12635587</v>
      </c>
      <c r="F361" s="50" t="n">
        <f aca="false">H360*Annahmen!$B$59/12</f>
        <v>1510.578657017</v>
      </c>
      <c r="G361" s="50" t="n">
        <f aca="false">MIN($F$3-F361,H360)</f>
        <v>2314.421342983</v>
      </c>
      <c r="H361" s="50" t="n">
        <f aca="false">H360-G361</f>
        <v>601917.041463817</v>
      </c>
      <c r="I361" s="50" t="n">
        <f aca="false">K360*Annahmen!$B$60/12</f>
        <v>2843.18284886612</v>
      </c>
      <c r="J361" s="50" t="n">
        <f aca="false">MIN($I$3-I361,K360)</f>
        <v>5270.8974390338</v>
      </c>
      <c r="K361" s="50" t="n">
        <f aca="false">K360-J361</f>
        <v>847683.957220802</v>
      </c>
      <c r="L361" s="50" t="n">
        <f aca="false">C361+F361+I361</f>
        <v>6470.11311992858</v>
      </c>
      <c r="M361" s="50" t="n">
        <f aca="false">D361+G361+J361</f>
        <v>10718.9671679713</v>
      </c>
      <c r="N361" s="50" t="n">
        <f aca="false">L361+M361</f>
        <v>17189.0802878999</v>
      </c>
      <c r="O361" s="50" t="n">
        <f aca="false">E361+H361+K361</f>
        <v>2462316.12504049</v>
      </c>
    </row>
    <row r="362" customFormat="false" ht="15" hidden="false" customHeight="false" outlineLevel="0" collapsed="false">
      <c r="A362" s="49" t="n">
        <v>356</v>
      </c>
      <c r="B362" s="49" t="n">
        <f aca="false">ROUNDUP(A362/12,0)</f>
        <v>30</v>
      </c>
      <c r="C362" s="50" t="n">
        <f aca="false">E361*Annahmen!$B$58/12</f>
        <v>2109.82317990806</v>
      </c>
      <c r="D362" s="50" t="n">
        <f aca="false">MIN($C$3-C362,E361)</f>
        <v>3140.17682009194</v>
      </c>
      <c r="E362" s="50" t="n">
        <f aca="false">E361-D362</f>
        <v>1009574.94953578</v>
      </c>
      <c r="F362" s="50" t="n">
        <f aca="false">H361*Annahmen!$B$59/12</f>
        <v>1504.79260365954</v>
      </c>
      <c r="G362" s="50" t="n">
        <f aca="false">MIN($F$3-F362,H361)</f>
        <v>2320.20739634046</v>
      </c>
      <c r="H362" s="50" t="n">
        <f aca="false">H361-G362</f>
        <v>599596.834067476</v>
      </c>
      <c r="I362" s="50" t="n">
        <f aca="false">K361*Annahmen!$B$60/12</f>
        <v>2825.61319073601</v>
      </c>
      <c r="J362" s="50" t="n">
        <f aca="false">MIN($I$3-I362,K361)</f>
        <v>5288.46709716391</v>
      </c>
      <c r="K362" s="50" t="n">
        <f aca="false">K361-J362</f>
        <v>842395.490123638</v>
      </c>
      <c r="L362" s="50" t="n">
        <f aca="false">C362+F362+I362</f>
        <v>6440.22897430361</v>
      </c>
      <c r="M362" s="50" t="n">
        <f aca="false">D362+G362+J362</f>
        <v>10748.8513135963</v>
      </c>
      <c r="N362" s="50" t="n">
        <f aca="false">L362+M362</f>
        <v>17189.0802878999</v>
      </c>
      <c r="O362" s="50" t="n">
        <f aca="false">E362+H362+K362</f>
        <v>2451567.27372689</v>
      </c>
    </row>
    <row r="363" customFormat="false" ht="15" hidden="false" customHeight="false" outlineLevel="0" collapsed="false">
      <c r="A363" s="49" t="n">
        <v>357</v>
      </c>
      <c r="B363" s="49" t="n">
        <f aca="false">ROUNDUP(A363/12,0)</f>
        <v>30</v>
      </c>
      <c r="C363" s="50" t="n">
        <f aca="false">E362*Annahmen!$B$58/12</f>
        <v>2103.2811448662</v>
      </c>
      <c r="D363" s="50" t="n">
        <f aca="false">MIN($C$3-C363,E362)</f>
        <v>3146.7188551338</v>
      </c>
      <c r="E363" s="50" t="n">
        <f aca="false">E362-D363</f>
        <v>1006428.23068064</v>
      </c>
      <c r="F363" s="50" t="n">
        <f aca="false">H362*Annahmen!$B$59/12</f>
        <v>1498.99208516869</v>
      </c>
      <c r="G363" s="50" t="n">
        <f aca="false">MIN($F$3-F363,H362)</f>
        <v>2326.00791483131</v>
      </c>
      <c r="H363" s="50" t="n">
        <f aca="false">H362-G363</f>
        <v>597270.826152645</v>
      </c>
      <c r="I363" s="50" t="n">
        <f aca="false">K362*Annahmen!$B$60/12</f>
        <v>2807.98496707879</v>
      </c>
      <c r="J363" s="50" t="n">
        <f aca="false">MIN($I$3-I363,K362)</f>
        <v>5306.09532082113</v>
      </c>
      <c r="K363" s="50" t="n">
        <f aca="false">K362-J363</f>
        <v>837089.394802816</v>
      </c>
      <c r="L363" s="50" t="n">
        <f aca="false">C363+F363+I363</f>
        <v>6410.25819711368</v>
      </c>
      <c r="M363" s="50" t="n">
        <f aca="false">D363+G363+J363</f>
        <v>10778.8220907862</v>
      </c>
      <c r="N363" s="50" t="n">
        <f aca="false">L363+M363</f>
        <v>17189.0802878999</v>
      </c>
      <c r="O363" s="50" t="n">
        <f aca="false">E363+H363+K363</f>
        <v>2440788.4516361</v>
      </c>
    </row>
    <row r="364" customFormat="false" ht="15" hidden="false" customHeight="false" outlineLevel="0" collapsed="false">
      <c r="A364" s="49" t="n">
        <v>358</v>
      </c>
      <c r="B364" s="49" t="n">
        <f aca="false">ROUNDUP(A364/12,0)</f>
        <v>30</v>
      </c>
      <c r="C364" s="50" t="n">
        <f aca="false">E363*Annahmen!$B$58/12</f>
        <v>2096.72548058467</v>
      </c>
      <c r="D364" s="50" t="n">
        <f aca="false">MIN($C$3-C364,E363)</f>
        <v>3153.27451941533</v>
      </c>
      <c r="E364" s="50" t="n">
        <f aca="false">E363-D364</f>
        <v>1003274.95616123</v>
      </c>
      <c r="F364" s="50" t="n">
        <f aca="false">H363*Annahmen!$B$59/12</f>
        <v>1493.17706538161</v>
      </c>
      <c r="G364" s="50" t="n">
        <f aca="false">MIN($F$3-F364,H363)</f>
        <v>2331.82293461839</v>
      </c>
      <c r="H364" s="50" t="n">
        <f aca="false">H363-G364</f>
        <v>594939.003218027</v>
      </c>
      <c r="I364" s="50" t="n">
        <f aca="false">K363*Annahmen!$B$60/12</f>
        <v>2790.29798267605</v>
      </c>
      <c r="J364" s="50" t="n">
        <f aca="false">MIN($I$3-I364,K363)</f>
        <v>5323.78230522387</v>
      </c>
      <c r="K364" s="50" t="n">
        <f aca="false">K363-J364</f>
        <v>831765.612497593</v>
      </c>
      <c r="L364" s="50" t="n">
        <f aca="false">C364+F364+I364</f>
        <v>6380.20052864234</v>
      </c>
      <c r="M364" s="50" t="n">
        <f aca="false">D364+G364+J364</f>
        <v>10808.8797592576</v>
      </c>
      <c r="N364" s="50" t="n">
        <f aca="false">L364+M364</f>
        <v>17189.0802878999</v>
      </c>
      <c r="O364" s="50" t="n">
        <f aca="false">E364+H364+K364</f>
        <v>2429979.57187685</v>
      </c>
    </row>
    <row r="365" customFormat="false" ht="15" hidden="false" customHeight="false" outlineLevel="0" collapsed="false">
      <c r="A365" s="49" t="n">
        <v>359</v>
      </c>
      <c r="B365" s="49" t="n">
        <f aca="false">ROUNDUP(A365/12,0)</f>
        <v>30</v>
      </c>
      <c r="C365" s="50" t="n">
        <f aca="false">E364*Annahmen!$B$58/12</f>
        <v>2090.15615866922</v>
      </c>
      <c r="D365" s="50" t="n">
        <f aca="false">MIN($C$3-C365,E364)</f>
        <v>3159.84384133078</v>
      </c>
      <c r="E365" s="50" t="n">
        <f aca="false">E364-D365</f>
        <v>1000115.1123199</v>
      </c>
      <c r="F365" s="50" t="n">
        <f aca="false">H364*Annahmen!$B$59/12</f>
        <v>1487.34750804507</v>
      </c>
      <c r="G365" s="50" t="n">
        <f aca="false">MIN($F$3-F365,H364)</f>
        <v>2337.65249195494</v>
      </c>
      <c r="H365" s="50" t="n">
        <f aca="false">H364-G365</f>
        <v>592601.350726072</v>
      </c>
      <c r="I365" s="50" t="n">
        <f aca="false">K364*Annahmen!$B$60/12</f>
        <v>2772.55204165864</v>
      </c>
      <c r="J365" s="50" t="n">
        <f aca="false">MIN($I$3-I365,K364)</f>
        <v>5341.52824624128</v>
      </c>
      <c r="K365" s="50" t="n">
        <f aca="false">K364-J365</f>
        <v>826424.084251351</v>
      </c>
      <c r="L365" s="50" t="n">
        <f aca="false">C365+F365+I365</f>
        <v>6350.05570837293</v>
      </c>
      <c r="M365" s="50" t="n">
        <f aca="false">D365+G365+J365</f>
        <v>10839.024579527</v>
      </c>
      <c r="N365" s="50" t="n">
        <f aca="false">L365+M365</f>
        <v>17189.0802878999</v>
      </c>
      <c r="O365" s="50" t="n">
        <f aca="false">E365+H365+K365</f>
        <v>2419140.54729732</v>
      </c>
    </row>
    <row r="366" customFormat="false" ht="15" hidden="false" customHeight="false" outlineLevel="0" collapsed="false">
      <c r="A366" s="49" t="n">
        <v>360</v>
      </c>
      <c r="B366" s="49" t="n">
        <f aca="false">ROUNDUP(A366/12,0)</f>
        <v>30</v>
      </c>
      <c r="C366" s="50" t="n">
        <f aca="false">E365*Annahmen!$B$58/12</f>
        <v>2083.57315066645</v>
      </c>
      <c r="D366" s="50" t="n">
        <f aca="false">MIN($C$3-C366,E365)</f>
        <v>3166.42684933355</v>
      </c>
      <c r="E366" s="50" t="n">
        <f aca="false">E365-D366</f>
        <v>996948.685470563</v>
      </c>
      <c r="F366" s="50" t="n">
        <f aca="false">H365*Annahmen!$B$59/12</f>
        <v>1481.50337681518</v>
      </c>
      <c r="G366" s="50" t="n">
        <f aca="false">MIN($F$3-F366,H365)</f>
        <v>2343.49662318482</v>
      </c>
      <c r="H366" s="50" t="n">
        <f aca="false">H365-G366</f>
        <v>590257.854102887</v>
      </c>
      <c r="I366" s="50" t="n">
        <f aca="false">K365*Annahmen!$B$60/12</f>
        <v>2754.7469475045</v>
      </c>
      <c r="J366" s="50" t="n">
        <f aca="false">MIN($I$3-I366,K365)</f>
        <v>5359.33334039542</v>
      </c>
      <c r="K366" s="50" t="n">
        <f aca="false">K365-J366</f>
        <v>821064.750910956</v>
      </c>
      <c r="L366" s="50" t="n">
        <f aca="false">C366+F366+I366</f>
        <v>6319.82347498614</v>
      </c>
      <c r="M366" s="50" t="n">
        <f aca="false">D366+G366+J366</f>
        <v>10869.2568129138</v>
      </c>
      <c r="N366" s="50" t="n">
        <f aca="false">L366+M366</f>
        <v>17189.0802878999</v>
      </c>
      <c r="O366" s="50" t="n">
        <f aca="false">E366+H366+K366</f>
        <v>2408271.29048441</v>
      </c>
    </row>
    <row r="367" customFormat="false" ht="15" hidden="false" customHeight="false" outlineLevel="0" collapsed="false">
      <c r="A367" s="49" t="n">
        <v>361</v>
      </c>
      <c r="B367" s="49" t="n">
        <f aca="false">ROUNDUP(A367/12,0)</f>
        <v>31</v>
      </c>
      <c r="C367" s="50" t="n">
        <f aca="false">E366*Annahmen!$B$58/12</f>
        <v>2076.97642806367</v>
      </c>
      <c r="D367" s="50" t="n">
        <f aca="false">MIN($C$3-C367,E366)</f>
        <v>3173.02357193633</v>
      </c>
      <c r="E367" s="50" t="n">
        <f aca="false">E366-D367</f>
        <v>993775.661898627</v>
      </c>
      <c r="F367" s="50" t="n">
        <f aca="false">H366*Annahmen!$B$59/12</f>
        <v>1475.64463525722</v>
      </c>
      <c r="G367" s="50" t="n">
        <f aca="false">MIN($F$3-F367,H366)</f>
        <v>2349.35536474279</v>
      </c>
      <c r="H367" s="50" t="n">
        <f aca="false">H366-G367</f>
        <v>587908.498738144</v>
      </c>
      <c r="I367" s="50" t="n">
        <f aca="false">K366*Annahmen!$B$60/12</f>
        <v>2736.88250303652</v>
      </c>
      <c r="J367" s="50" t="n">
        <f aca="false">MIN($I$3-I367,K366)</f>
        <v>5377.1977848634</v>
      </c>
      <c r="K367" s="50" t="n">
        <f aca="false">K366-J367</f>
        <v>815687.553126093</v>
      </c>
      <c r="L367" s="50" t="n">
        <f aca="false">C367+F367+I367</f>
        <v>6289.50356635741</v>
      </c>
      <c r="M367" s="50" t="n">
        <f aca="false">D367+G367+J367</f>
        <v>10899.5767215425</v>
      </c>
      <c r="N367" s="50" t="n">
        <f aca="false">L367+M367</f>
        <v>17189.0802878999</v>
      </c>
      <c r="O367" s="50" t="n">
        <f aca="false">E367+H367+K367</f>
        <v>2397371.71376286</v>
      </c>
    </row>
    <row r="368" customFormat="false" ht="15" hidden="false" customHeight="false" outlineLevel="0" collapsed="false">
      <c r="A368" s="49" t="n">
        <v>362</v>
      </c>
      <c r="B368" s="49" t="n">
        <f aca="false">ROUNDUP(A368/12,0)</f>
        <v>31</v>
      </c>
      <c r="C368" s="50" t="n">
        <f aca="false">E367*Annahmen!$B$58/12</f>
        <v>2070.36596228881</v>
      </c>
      <c r="D368" s="50" t="n">
        <f aca="false">MIN($C$3-C368,E367)</f>
        <v>3179.6340377112</v>
      </c>
      <c r="E368" s="50" t="n">
        <f aca="false">E367-D368</f>
        <v>990596.027860916</v>
      </c>
      <c r="F368" s="50" t="n">
        <f aca="false">H367*Annahmen!$B$59/12</f>
        <v>1469.77124684536</v>
      </c>
      <c r="G368" s="50" t="n">
        <f aca="false">MIN($F$3-F368,H367)</f>
        <v>2355.22875315464</v>
      </c>
      <c r="H368" s="50" t="n">
        <f aca="false">H367-G368</f>
        <v>585553.269984989</v>
      </c>
      <c r="I368" s="50" t="n">
        <f aca="false">K367*Annahmen!$B$60/12</f>
        <v>2718.95851042031</v>
      </c>
      <c r="J368" s="50" t="n">
        <f aca="false">MIN($I$3-I368,K367)</f>
        <v>5395.12177747961</v>
      </c>
      <c r="K368" s="50" t="n">
        <f aca="false">K367-J368</f>
        <v>810292.431348613</v>
      </c>
      <c r="L368" s="50" t="n">
        <f aca="false">C368+F368+I368</f>
        <v>6259.09571955447</v>
      </c>
      <c r="M368" s="50" t="n">
        <f aca="false">D368+G368+J368</f>
        <v>10929.9845683455</v>
      </c>
      <c r="N368" s="50" t="n">
        <f aca="false">L368+M368</f>
        <v>17189.0802878999</v>
      </c>
      <c r="O368" s="50" t="n">
        <f aca="false">E368+H368+K368</f>
        <v>2386441.72919452</v>
      </c>
    </row>
    <row r="369" customFormat="false" ht="15" hidden="false" customHeight="false" outlineLevel="0" collapsed="false">
      <c r="A369" s="49" t="n">
        <v>363</v>
      </c>
      <c r="B369" s="49" t="n">
        <f aca="false">ROUNDUP(A369/12,0)</f>
        <v>31</v>
      </c>
      <c r="C369" s="50" t="n">
        <f aca="false">E368*Annahmen!$B$58/12</f>
        <v>2063.74172471024</v>
      </c>
      <c r="D369" s="50" t="n">
        <f aca="false">MIN($C$3-C369,E368)</f>
        <v>3186.25827528976</v>
      </c>
      <c r="E369" s="50" t="n">
        <f aca="false">E368-D369</f>
        <v>987409.769585626</v>
      </c>
      <c r="F369" s="50" t="n">
        <f aca="false">H368*Annahmen!$B$59/12</f>
        <v>1463.88317496247</v>
      </c>
      <c r="G369" s="50" t="n">
        <f aca="false">MIN($F$3-F369,H368)</f>
        <v>2361.11682503753</v>
      </c>
      <c r="H369" s="50" t="n">
        <f aca="false">H368-G369</f>
        <v>583192.153159952</v>
      </c>
      <c r="I369" s="50" t="n">
        <f aca="false">K368*Annahmen!$B$60/12</f>
        <v>2700.97477116204</v>
      </c>
      <c r="J369" s="50" t="n">
        <f aca="false">MIN($I$3-I369,K368)</f>
        <v>5413.10551673788</v>
      </c>
      <c r="K369" s="50" t="n">
        <f aca="false">K368-J369</f>
        <v>804879.325831875</v>
      </c>
      <c r="L369" s="50" t="n">
        <f aca="false">C369+F369+I369</f>
        <v>6228.59967083476</v>
      </c>
      <c r="M369" s="50" t="n">
        <f aca="false">D369+G369+J369</f>
        <v>10960.4806170652</v>
      </c>
      <c r="N369" s="50" t="n">
        <f aca="false">L369+M369</f>
        <v>17189.0802878999</v>
      </c>
      <c r="O369" s="50" t="n">
        <f aca="false">E369+H369+K369</f>
        <v>2375481.24857745</v>
      </c>
    </row>
    <row r="370" customFormat="false" ht="15" hidden="false" customHeight="false" outlineLevel="0" collapsed="false">
      <c r="A370" s="49" t="n">
        <v>364</v>
      </c>
      <c r="B370" s="49" t="n">
        <f aca="false">ROUNDUP(A370/12,0)</f>
        <v>31</v>
      </c>
      <c r="C370" s="50" t="n">
        <f aca="false">E369*Annahmen!$B$58/12</f>
        <v>2057.10368663672</v>
      </c>
      <c r="D370" s="50" t="n">
        <f aca="false">MIN($C$3-C370,E369)</f>
        <v>3192.89631336328</v>
      </c>
      <c r="E370" s="50" t="n">
        <f aca="false">E369-D370</f>
        <v>984216.873272262</v>
      </c>
      <c r="F370" s="50" t="n">
        <f aca="false">H369*Annahmen!$B$59/12</f>
        <v>1457.98038289988</v>
      </c>
      <c r="G370" s="50" t="n">
        <f aca="false">MIN($F$3-F370,H369)</f>
        <v>2367.01961710012</v>
      </c>
      <c r="H370" s="50" t="n">
        <f aca="false">H369-G370</f>
        <v>580825.133542852</v>
      </c>
      <c r="I370" s="50" t="n">
        <f aca="false">K369*Annahmen!$B$60/12</f>
        <v>2682.93108610625</v>
      </c>
      <c r="J370" s="50" t="n">
        <f aca="false">MIN($I$3-I370,K369)</f>
        <v>5431.14920179367</v>
      </c>
      <c r="K370" s="50" t="n">
        <f aca="false">K369-J370</f>
        <v>799448.176630081</v>
      </c>
      <c r="L370" s="50" t="n">
        <f aca="false">C370+F370+I370</f>
        <v>6198.01515564285</v>
      </c>
      <c r="M370" s="50" t="n">
        <f aca="false">D370+G370+J370</f>
        <v>10991.0651322571</v>
      </c>
      <c r="N370" s="50" t="n">
        <f aca="false">L370+M370</f>
        <v>17189.0802878999</v>
      </c>
      <c r="O370" s="50" t="n">
        <f aca="false">E370+H370+K370</f>
        <v>2364490.1834452</v>
      </c>
    </row>
    <row r="371" customFormat="false" ht="15" hidden="false" customHeight="false" outlineLevel="0" collapsed="false">
      <c r="A371" s="49" t="n">
        <v>365</v>
      </c>
      <c r="B371" s="49" t="n">
        <f aca="false">ROUNDUP(A371/12,0)</f>
        <v>31</v>
      </c>
      <c r="C371" s="50" t="n">
        <f aca="false">E370*Annahmen!$B$58/12</f>
        <v>2050.45181931721</v>
      </c>
      <c r="D371" s="50" t="n">
        <f aca="false">MIN($C$3-C371,E370)</f>
        <v>3199.54818068279</v>
      </c>
      <c r="E371" s="50" t="n">
        <f aca="false">E370-D371</f>
        <v>981017.32509158</v>
      </c>
      <c r="F371" s="50" t="n">
        <f aca="false">H370*Annahmen!$B$59/12</f>
        <v>1452.06283385713</v>
      </c>
      <c r="G371" s="50" t="n">
        <f aca="false">MIN($F$3-F371,H370)</f>
        <v>2372.93716614287</v>
      </c>
      <c r="H371" s="50" t="n">
        <f aca="false">H370-G371</f>
        <v>578452.196376709</v>
      </c>
      <c r="I371" s="50" t="n">
        <f aca="false">K370*Annahmen!$B$60/12</f>
        <v>2664.8272554336</v>
      </c>
      <c r="J371" s="50" t="n">
        <f aca="false">MIN($I$3-I371,K370)</f>
        <v>5449.25303246632</v>
      </c>
      <c r="K371" s="50" t="n">
        <f aca="false">K370-J371</f>
        <v>793998.923597615</v>
      </c>
      <c r="L371" s="50" t="n">
        <f aca="false">C371+F371+I371</f>
        <v>6167.34190860795</v>
      </c>
      <c r="M371" s="50" t="n">
        <f aca="false">D371+G371+J371</f>
        <v>11021.738379292</v>
      </c>
      <c r="N371" s="50" t="n">
        <f aca="false">L371+M371</f>
        <v>17189.0802878999</v>
      </c>
      <c r="O371" s="50" t="n">
        <f aca="false">E371+H371+K371</f>
        <v>2353468.4450659</v>
      </c>
    </row>
    <row r="372" customFormat="false" ht="15" hidden="false" customHeight="false" outlineLevel="0" collapsed="false">
      <c r="A372" s="49" t="n">
        <v>366</v>
      </c>
      <c r="B372" s="49" t="n">
        <f aca="false">ROUNDUP(A372/12,0)</f>
        <v>31</v>
      </c>
      <c r="C372" s="50" t="n">
        <f aca="false">E371*Annahmen!$B$58/12</f>
        <v>2043.78609394079</v>
      </c>
      <c r="D372" s="50" t="n">
        <f aca="false">MIN($C$3-C372,E371)</f>
        <v>3206.21390605921</v>
      </c>
      <c r="E372" s="50" t="n">
        <f aca="false">E371-D372</f>
        <v>977811.11118552</v>
      </c>
      <c r="F372" s="50" t="n">
        <f aca="false">H371*Annahmen!$B$59/12</f>
        <v>1446.13049094177</v>
      </c>
      <c r="G372" s="50" t="n">
        <f aca="false">MIN($F$3-F372,H371)</f>
        <v>2378.86950905823</v>
      </c>
      <c r="H372" s="50" t="n">
        <f aca="false">H371-G372</f>
        <v>576073.326867651</v>
      </c>
      <c r="I372" s="50" t="n">
        <f aca="false">K371*Annahmen!$B$60/12</f>
        <v>2646.66307865872</v>
      </c>
      <c r="J372" s="50" t="n">
        <f aca="false">MIN($I$3-I372,K371)</f>
        <v>5467.4172092412</v>
      </c>
      <c r="K372" s="50" t="n">
        <f aca="false">K371-J372</f>
        <v>788531.506388374</v>
      </c>
      <c r="L372" s="50" t="n">
        <f aca="false">C372+F372+I372</f>
        <v>6136.57966354128</v>
      </c>
      <c r="M372" s="50" t="n">
        <f aca="false">D372+G372+J372</f>
        <v>11052.5006243586</v>
      </c>
      <c r="N372" s="50" t="n">
        <f aca="false">L372+M372</f>
        <v>17189.0802878999</v>
      </c>
      <c r="O372" s="50" t="n">
        <f aca="false">E372+H372+K372</f>
        <v>2342415.94444155</v>
      </c>
    </row>
    <row r="373" customFormat="false" ht="15" hidden="false" customHeight="false" outlineLevel="0" collapsed="false">
      <c r="A373" s="49" t="n">
        <v>367</v>
      </c>
      <c r="B373" s="49" t="n">
        <f aca="false">ROUNDUP(A373/12,0)</f>
        <v>31</v>
      </c>
      <c r="C373" s="50" t="n">
        <f aca="false">E372*Annahmen!$B$58/12</f>
        <v>2037.1064816365</v>
      </c>
      <c r="D373" s="50" t="n">
        <f aca="false">MIN($C$3-C373,E372)</f>
        <v>3212.8935183635</v>
      </c>
      <c r="E373" s="50" t="n">
        <f aca="false">E372-D373</f>
        <v>974598.217667157</v>
      </c>
      <c r="F373" s="50" t="n">
        <f aca="false">H372*Annahmen!$B$59/12</f>
        <v>1440.18331716913</v>
      </c>
      <c r="G373" s="50" t="n">
        <f aca="false">MIN($F$3-F373,H372)</f>
        <v>2384.81668283088</v>
      </c>
      <c r="H373" s="50" t="n">
        <f aca="false">H372-G373</f>
        <v>573688.51018482</v>
      </c>
      <c r="I373" s="50" t="n">
        <f aca="false">K372*Annahmen!$B$60/12</f>
        <v>2628.43835462791</v>
      </c>
      <c r="J373" s="50" t="n">
        <f aca="false">MIN($I$3-I373,K372)</f>
        <v>5485.64193327201</v>
      </c>
      <c r="K373" s="50" t="n">
        <f aca="false">K372-J373</f>
        <v>783045.864455102</v>
      </c>
      <c r="L373" s="50" t="n">
        <f aca="false">C373+F373+I373</f>
        <v>6105.72815343354</v>
      </c>
      <c r="M373" s="50" t="n">
        <f aca="false">D373+G373+J373</f>
        <v>11083.3521344664</v>
      </c>
      <c r="N373" s="50" t="n">
        <f aca="false">L373+M373</f>
        <v>17189.0802878999</v>
      </c>
      <c r="O373" s="50" t="n">
        <f aca="false">E373+H373+K373</f>
        <v>2331332.59230708</v>
      </c>
    </row>
    <row r="374" customFormat="false" ht="15" hidden="false" customHeight="false" outlineLevel="0" collapsed="false">
      <c r="A374" s="49" t="n">
        <v>368</v>
      </c>
      <c r="B374" s="49" t="n">
        <f aca="false">ROUNDUP(A374/12,0)</f>
        <v>31</v>
      </c>
      <c r="C374" s="50" t="n">
        <f aca="false">E373*Annahmen!$B$58/12</f>
        <v>2030.41295347324</v>
      </c>
      <c r="D374" s="50" t="n">
        <f aca="false">MIN($C$3-C374,E373)</f>
        <v>3219.58704652676</v>
      </c>
      <c r="E374" s="50" t="n">
        <f aca="false">E373-D374</f>
        <v>971378.63062063</v>
      </c>
      <c r="F374" s="50" t="n">
        <f aca="false">H373*Annahmen!$B$59/12</f>
        <v>1434.22127546205</v>
      </c>
      <c r="G374" s="50" t="n">
        <f aca="false">MIN($F$3-F374,H373)</f>
        <v>2390.77872453795</v>
      </c>
      <c r="H374" s="50" t="n">
        <f aca="false">H373-G374</f>
        <v>571297.731460282</v>
      </c>
      <c r="I374" s="50" t="n">
        <f aca="false">K373*Annahmen!$B$60/12</f>
        <v>2610.15288151701</v>
      </c>
      <c r="J374" s="50" t="n">
        <f aca="false">MIN($I$3-I374,K373)</f>
        <v>5503.92740638291</v>
      </c>
      <c r="K374" s="50" t="n">
        <f aca="false">K373-J374</f>
        <v>777541.937048719</v>
      </c>
      <c r="L374" s="50" t="n">
        <f aca="false">C374+F374+I374</f>
        <v>6074.7871104523</v>
      </c>
      <c r="M374" s="50" t="n">
        <f aca="false">D374+G374+J374</f>
        <v>11114.2931774476</v>
      </c>
      <c r="N374" s="50" t="n">
        <f aca="false">L374+M374</f>
        <v>17189.0802878999</v>
      </c>
      <c r="O374" s="50" t="n">
        <f aca="false">E374+H374+K374</f>
        <v>2320218.29912963</v>
      </c>
    </row>
    <row r="375" customFormat="false" ht="15" hidden="false" customHeight="false" outlineLevel="0" collapsed="false">
      <c r="A375" s="49" t="n">
        <v>369</v>
      </c>
      <c r="B375" s="49" t="n">
        <f aca="false">ROUNDUP(A375/12,0)</f>
        <v>31</v>
      </c>
      <c r="C375" s="50" t="n">
        <f aca="false">E374*Annahmen!$B$58/12</f>
        <v>2023.70548045965</v>
      </c>
      <c r="D375" s="50" t="n">
        <f aca="false">MIN($C$3-C375,E374)</f>
        <v>3226.29451954036</v>
      </c>
      <c r="E375" s="50" t="n">
        <f aca="false">E374-D375</f>
        <v>968152.33610109</v>
      </c>
      <c r="F375" s="50" t="n">
        <f aca="false">H374*Annahmen!$B$59/12</f>
        <v>1428.2443286507</v>
      </c>
      <c r="G375" s="50" t="n">
        <f aca="false">MIN($F$3-F375,H374)</f>
        <v>2396.7556713493</v>
      </c>
      <c r="H375" s="50" t="n">
        <f aca="false">H374-G375</f>
        <v>568900.975788932</v>
      </c>
      <c r="I375" s="50" t="n">
        <f aca="false">K374*Annahmen!$B$60/12</f>
        <v>2591.80645682906</v>
      </c>
      <c r="J375" s="50" t="n">
        <f aca="false">MIN($I$3-I375,K374)</f>
        <v>5522.27383107086</v>
      </c>
      <c r="K375" s="50" t="n">
        <f aca="false">K374-J375</f>
        <v>772019.663217648</v>
      </c>
      <c r="L375" s="50" t="n">
        <f aca="false">C375+F375+I375</f>
        <v>6043.75626593941</v>
      </c>
      <c r="M375" s="50" t="n">
        <f aca="false">D375+G375+J375</f>
        <v>11145.3240219605</v>
      </c>
      <c r="N375" s="50" t="n">
        <f aca="false">L375+M375</f>
        <v>17189.0802878999</v>
      </c>
      <c r="O375" s="50" t="n">
        <f aca="false">E375+H375+K375</f>
        <v>2309072.97510767</v>
      </c>
    </row>
    <row r="376" customFormat="false" ht="15" hidden="false" customHeight="false" outlineLevel="0" collapsed="false">
      <c r="A376" s="49" t="n">
        <v>370</v>
      </c>
      <c r="B376" s="49" t="n">
        <f aca="false">ROUNDUP(A376/12,0)</f>
        <v>31</v>
      </c>
      <c r="C376" s="50" t="n">
        <f aca="false">E375*Annahmen!$B$58/12</f>
        <v>2016.98403354394</v>
      </c>
      <c r="D376" s="50" t="n">
        <f aca="false">MIN($C$3-C376,E375)</f>
        <v>3233.01596645607</v>
      </c>
      <c r="E376" s="50" t="n">
        <f aca="false">E375-D376</f>
        <v>964919.320134634</v>
      </c>
      <c r="F376" s="50" t="n">
        <f aca="false">H375*Annahmen!$B$59/12</f>
        <v>1422.25243947233</v>
      </c>
      <c r="G376" s="50" t="n">
        <f aca="false">MIN($F$3-F376,H375)</f>
        <v>2402.74756052767</v>
      </c>
      <c r="H376" s="50" t="n">
        <f aca="false">H375-G376</f>
        <v>566498.228228405</v>
      </c>
      <c r="I376" s="50" t="n">
        <f aca="false">K375*Annahmen!$B$60/12</f>
        <v>2573.39887739216</v>
      </c>
      <c r="J376" s="50" t="n">
        <f aca="false">MIN($I$3-I376,K375)</f>
        <v>5540.68141050776</v>
      </c>
      <c r="K376" s="50" t="n">
        <f aca="false">K375-J376</f>
        <v>766478.98180714</v>
      </c>
      <c r="L376" s="50" t="n">
        <f aca="false">C376+F376+I376</f>
        <v>6012.63535040843</v>
      </c>
      <c r="M376" s="50" t="n">
        <f aca="false">D376+G376+J376</f>
        <v>11176.4449374915</v>
      </c>
      <c r="N376" s="50" t="n">
        <f aca="false">L376+M376</f>
        <v>17189.0802878999</v>
      </c>
      <c r="O376" s="50" t="n">
        <f aca="false">E376+H376+K376</f>
        <v>2297896.53017018</v>
      </c>
    </row>
    <row r="377" customFormat="false" ht="15" hidden="false" customHeight="false" outlineLevel="0" collapsed="false">
      <c r="A377" s="49" t="n">
        <v>371</v>
      </c>
      <c r="B377" s="49" t="n">
        <f aca="false">ROUNDUP(A377/12,0)</f>
        <v>31</v>
      </c>
      <c r="C377" s="50" t="n">
        <f aca="false">E376*Annahmen!$B$58/12</f>
        <v>2010.24858361382</v>
      </c>
      <c r="D377" s="50" t="n">
        <f aca="false">MIN($C$3-C377,E376)</f>
        <v>3239.75141638618</v>
      </c>
      <c r="E377" s="50" t="n">
        <f aca="false">E376-D377</f>
        <v>961679.568718248</v>
      </c>
      <c r="F377" s="50" t="n">
        <f aca="false">H376*Annahmen!$B$59/12</f>
        <v>1416.24557057101</v>
      </c>
      <c r="G377" s="50" t="n">
        <f aca="false">MIN($F$3-F377,H376)</f>
        <v>2408.75442942899</v>
      </c>
      <c r="H377" s="50" t="n">
        <f aca="false">H376-G377</f>
        <v>564089.473798976</v>
      </c>
      <c r="I377" s="50" t="n">
        <f aca="false">K376*Annahmen!$B$60/12</f>
        <v>2554.92993935713</v>
      </c>
      <c r="J377" s="50" t="n">
        <f aca="false">MIN($I$3-I377,K376)</f>
        <v>5559.15034854279</v>
      </c>
      <c r="K377" s="50" t="n">
        <f aca="false">K376-J377</f>
        <v>760919.831458597</v>
      </c>
      <c r="L377" s="50" t="n">
        <f aca="false">C377+F377+I377</f>
        <v>5981.42409354197</v>
      </c>
      <c r="M377" s="50" t="n">
        <f aca="false">D377+G377+J377</f>
        <v>11207.656194358</v>
      </c>
      <c r="N377" s="50" t="n">
        <f aca="false">L377+M377</f>
        <v>17189.0802878999</v>
      </c>
      <c r="O377" s="50" t="n">
        <f aca="false">E377+H377+K377</f>
        <v>2286688.87397582</v>
      </c>
    </row>
    <row r="378" customFormat="false" ht="15" hidden="false" customHeight="false" outlineLevel="0" collapsed="false">
      <c r="A378" s="49" t="n">
        <v>372</v>
      </c>
      <c r="B378" s="49" t="n">
        <f aca="false">ROUNDUP(A378/12,0)</f>
        <v>31</v>
      </c>
      <c r="C378" s="50" t="n">
        <f aca="false">E377*Annahmen!$B$58/12</f>
        <v>2003.49910149635</v>
      </c>
      <c r="D378" s="50" t="n">
        <f aca="false">MIN($C$3-C378,E377)</f>
        <v>3246.50089850365</v>
      </c>
      <c r="E378" s="50" t="n">
        <f aca="false">E377-D378</f>
        <v>958433.067819744</v>
      </c>
      <c r="F378" s="50" t="n">
        <f aca="false">H377*Annahmen!$B$59/12</f>
        <v>1410.22368449744</v>
      </c>
      <c r="G378" s="50" t="n">
        <f aca="false">MIN($F$3-F378,H377)</f>
        <v>2414.77631550256</v>
      </c>
      <c r="H378" s="50" t="n">
        <f aca="false">H377-G378</f>
        <v>561674.697483473</v>
      </c>
      <c r="I378" s="50" t="n">
        <f aca="false">K377*Annahmen!$B$60/12</f>
        <v>2536.39943819533</v>
      </c>
      <c r="J378" s="50" t="n">
        <f aca="false">MIN($I$3-I378,K377)</f>
        <v>5577.6808497046</v>
      </c>
      <c r="K378" s="50" t="n">
        <f aca="false">K377-J378</f>
        <v>755342.150608893</v>
      </c>
      <c r="L378" s="50" t="n">
        <f aca="false">C378+F378+I378</f>
        <v>5950.12222418911</v>
      </c>
      <c r="M378" s="50" t="n">
        <f aca="false">D378+G378+J378</f>
        <v>11238.9580637108</v>
      </c>
      <c r="N378" s="50" t="n">
        <f aca="false">L378+M378</f>
        <v>17189.0802878999</v>
      </c>
      <c r="O378" s="50" t="n">
        <f aca="false">E378+H378+K378</f>
        <v>2275449.91591211</v>
      </c>
    </row>
    <row r="379" customFormat="false" ht="15" hidden="false" customHeight="false" outlineLevel="0" collapsed="false">
      <c r="A379" s="49" t="n">
        <v>373</v>
      </c>
      <c r="B379" s="49" t="n">
        <f aca="false">ROUNDUP(A379/12,0)</f>
        <v>32</v>
      </c>
      <c r="C379" s="50" t="n">
        <f aca="false">E378*Annahmen!$B$58/12</f>
        <v>1996.7355579578</v>
      </c>
      <c r="D379" s="50" t="n">
        <f aca="false">MIN($C$3-C379,E378)</f>
        <v>3253.2644420422</v>
      </c>
      <c r="E379" s="50" t="n">
        <f aca="false">E378-D379</f>
        <v>955179.803377702</v>
      </c>
      <c r="F379" s="50" t="n">
        <f aca="false">H378*Annahmen!$B$59/12</f>
        <v>1404.18674370868</v>
      </c>
      <c r="G379" s="50" t="n">
        <f aca="false">MIN($F$3-F379,H378)</f>
        <v>2420.81325629132</v>
      </c>
      <c r="H379" s="50" t="n">
        <f aca="false">H378-G379</f>
        <v>559253.884227182</v>
      </c>
      <c r="I379" s="50" t="n">
        <f aca="false">K378*Annahmen!$B$60/12</f>
        <v>2517.80716869631</v>
      </c>
      <c r="J379" s="50" t="n">
        <f aca="false">MIN($I$3-I379,K378)</f>
        <v>5596.27311920361</v>
      </c>
      <c r="K379" s="50" t="n">
        <f aca="false">K378-J379</f>
        <v>749745.877489689</v>
      </c>
      <c r="L379" s="50" t="n">
        <f aca="false">C379+F379+I379</f>
        <v>5918.72947036279</v>
      </c>
      <c r="M379" s="50" t="n">
        <f aca="false">D379+G379+J379</f>
        <v>11270.3508175371</v>
      </c>
      <c r="N379" s="50" t="n">
        <f aca="false">L379+M379</f>
        <v>17189.0802878999</v>
      </c>
      <c r="O379" s="50" t="n">
        <f aca="false">E379+H379+K379</f>
        <v>2264179.56509457</v>
      </c>
    </row>
    <row r="380" customFormat="false" ht="15" hidden="false" customHeight="false" outlineLevel="0" collapsed="false">
      <c r="A380" s="49" t="n">
        <v>374</v>
      </c>
      <c r="B380" s="49" t="n">
        <f aca="false">ROUNDUP(A380/12,0)</f>
        <v>32</v>
      </c>
      <c r="C380" s="50" t="n">
        <f aca="false">E379*Annahmen!$B$58/12</f>
        <v>1989.95792370355</v>
      </c>
      <c r="D380" s="50" t="n">
        <f aca="false">MIN($C$3-C380,E379)</f>
        <v>3260.04207629646</v>
      </c>
      <c r="E380" s="50" t="n">
        <f aca="false">E379-D380</f>
        <v>951919.761301405</v>
      </c>
      <c r="F380" s="50" t="n">
        <f aca="false">H379*Annahmen!$B$59/12</f>
        <v>1398.13471056796</v>
      </c>
      <c r="G380" s="50" t="n">
        <f aca="false">MIN($F$3-F380,H379)</f>
        <v>2426.86528943205</v>
      </c>
      <c r="H380" s="50" t="n">
        <f aca="false">H379-G380</f>
        <v>556827.01893775</v>
      </c>
      <c r="I380" s="50" t="n">
        <f aca="false">K379*Annahmen!$B$60/12</f>
        <v>2499.15292496563</v>
      </c>
      <c r="J380" s="50" t="n">
        <f aca="false">MIN($I$3-I380,K379)</f>
        <v>5614.92736293429</v>
      </c>
      <c r="K380" s="50" t="n">
        <f aca="false">K379-J380</f>
        <v>744130.950126755</v>
      </c>
      <c r="L380" s="50" t="n">
        <f aca="false">C380+F380+I380</f>
        <v>5887.24555923713</v>
      </c>
      <c r="M380" s="50" t="n">
        <f aca="false">D380+G380+J380</f>
        <v>11301.8347286628</v>
      </c>
      <c r="N380" s="50" t="n">
        <f aca="false">L380+M380</f>
        <v>17189.0802878999</v>
      </c>
      <c r="O380" s="50" t="n">
        <f aca="false">E380+H380+K380</f>
        <v>2252877.73036591</v>
      </c>
    </row>
    <row r="381" customFormat="false" ht="15" hidden="false" customHeight="false" outlineLevel="0" collapsed="false">
      <c r="A381" s="49" t="n">
        <v>375</v>
      </c>
      <c r="B381" s="49" t="n">
        <f aca="false">ROUNDUP(A381/12,0)</f>
        <v>32</v>
      </c>
      <c r="C381" s="50" t="n">
        <f aca="false">E380*Annahmen!$B$58/12</f>
        <v>1983.16616937793</v>
      </c>
      <c r="D381" s="50" t="n">
        <f aca="false">MIN($C$3-C381,E380)</f>
        <v>3266.83383062208</v>
      </c>
      <c r="E381" s="50" t="n">
        <f aca="false">E380-D381</f>
        <v>948652.927470783</v>
      </c>
      <c r="F381" s="50" t="n">
        <f aca="false">H380*Annahmen!$B$59/12</f>
        <v>1392.06754734437</v>
      </c>
      <c r="G381" s="50" t="n">
        <f aca="false">MIN($F$3-F381,H380)</f>
        <v>2432.93245265563</v>
      </c>
      <c r="H381" s="50" t="n">
        <f aca="false">H380-G381</f>
        <v>554394.086485094</v>
      </c>
      <c r="I381" s="50" t="n">
        <f aca="false">K380*Annahmen!$B$60/12</f>
        <v>2480.43650042252</v>
      </c>
      <c r="J381" s="50" t="n">
        <f aca="false">MIN($I$3-I381,K380)</f>
        <v>5633.6437874774</v>
      </c>
      <c r="K381" s="50" t="n">
        <f aca="false">K380-J381</f>
        <v>738497.306339278</v>
      </c>
      <c r="L381" s="50" t="n">
        <f aca="false">C381+F381+I381</f>
        <v>5855.67021714482</v>
      </c>
      <c r="M381" s="50" t="n">
        <f aca="false">D381+G381+J381</f>
        <v>11333.4100707551</v>
      </c>
      <c r="N381" s="50" t="n">
        <f aca="false">L381+M381</f>
        <v>17189.0802878999</v>
      </c>
      <c r="O381" s="50" t="n">
        <f aca="false">E381+H381+K381</f>
        <v>2241544.32029516</v>
      </c>
    </row>
    <row r="382" customFormat="false" ht="15" hidden="false" customHeight="false" outlineLevel="0" collapsed="false">
      <c r="A382" s="49" t="n">
        <v>376</v>
      </c>
      <c r="B382" s="49" t="n">
        <f aca="false">ROUNDUP(A382/12,0)</f>
        <v>32</v>
      </c>
      <c r="C382" s="50" t="n">
        <f aca="false">E381*Annahmen!$B$58/12</f>
        <v>1976.36026556413</v>
      </c>
      <c r="D382" s="50" t="n">
        <f aca="false">MIN($C$3-C382,E381)</f>
        <v>3273.63973443587</v>
      </c>
      <c r="E382" s="50" t="n">
        <f aca="false">E381-D382</f>
        <v>945379.287736347</v>
      </c>
      <c r="F382" s="50" t="n">
        <f aca="false">H381*Annahmen!$B$59/12</f>
        <v>1385.98521621274</v>
      </c>
      <c r="G382" s="50" t="n">
        <f aca="false">MIN($F$3-F382,H381)</f>
        <v>2439.01478378727</v>
      </c>
      <c r="H382" s="50" t="n">
        <f aca="false">H381-G382</f>
        <v>551955.071701307</v>
      </c>
      <c r="I382" s="50" t="n">
        <f aca="false">K381*Annahmen!$B$60/12</f>
        <v>2461.65768779759</v>
      </c>
      <c r="J382" s="50" t="n">
        <f aca="false">MIN($I$3-I382,K381)</f>
        <v>5652.42260010233</v>
      </c>
      <c r="K382" s="50" t="n">
        <f aca="false">K381-J382</f>
        <v>732844.883739175</v>
      </c>
      <c r="L382" s="50" t="n">
        <f aca="false">C382+F382+I382</f>
        <v>5824.00316957446</v>
      </c>
      <c r="M382" s="50" t="n">
        <f aca="false">D382+G382+J382</f>
        <v>11365.0771183255</v>
      </c>
      <c r="N382" s="50" t="n">
        <f aca="false">L382+M382</f>
        <v>17189.0802878999</v>
      </c>
      <c r="O382" s="50" t="n">
        <f aca="false">E382+H382+K382</f>
        <v>2230179.24317683</v>
      </c>
    </row>
    <row r="383" customFormat="false" ht="15" hidden="false" customHeight="false" outlineLevel="0" collapsed="false">
      <c r="A383" s="49" t="n">
        <v>377</v>
      </c>
      <c r="B383" s="49" t="n">
        <f aca="false">ROUNDUP(A383/12,0)</f>
        <v>32</v>
      </c>
      <c r="C383" s="50" t="n">
        <f aca="false">E382*Annahmen!$B$58/12</f>
        <v>1969.54018278406</v>
      </c>
      <c r="D383" s="50" t="n">
        <f aca="false">MIN($C$3-C383,E382)</f>
        <v>3280.45981721595</v>
      </c>
      <c r="E383" s="50" t="n">
        <f aca="false">E382-D383</f>
        <v>942098.827919132</v>
      </c>
      <c r="F383" s="50" t="n">
        <f aca="false">H382*Annahmen!$B$59/12</f>
        <v>1379.88767925327</v>
      </c>
      <c r="G383" s="50" t="n">
        <f aca="false">MIN($F$3-F383,H382)</f>
        <v>2445.11232074673</v>
      </c>
      <c r="H383" s="50" t="n">
        <f aca="false">H382-G383</f>
        <v>549509.95938056</v>
      </c>
      <c r="I383" s="50" t="n">
        <f aca="false">K382*Annahmen!$B$60/12</f>
        <v>2442.81627913058</v>
      </c>
      <c r="J383" s="50" t="n">
        <f aca="false">MIN($I$3-I383,K382)</f>
        <v>5671.26400876934</v>
      </c>
      <c r="K383" s="50" t="n">
        <f aca="false">K382-J383</f>
        <v>727173.619730406</v>
      </c>
      <c r="L383" s="50" t="n">
        <f aca="false">C383+F383+I383</f>
        <v>5792.24414116791</v>
      </c>
      <c r="M383" s="50" t="n">
        <f aca="false">D383+G383+J383</f>
        <v>11396.836146732</v>
      </c>
      <c r="N383" s="50" t="n">
        <f aca="false">L383+M383</f>
        <v>17189.0802878999</v>
      </c>
      <c r="O383" s="50" t="n">
        <f aca="false">E383+H383+K383</f>
        <v>2218782.4070301</v>
      </c>
    </row>
    <row r="384" customFormat="false" ht="15" hidden="false" customHeight="false" outlineLevel="0" collapsed="false">
      <c r="A384" s="49" t="n">
        <v>378</v>
      </c>
      <c r="B384" s="49" t="n">
        <f aca="false">ROUNDUP(A384/12,0)</f>
        <v>32</v>
      </c>
      <c r="C384" s="50" t="n">
        <f aca="false">E383*Annahmen!$B$58/12</f>
        <v>1962.70589149819</v>
      </c>
      <c r="D384" s="50" t="n">
        <f aca="false">MIN($C$3-C384,E383)</f>
        <v>3287.29410850181</v>
      </c>
      <c r="E384" s="50" t="n">
        <f aca="false">E383-D384</f>
        <v>938811.53381063</v>
      </c>
      <c r="F384" s="50" t="n">
        <f aca="false">H383*Annahmen!$B$59/12</f>
        <v>1373.7748984514</v>
      </c>
      <c r="G384" s="50" t="n">
        <f aca="false">MIN($F$3-F384,H383)</f>
        <v>2451.2251015486</v>
      </c>
      <c r="H384" s="50" t="n">
        <f aca="false">H383-G384</f>
        <v>547058.734279012</v>
      </c>
      <c r="I384" s="50" t="n">
        <f aca="false">K383*Annahmen!$B$60/12</f>
        <v>2423.91206576802</v>
      </c>
      <c r="J384" s="50" t="n">
        <f aca="false">MIN($I$3-I384,K383)</f>
        <v>5690.1682221319</v>
      </c>
      <c r="K384" s="50" t="n">
        <f aca="false">K383-J384</f>
        <v>721483.451508274</v>
      </c>
      <c r="L384" s="50" t="n">
        <f aca="false">C384+F384+I384</f>
        <v>5760.39285571761</v>
      </c>
      <c r="M384" s="50" t="n">
        <f aca="false">D384+G384+J384</f>
        <v>11428.6874321823</v>
      </c>
      <c r="N384" s="50" t="n">
        <f aca="false">L384+M384</f>
        <v>17189.0802878999</v>
      </c>
      <c r="O384" s="50" t="n">
        <f aca="false">E384+H384+K384</f>
        <v>2207353.71959792</v>
      </c>
    </row>
    <row r="385" customFormat="false" ht="15" hidden="false" customHeight="false" outlineLevel="0" collapsed="false">
      <c r="A385" s="49" t="n">
        <v>379</v>
      </c>
      <c r="B385" s="49" t="n">
        <f aca="false">ROUNDUP(A385/12,0)</f>
        <v>32</v>
      </c>
      <c r="C385" s="50" t="n">
        <f aca="false">E384*Annahmen!$B$58/12</f>
        <v>1955.85736210548</v>
      </c>
      <c r="D385" s="50" t="n">
        <f aca="false">MIN($C$3-C385,E384)</f>
        <v>3294.14263789452</v>
      </c>
      <c r="E385" s="50" t="n">
        <f aca="false">E384-D385</f>
        <v>935517.391172735</v>
      </c>
      <c r="F385" s="50" t="n">
        <f aca="false">H384*Annahmen!$B$59/12</f>
        <v>1367.64683569753</v>
      </c>
      <c r="G385" s="50" t="n">
        <f aca="false">MIN($F$3-F385,H384)</f>
        <v>2457.35316430247</v>
      </c>
      <c r="H385" s="50" t="n">
        <f aca="false">H384-G385</f>
        <v>544601.381114709</v>
      </c>
      <c r="I385" s="50" t="n">
        <f aca="false">K384*Annahmen!$B$60/12</f>
        <v>2404.94483836091</v>
      </c>
      <c r="J385" s="50" t="n">
        <f aca="false">MIN($I$3-I385,K384)</f>
        <v>5709.13544953901</v>
      </c>
      <c r="K385" s="50" t="n">
        <f aca="false">K384-J385</f>
        <v>715774.316058735</v>
      </c>
      <c r="L385" s="50" t="n">
        <f aca="false">C385+F385+I385</f>
        <v>5728.44903616392</v>
      </c>
      <c r="M385" s="50" t="n">
        <f aca="false">D385+G385+J385</f>
        <v>11460.631251736</v>
      </c>
      <c r="N385" s="50" t="n">
        <f aca="false">L385+M385</f>
        <v>17189.0802878999</v>
      </c>
      <c r="O385" s="50" t="n">
        <f aca="false">E385+H385+K385</f>
        <v>2195893.08834618</v>
      </c>
    </row>
    <row r="386" customFormat="false" ht="15" hidden="false" customHeight="false" outlineLevel="0" collapsed="false">
      <c r="A386" s="49" t="n">
        <v>380</v>
      </c>
      <c r="B386" s="49" t="n">
        <f aca="false">ROUNDUP(A386/12,0)</f>
        <v>32</v>
      </c>
      <c r="C386" s="50" t="n">
        <f aca="false">E385*Annahmen!$B$58/12</f>
        <v>1948.9945649432</v>
      </c>
      <c r="D386" s="50" t="n">
        <f aca="false">MIN($C$3-C386,E385)</f>
        <v>3301.0054350568</v>
      </c>
      <c r="E386" s="50" t="n">
        <f aca="false">E385-D386</f>
        <v>932216.385737678</v>
      </c>
      <c r="F386" s="50" t="n">
        <f aca="false">H385*Annahmen!$B$59/12</f>
        <v>1361.50345278677</v>
      </c>
      <c r="G386" s="50" t="n">
        <f aca="false">MIN($F$3-F386,H385)</f>
        <v>2463.49654721323</v>
      </c>
      <c r="H386" s="50" t="n">
        <f aca="false">H385-G386</f>
        <v>542137.884567496</v>
      </c>
      <c r="I386" s="50" t="n">
        <f aca="false">K385*Annahmen!$B$60/12</f>
        <v>2385.91438686245</v>
      </c>
      <c r="J386" s="50" t="n">
        <f aca="false">MIN($I$3-I386,K385)</f>
        <v>5728.16590103747</v>
      </c>
      <c r="K386" s="50" t="n">
        <f aca="false">K385-J386</f>
        <v>710046.150157697</v>
      </c>
      <c r="L386" s="50" t="n">
        <f aca="false">C386+F386+I386</f>
        <v>5696.41240459242</v>
      </c>
      <c r="M386" s="50" t="n">
        <f aca="false">D386+G386+J386</f>
        <v>11492.6678833075</v>
      </c>
      <c r="N386" s="50" t="n">
        <f aca="false">L386+M386</f>
        <v>17189.0802878999</v>
      </c>
      <c r="O386" s="50" t="n">
        <f aca="false">E386+H386+K386</f>
        <v>2184400.42046287</v>
      </c>
    </row>
    <row r="387" customFormat="false" ht="15" hidden="false" customHeight="false" outlineLevel="0" collapsed="false">
      <c r="A387" s="49" t="n">
        <v>381</v>
      </c>
      <c r="B387" s="49" t="n">
        <f aca="false">ROUNDUP(A387/12,0)</f>
        <v>32</v>
      </c>
      <c r="C387" s="50" t="n">
        <f aca="false">E386*Annahmen!$B$58/12</f>
        <v>1942.11747028683</v>
      </c>
      <c r="D387" s="50" t="n">
        <f aca="false">MIN($C$3-C387,E386)</f>
        <v>3307.88252971317</v>
      </c>
      <c r="E387" s="50" t="n">
        <f aca="false">E386-D387</f>
        <v>928908.503207965</v>
      </c>
      <c r="F387" s="50" t="n">
        <f aca="false">H386*Annahmen!$B$59/12</f>
        <v>1355.34471141874</v>
      </c>
      <c r="G387" s="50" t="n">
        <f aca="false">MIN($F$3-F387,H386)</f>
        <v>2469.65528858126</v>
      </c>
      <c r="H387" s="50" t="n">
        <f aca="false">H386-G387</f>
        <v>539668.229278915</v>
      </c>
      <c r="I387" s="50" t="n">
        <f aca="false">K386*Annahmen!$B$60/12</f>
        <v>2366.82050052566</v>
      </c>
      <c r="J387" s="50" t="n">
        <f aca="false">MIN($I$3-I387,K386)</f>
        <v>5747.25978737426</v>
      </c>
      <c r="K387" s="50" t="n">
        <f aca="false">K386-J387</f>
        <v>704298.890370323</v>
      </c>
      <c r="L387" s="50" t="n">
        <f aca="false">C387+F387+I387</f>
        <v>5664.28268223123</v>
      </c>
      <c r="M387" s="50" t="n">
        <f aca="false">D387+G387+J387</f>
        <v>11524.7976056687</v>
      </c>
      <c r="N387" s="50" t="n">
        <f aca="false">L387+M387</f>
        <v>17189.0802878999</v>
      </c>
      <c r="O387" s="50" t="n">
        <f aca="false">E387+H387+K387</f>
        <v>2172875.6228572</v>
      </c>
    </row>
    <row r="388" customFormat="false" ht="15" hidden="false" customHeight="false" outlineLevel="0" collapsed="false">
      <c r="A388" s="49" t="n">
        <v>382</v>
      </c>
      <c r="B388" s="49" t="n">
        <f aca="false">ROUNDUP(A388/12,0)</f>
        <v>32</v>
      </c>
      <c r="C388" s="50" t="n">
        <f aca="false">E387*Annahmen!$B$58/12</f>
        <v>1935.22604834993</v>
      </c>
      <c r="D388" s="50" t="n">
        <f aca="false">MIN($C$3-C388,E387)</f>
        <v>3314.77395165008</v>
      </c>
      <c r="E388" s="50" t="n">
        <f aca="false">E387-D388</f>
        <v>925593.729256315</v>
      </c>
      <c r="F388" s="50" t="n">
        <f aca="false">H387*Annahmen!$B$59/12</f>
        <v>1349.17057319729</v>
      </c>
      <c r="G388" s="50" t="n">
        <f aca="false">MIN($F$3-F388,H387)</f>
        <v>2475.82942680272</v>
      </c>
      <c r="H388" s="50" t="n">
        <f aca="false">H387-G388</f>
        <v>537192.399852112</v>
      </c>
      <c r="I388" s="50" t="n">
        <f aca="false">K387*Annahmen!$B$60/12</f>
        <v>2347.66296790108</v>
      </c>
      <c r="J388" s="50" t="n">
        <f aca="false">MIN($I$3-I388,K387)</f>
        <v>5766.41731999884</v>
      </c>
      <c r="K388" s="50" t="n">
        <f aca="false">K387-J388</f>
        <v>698532.473050324</v>
      </c>
      <c r="L388" s="50" t="n">
        <f aca="false">C388+F388+I388</f>
        <v>5632.05958944829</v>
      </c>
      <c r="M388" s="50" t="n">
        <f aca="false">D388+G388+J388</f>
        <v>11557.0206984516</v>
      </c>
      <c r="N388" s="50" t="n">
        <f aca="false">L388+M388</f>
        <v>17189.0802878999</v>
      </c>
      <c r="O388" s="50" t="n">
        <f aca="false">E388+H388+K388</f>
        <v>2161318.60215875</v>
      </c>
    </row>
    <row r="389" customFormat="false" ht="15" hidden="false" customHeight="false" outlineLevel="0" collapsed="false">
      <c r="A389" s="49" t="n">
        <v>383</v>
      </c>
      <c r="B389" s="49" t="n">
        <f aca="false">ROUNDUP(A389/12,0)</f>
        <v>32</v>
      </c>
      <c r="C389" s="50" t="n">
        <f aca="false">E388*Annahmen!$B$58/12</f>
        <v>1928.32026928399</v>
      </c>
      <c r="D389" s="50" t="n">
        <f aca="false">MIN($C$3-C389,E388)</f>
        <v>3321.67973071601</v>
      </c>
      <c r="E389" s="50" t="n">
        <f aca="false">E388-D389</f>
        <v>922272.049525599</v>
      </c>
      <c r="F389" s="50" t="n">
        <f aca="false">H388*Annahmen!$B$59/12</f>
        <v>1342.98099963028</v>
      </c>
      <c r="G389" s="50" t="n">
        <f aca="false">MIN($F$3-F389,H388)</f>
        <v>2482.01900036972</v>
      </c>
      <c r="H389" s="50" t="n">
        <f aca="false">H388-G389</f>
        <v>534710.380851742</v>
      </c>
      <c r="I389" s="50" t="n">
        <f aca="false">K388*Annahmen!$B$60/12</f>
        <v>2328.44157683441</v>
      </c>
      <c r="J389" s="50" t="n">
        <f aca="false">MIN($I$3-I389,K388)</f>
        <v>5785.63871106551</v>
      </c>
      <c r="K389" s="50" t="n">
        <f aca="false">K388-J389</f>
        <v>692746.834339259</v>
      </c>
      <c r="L389" s="50" t="n">
        <f aca="false">C389+F389+I389</f>
        <v>5599.74284574868</v>
      </c>
      <c r="M389" s="50" t="n">
        <f aca="false">D389+G389+J389</f>
        <v>11589.3374421512</v>
      </c>
      <c r="N389" s="50" t="n">
        <f aca="false">L389+M389</f>
        <v>17189.0802878999</v>
      </c>
      <c r="O389" s="50" t="n">
        <f aca="false">E389+H389+K389</f>
        <v>2149729.2647166</v>
      </c>
    </row>
    <row r="390" customFormat="false" ht="15" hidden="false" customHeight="false" outlineLevel="0" collapsed="false">
      <c r="A390" s="49" t="n">
        <v>384</v>
      </c>
      <c r="B390" s="49" t="n">
        <f aca="false">ROUNDUP(A390/12,0)</f>
        <v>32</v>
      </c>
      <c r="C390" s="50" t="n">
        <f aca="false">E389*Annahmen!$B$58/12</f>
        <v>1921.40010317833</v>
      </c>
      <c r="D390" s="50" t="n">
        <f aca="false">MIN($C$3-C390,E389)</f>
        <v>3328.59989682167</v>
      </c>
      <c r="E390" s="50" t="n">
        <f aca="false">E389-D390</f>
        <v>918943.449628777</v>
      </c>
      <c r="F390" s="50" t="n">
        <f aca="false">H389*Annahmen!$B$59/12</f>
        <v>1336.77595212936</v>
      </c>
      <c r="G390" s="50" t="n">
        <f aca="false">MIN($F$3-F390,H389)</f>
        <v>2488.22404787065</v>
      </c>
      <c r="H390" s="50" t="n">
        <f aca="false">H389-G390</f>
        <v>532222.156803872</v>
      </c>
      <c r="I390" s="50" t="n">
        <f aca="false">K389*Annahmen!$B$60/12</f>
        <v>2309.1561144642</v>
      </c>
      <c r="J390" s="50" t="n">
        <f aca="false">MIN($I$3-I390,K389)</f>
        <v>5804.92417343572</v>
      </c>
      <c r="K390" s="50" t="n">
        <f aca="false">K389-J390</f>
        <v>686941.910165823</v>
      </c>
      <c r="L390" s="50" t="n">
        <f aca="false">C390+F390+I390</f>
        <v>5567.33216977188</v>
      </c>
      <c r="M390" s="50" t="n">
        <f aca="false">D390+G390+J390</f>
        <v>11621.748118128</v>
      </c>
      <c r="N390" s="50" t="n">
        <f aca="false">L390+M390</f>
        <v>17189.0802878999</v>
      </c>
      <c r="O390" s="50" t="n">
        <f aca="false">E390+H390+K390</f>
        <v>2138107.51659847</v>
      </c>
    </row>
    <row r="391" customFormat="false" ht="15" hidden="false" customHeight="false" outlineLevel="0" collapsed="false">
      <c r="A391" s="49" t="n">
        <v>385</v>
      </c>
      <c r="B391" s="49" t="n">
        <f aca="false">ROUNDUP(A391/12,0)</f>
        <v>33</v>
      </c>
      <c r="C391" s="50" t="n">
        <f aca="false">E390*Annahmen!$B$58/12</f>
        <v>1914.46552005995</v>
      </c>
      <c r="D391" s="50" t="n">
        <f aca="false">MIN($C$3-C391,E390)</f>
        <v>3335.53447994005</v>
      </c>
      <c r="E391" s="50" t="n">
        <f aca="false">E390-D391</f>
        <v>915607.915148837</v>
      </c>
      <c r="F391" s="50" t="n">
        <f aca="false">H390*Annahmen!$B$59/12</f>
        <v>1330.55539200968</v>
      </c>
      <c r="G391" s="50" t="n">
        <f aca="false">MIN($F$3-F391,H390)</f>
        <v>2494.44460799032</v>
      </c>
      <c r="H391" s="50" t="n">
        <f aca="false">H390-G391</f>
        <v>529727.712195881</v>
      </c>
      <c r="I391" s="50" t="n">
        <f aca="false">K390*Annahmen!$B$60/12</f>
        <v>2289.80636721941</v>
      </c>
      <c r="J391" s="50" t="n">
        <f aca="false">MIN($I$3-I391,K390)</f>
        <v>5824.27392068051</v>
      </c>
      <c r="K391" s="50" t="n">
        <f aca="false">K390-J391</f>
        <v>681117.636245142</v>
      </c>
      <c r="L391" s="50" t="n">
        <f aca="false">C391+F391+I391</f>
        <v>5534.82727928904</v>
      </c>
      <c r="M391" s="50" t="n">
        <f aca="false">D391+G391+J391</f>
        <v>11654.2530086109</v>
      </c>
      <c r="N391" s="50" t="n">
        <f aca="false">L391+M391</f>
        <v>17189.0802878999</v>
      </c>
      <c r="O391" s="50" t="n">
        <f aca="false">E391+H391+K391</f>
        <v>2126453.26358986</v>
      </c>
    </row>
    <row r="392" customFormat="false" ht="15" hidden="false" customHeight="false" outlineLevel="0" collapsed="false">
      <c r="A392" s="49" t="n">
        <v>386</v>
      </c>
      <c r="B392" s="49" t="n">
        <f aca="false">ROUNDUP(A392/12,0)</f>
        <v>33</v>
      </c>
      <c r="C392" s="50" t="n">
        <f aca="false">E391*Annahmen!$B$58/12</f>
        <v>1907.51648989341</v>
      </c>
      <c r="D392" s="50" t="n">
        <f aca="false">MIN($C$3-C392,E391)</f>
        <v>3342.48351010659</v>
      </c>
      <c r="E392" s="50" t="n">
        <f aca="false">E391-D392</f>
        <v>912265.431638731</v>
      </c>
      <c r="F392" s="50" t="n">
        <f aca="false">H391*Annahmen!$B$59/12</f>
        <v>1324.3192804897</v>
      </c>
      <c r="G392" s="50" t="n">
        <f aca="false">MIN($F$3-F392,H391)</f>
        <v>2500.6807195103</v>
      </c>
      <c r="H392" s="50" t="n">
        <f aca="false">H391-G392</f>
        <v>527227.031476371</v>
      </c>
      <c r="I392" s="50" t="n">
        <f aca="false">K391*Annahmen!$B$60/12</f>
        <v>2270.39212081714</v>
      </c>
      <c r="J392" s="50" t="n">
        <f aca="false">MIN($I$3-I392,K391)</f>
        <v>5843.68816708278</v>
      </c>
      <c r="K392" s="50" t="n">
        <f aca="false">K391-J392</f>
        <v>675273.94807806</v>
      </c>
      <c r="L392" s="50" t="n">
        <f aca="false">C392+F392+I392</f>
        <v>5502.22789120026</v>
      </c>
      <c r="M392" s="50" t="n">
        <f aca="false">D392+G392+J392</f>
        <v>11686.8523966997</v>
      </c>
      <c r="N392" s="50" t="n">
        <f aca="false">L392+M392</f>
        <v>17189.0802878999</v>
      </c>
      <c r="O392" s="50" t="n">
        <f aca="false">E392+H392+K392</f>
        <v>2114766.41119316</v>
      </c>
    </row>
    <row r="393" customFormat="false" ht="15" hidden="false" customHeight="false" outlineLevel="0" collapsed="false">
      <c r="A393" s="49" t="n">
        <v>387</v>
      </c>
      <c r="B393" s="49" t="n">
        <f aca="false">ROUNDUP(A393/12,0)</f>
        <v>33</v>
      </c>
      <c r="C393" s="50" t="n">
        <f aca="false">E392*Annahmen!$B$58/12</f>
        <v>1900.55298258069</v>
      </c>
      <c r="D393" s="50" t="n">
        <f aca="false">MIN($C$3-C393,E392)</f>
        <v>3349.44701741931</v>
      </c>
      <c r="E393" s="50" t="n">
        <f aca="false">E392-D393</f>
        <v>908915.984621311</v>
      </c>
      <c r="F393" s="50" t="n">
        <f aca="false">H392*Annahmen!$B$59/12</f>
        <v>1318.06757869093</v>
      </c>
      <c r="G393" s="50" t="n">
        <f aca="false">MIN($F$3-F393,H392)</f>
        <v>2506.93242130907</v>
      </c>
      <c r="H393" s="50" t="n">
        <f aca="false">H392-G393</f>
        <v>524720.099055062</v>
      </c>
      <c r="I393" s="50" t="n">
        <f aca="false">K392*Annahmen!$B$60/12</f>
        <v>2250.9131602602</v>
      </c>
      <c r="J393" s="50" t="n">
        <f aca="false">MIN($I$3-I393,K392)</f>
        <v>5863.16712763972</v>
      </c>
      <c r="K393" s="50" t="n">
        <f aca="false">K392-J393</f>
        <v>669410.78095042</v>
      </c>
      <c r="L393" s="50" t="n">
        <f aca="false">C393+F393+I393</f>
        <v>5469.53372153182</v>
      </c>
      <c r="M393" s="50" t="n">
        <f aca="false">D393+G393+J393</f>
        <v>11719.5465663681</v>
      </c>
      <c r="N393" s="50" t="n">
        <f aca="false">L393+M393</f>
        <v>17189.0802878999</v>
      </c>
      <c r="O393" s="50" t="n">
        <f aca="false">E393+H393+K393</f>
        <v>2103046.86462679</v>
      </c>
    </row>
    <row r="394" customFormat="false" ht="15" hidden="false" customHeight="false" outlineLevel="0" collapsed="false">
      <c r="A394" s="49" t="n">
        <v>388</v>
      </c>
      <c r="B394" s="49" t="n">
        <f aca="false">ROUNDUP(A394/12,0)</f>
        <v>33</v>
      </c>
      <c r="C394" s="50" t="n">
        <f aca="false">E393*Annahmen!$B$58/12</f>
        <v>1893.57496796107</v>
      </c>
      <c r="D394" s="50" t="n">
        <f aca="false">MIN($C$3-C394,E393)</f>
        <v>3356.42503203894</v>
      </c>
      <c r="E394" s="50" t="n">
        <f aca="false">E393-D394</f>
        <v>905559.559589273</v>
      </c>
      <c r="F394" s="50" t="n">
        <f aca="false">H393*Annahmen!$B$59/12</f>
        <v>1311.80024763766</v>
      </c>
      <c r="G394" s="50" t="n">
        <f aca="false">MIN($F$3-F394,H393)</f>
        <v>2513.19975236235</v>
      </c>
      <c r="H394" s="50" t="n">
        <f aca="false">H393-G394</f>
        <v>522206.8993027</v>
      </c>
      <c r="I394" s="50" t="n">
        <f aca="false">K393*Annahmen!$B$60/12</f>
        <v>2231.36926983473</v>
      </c>
      <c r="J394" s="50" t="n">
        <f aca="false">MIN($I$3-I394,K393)</f>
        <v>5882.71101806519</v>
      </c>
      <c r="K394" s="50" t="n">
        <f aca="false">K393-J394</f>
        <v>663528.069932355</v>
      </c>
      <c r="L394" s="50" t="n">
        <f aca="false">C394+F394+I394</f>
        <v>5436.74448543345</v>
      </c>
      <c r="M394" s="50" t="n">
        <f aca="false">D394+G394+J394</f>
        <v>11752.3358024665</v>
      </c>
      <c r="N394" s="50" t="n">
        <f aca="false">L394+M394</f>
        <v>17189.0802878999</v>
      </c>
      <c r="O394" s="50" t="n">
        <f aca="false">E394+H394+K394</f>
        <v>2091294.52882433</v>
      </c>
    </row>
    <row r="395" customFormat="false" ht="15" hidden="false" customHeight="false" outlineLevel="0" collapsed="false">
      <c r="A395" s="49" t="n">
        <v>389</v>
      </c>
      <c r="B395" s="49" t="n">
        <f aca="false">ROUNDUP(A395/12,0)</f>
        <v>33</v>
      </c>
      <c r="C395" s="50" t="n">
        <f aca="false">E394*Annahmen!$B$58/12</f>
        <v>1886.58241581098</v>
      </c>
      <c r="D395" s="50" t="n">
        <f aca="false">MIN($C$3-C395,E394)</f>
        <v>3363.41758418902</v>
      </c>
      <c r="E395" s="50" t="n">
        <f aca="false">E394-D395</f>
        <v>902196.142005084</v>
      </c>
      <c r="F395" s="50" t="n">
        <f aca="false">H394*Annahmen!$B$59/12</f>
        <v>1305.51724825675</v>
      </c>
      <c r="G395" s="50" t="n">
        <f aca="false">MIN($F$3-F395,H394)</f>
        <v>2519.48275174325</v>
      </c>
      <c r="H395" s="50" t="n">
        <f aca="false">H394-G395</f>
        <v>519687.416550957</v>
      </c>
      <c r="I395" s="50" t="n">
        <f aca="false">K394*Annahmen!$B$60/12</f>
        <v>2211.76023310785</v>
      </c>
      <c r="J395" s="50" t="n">
        <f aca="false">MIN($I$3-I395,K394)</f>
        <v>5902.32005479207</v>
      </c>
      <c r="K395" s="50" t="n">
        <f aca="false">K394-J395</f>
        <v>657625.749877563</v>
      </c>
      <c r="L395" s="50" t="n">
        <f aca="false">C395+F395+I395</f>
        <v>5403.85989717558</v>
      </c>
      <c r="M395" s="50" t="n">
        <f aca="false">D395+G395+J395</f>
        <v>11785.2203907243</v>
      </c>
      <c r="N395" s="50" t="n">
        <f aca="false">L395+M395</f>
        <v>17189.0802878999</v>
      </c>
      <c r="O395" s="50" t="n">
        <f aca="false">E395+H395+K395</f>
        <v>2079509.3084336</v>
      </c>
    </row>
    <row r="396" customFormat="false" ht="15" hidden="false" customHeight="false" outlineLevel="0" collapsed="false">
      <c r="A396" s="49" t="n">
        <v>390</v>
      </c>
      <c r="B396" s="49" t="n">
        <f aca="false">ROUNDUP(A396/12,0)</f>
        <v>33</v>
      </c>
      <c r="C396" s="50" t="n">
        <f aca="false">E395*Annahmen!$B$58/12</f>
        <v>1879.57529584392</v>
      </c>
      <c r="D396" s="50" t="n">
        <f aca="false">MIN($C$3-C396,E395)</f>
        <v>3370.42470415608</v>
      </c>
      <c r="E396" s="50" t="n">
        <f aca="false">E395-D396</f>
        <v>898825.717300927</v>
      </c>
      <c r="F396" s="50" t="n">
        <f aca="false">H395*Annahmen!$B$59/12</f>
        <v>1299.21854137739</v>
      </c>
      <c r="G396" s="50" t="n">
        <f aca="false">MIN($F$3-F396,H395)</f>
        <v>2525.78145862261</v>
      </c>
      <c r="H396" s="50" t="n">
        <f aca="false">H395-G396</f>
        <v>517161.635092334</v>
      </c>
      <c r="I396" s="50" t="n">
        <f aca="false">K395*Annahmen!$B$60/12</f>
        <v>2192.08583292521</v>
      </c>
      <c r="J396" s="50" t="n">
        <f aca="false">MIN($I$3-I396,K395)</f>
        <v>5921.99445497471</v>
      </c>
      <c r="K396" s="50" t="n">
        <f aca="false">K395-J396</f>
        <v>651703.755422588</v>
      </c>
      <c r="L396" s="50" t="n">
        <f aca="false">C396+F396+I396</f>
        <v>5370.87967014652</v>
      </c>
      <c r="M396" s="50" t="n">
        <f aca="false">D396+G396+J396</f>
        <v>11818.2006177534</v>
      </c>
      <c r="N396" s="50" t="n">
        <f aca="false">L396+M396</f>
        <v>17189.0802878999</v>
      </c>
      <c r="O396" s="50" t="n">
        <f aca="false">E396+H396+K396</f>
        <v>2067691.10781585</v>
      </c>
    </row>
    <row r="397" customFormat="false" ht="15" hidden="false" customHeight="false" outlineLevel="0" collapsed="false">
      <c r="A397" s="49" t="n">
        <v>391</v>
      </c>
      <c r="B397" s="49" t="n">
        <f aca="false">ROUNDUP(A397/12,0)</f>
        <v>33</v>
      </c>
      <c r="C397" s="50" t="n">
        <f aca="false">E396*Annahmen!$B$58/12</f>
        <v>1872.55357771027</v>
      </c>
      <c r="D397" s="50" t="n">
        <f aca="false">MIN($C$3-C397,E396)</f>
        <v>3377.44642228974</v>
      </c>
      <c r="E397" s="50" t="n">
        <f aca="false">E396-D397</f>
        <v>895448.270878638</v>
      </c>
      <c r="F397" s="50" t="n">
        <f aca="false">H396*Annahmen!$B$59/12</f>
        <v>1292.90408773083</v>
      </c>
      <c r="G397" s="50" t="n">
        <f aca="false">MIN($F$3-F397,H396)</f>
        <v>2532.09591226917</v>
      </c>
      <c r="H397" s="50" t="n">
        <f aca="false">H396-G397</f>
        <v>514629.539180065</v>
      </c>
      <c r="I397" s="50" t="n">
        <f aca="false">K396*Annahmen!$B$60/12</f>
        <v>2172.34585140863</v>
      </c>
      <c r="J397" s="50" t="n">
        <f aca="false">MIN($I$3-I397,K396)</f>
        <v>5941.73443649129</v>
      </c>
      <c r="K397" s="50" t="n">
        <f aca="false">K396-J397</f>
        <v>645762.020986097</v>
      </c>
      <c r="L397" s="50" t="n">
        <f aca="false">C397+F397+I397</f>
        <v>5337.80351684973</v>
      </c>
      <c r="M397" s="50" t="n">
        <f aca="false">D397+G397+J397</f>
        <v>11851.2767710502</v>
      </c>
      <c r="N397" s="50" t="n">
        <f aca="false">L397+M397</f>
        <v>17189.0802878999</v>
      </c>
      <c r="O397" s="50" t="n">
        <f aca="false">E397+H397+K397</f>
        <v>2055839.8310448</v>
      </c>
    </row>
    <row r="398" customFormat="false" ht="15" hidden="false" customHeight="false" outlineLevel="0" collapsed="false">
      <c r="A398" s="49" t="n">
        <v>392</v>
      </c>
      <c r="B398" s="49" t="n">
        <f aca="false">ROUNDUP(A398/12,0)</f>
        <v>33</v>
      </c>
      <c r="C398" s="50" t="n">
        <f aca="false">E397*Annahmen!$B$58/12</f>
        <v>1865.51723099716</v>
      </c>
      <c r="D398" s="50" t="n">
        <f aca="false">MIN($C$3-C398,E397)</f>
        <v>3384.48276900284</v>
      </c>
      <c r="E398" s="50" t="n">
        <f aca="false">E397-D398</f>
        <v>892063.788109635</v>
      </c>
      <c r="F398" s="50" t="n">
        <f aca="false">H397*Annahmen!$B$59/12</f>
        <v>1286.57384795016</v>
      </c>
      <c r="G398" s="50" t="n">
        <f aca="false">MIN($F$3-F398,H397)</f>
        <v>2538.42615204984</v>
      </c>
      <c r="H398" s="50" t="n">
        <f aca="false">H397-G398</f>
        <v>512091.113028015</v>
      </c>
      <c r="I398" s="50" t="n">
        <f aca="false">K397*Annahmen!$B$60/12</f>
        <v>2152.54006995366</v>
      </c>
      <c r="J398" s="50" t="n">
        <f aca="false">MIN($I$3-I398,K397)</f>
        <v>5961.54021794626</v>
      </c>
      <c r="K398" s="50" t="n">
        <f aca="false">K397-J398</f>
        <v>639800.48076815</v>
      </c>
      <c r="L398" s="50" t="n">
        <f aca="false">C398+F398+I398</f>
        <v>5304.63114890098</v>
      </c>
      <c r="M398" s="50" t="n">
        <f aca="false">D398+G398+J398</f>
        <v>11884.4491389989</v>
      </c>
      <c r="N398" s="50" t="n">
        <f aca="false">L398+M398</f>
        <v>17189.0802878999</v>
      </c>
      <c r="O398" s="50" t="n">
        <f aca="false">E398+H398+K398</f>
        <v>2043955.3819058</v>
      </c>
    </row>
    <row r="399" customFormat="false" ht="15" hidden="false" customHeight="false" outlineLevel="0" collapsed="false">
      <c r="A399" s="49" t="n">
        <v>393</v>
      </c>
      <c r="B399" s="49" t="n">
        <f aca="false">ROUNDUP(A399/12,0)</f>
        <v>33</v>
      </c>
      <c r="C399" s="50" t="n">
        <f aca="false">E398*Annahmen!$B$58/12</f>
        <v>1858.46622522841</v>
      </c>
      <c r="D399" s="50" t="n">
        <f aca="false">MIN($C$3-C399,E398)</f>
        <v>3391.5337747716</v>
      </c>
      <c r="E399" s="50" t="n">
        <f aca="false">E398-D399</f>
        <v>888672.254334863</v>
      </c>
      <c r="F399" s="50" t="n">
        <f aca="false">H398*Annahmen!$B$59/12</f>
        <v>1280.22778257004</v>
      </c>
      <c r="G399" s="50" t="n">
        <f aca="false">MIN($F$3-F399,H398)</f>
        <v>2544.77221742996</v>
      </c>
      <c r="H399" s="50" t="n">
        <f aca="false">H398-G399</f>
        <v>509546.340810585</v>
      </c>
      <c r="I399" s="50" t="n">
        <f aca="false">K398*Annahmen!$B$60/12</f>
        <v>2132.66826922717</v>
      </c>
      <c r="J399" s="50" t="n">
        <f aca="false">MIN($I$3-I399,K398)</f>
        <v>5981.41201867275</v>
      </c>
      <c r="K399" s="50" t="n">
        <f aca="false">K398-J399</f>
        <v>633819.068749478</v>
      </c>
      <c r="L399" s="50" t="n">
        <f aca="false">C399+F399+I399</f>
        <v>5271.36227702561</v>
      </c>
      <c r="M399" s="50" t="n">
        <f aca="false">D399+G399+J399</f>
        <v>11917.7180108743</v>
      </c>
      <c r="N399" s="50" t="n">
        <f aca="false">L399+M399</f>
        <v>17189.0802878999</v>
      </c>
      <c r="O399" s="50" t="n">
        <f aca="false">E399+H399+K399</f>
        <v>2032037.66389493</v>
      </c>
    </row>
    <row r="400" customFormat="false" ht="15" hidden="false" customHeight="false" outlineLevel="0" collapsed="false">
      <c r="A400" s="49" t="n">
        <v>394</v>
      </c>
      <c r="B400" s="49" t="n">
        <f aca="false">ROUNDUP(A400/12,0)</f>
        <v>33</v>
      </c>
      <c r="C400" s="50" t="n">
        <f aca="false">E399*Annahmen!$B$58/12</f>
        <v>1851.4005298643</v>
      </c>
      <c r="D400" s="50" t="n">
        <f aca="false">MIN($C$3-C400,E399)</f>
        <v>3398.5994701357</v>
      </c>
      <c r="E400" s="50" t="n">
        <f aca="false">E399-D400</f>
        <v>885273.654864728</v>
      </c>
      <c r="F400" s="50" t="n">
        <f aca="false">H399*Annahmen!$B$59/12</f>
        <v>1273.86585202646</v>
      </c>
      <c r="G400" s="50" t="n">
        <f aca="false">MIN($F$3-F400,H399)</f>
        <v>2551.13414797354</v>
      </c>
      <c r="H400" s="50" t="n">
        <f aca="false">H399-G400</f>
        <v>506995.206662611</v>
      </c>
      <c r="I400" s="50" t="n">
        <f aca="false">K399*Annahmen!$B$60/12</f>
        <v>2112.73022916493</v>
      </c>
      <c r="J400" s="50" t="n">
        <f aca="false">MIN($I$3-I400,K399)</f>
        <v>6001.35005873499</v>
      </c>
      <c r="K400" s="50" t="n">
        <f aca="false">K399-J400</f>
        <v>627817.718690743</v>
      </c>
      <c r="L400" s="50" t="n">
        <f aca="false">C400+F400+I400</f>
        <v>5237.99661105569</v>
      </c>
      <c r="M400" s="50" t="n">
        <f aca="false">D400+G400+J400</f>
        <v>11951.0836768442</v>
      </c>
      <c r="N400" s="50" t="n">
        <f aca="false">L400+M400</f>
        <v>17189.0802878999</v>
      </c>
      <c r="O400" s="50" t="n">
        <f aca="false">E400+H400+K400</f>
        <v>2020086.58021808</v>
      </c>
    </row>
    <row r="401" customFormat="false" ht="15" hidden="false" customHeight="false" outlineLevel="0" collapsed="false">
      <c r="A401" s="49" t="n">
        <v>395</v>
      </c>
      <c r="B401" s="49" t="n">
        <f aca="false">ROUNDUP(A401/12,0)</f>
        <v>33</v>
      </c>
      <c r="C401" s="50" t="n">
        <f aca="false">E400*Annahmen!$B$58/12</f>
        <v>1844.32011430152</v>
      </c>
      <c r="D401" s="50" t="n">
        <f aca="false">MIN($C$3-C401,E400)</f>
        <v>3405.67988569849</v>
      </c>
      <c r="E401" s="50" t="n">
        <f aca="false">E400-D401</f>
        <v>881867.974979029</v>
      </c>
      <c r="F401" s="50" t="n">
        <f aca="false">H400*Annahmen!$B$59/12</f>
        <v>1267.48801665653</v>
      </c>
      <c r="G401" s="50" t="n">
        <f aca="false">MIN($F$3-F401,H400)</f>
        <v>2557.51198334347</v>
      </c>
      <c r="H401" s="50" t="n">
        <f aca="false">H400-G401</f>
        <v>504437.694679268</v>
      </c>
      <c r="I401" s="50" t="n">
        <f aca="false">K400*Annahmen!$B$60/12</f>
        <v>2092.72572896914</v>
      </c>
      <c r="J401" s="50" t="n">
        <f aca="false">MIN($I$3-I401,K400)</f>
        <v>6021.35455893078</v>
      </c>
      <c r="K401" s="50" t="n">
        <f aca="false">K400-J401</f>
        <v>621796.364131812</v>
      </c>
      <c r="L401" s="50" t="n">
        <f aca="false">C401+F401+I401</f>
        <v>5204.53385992719</v>
      </c>
      <c r="M401" s="50" t="n">
        <f aca="false">D401+G401+J401</f>
        <v>11984.5464279727</v>
      </c>
      <c r="N401" s="50" t="n">
        <f aca="false">L401+M401</f>
        <v>17189.0802878999</v>
      </c>
      <c r="O401" s="50" t="n">
        <f aca="false">E401+H401+K401</f>
        <v>2008102.03379011</v>
      </c>
    </row>
    <row r="402" customFormat="false" ht="15" hidden="false" customHeight="false" outlineLevel="0" collapsed="false">
      <c r="A402" s="49" t="n">
        <v>396</v>
      </c>
      <c r="B402" s="49" t="n">
        <f aca="false">ROUNDUP(A402/12,0)</f>
        <v>33</v>
      </c>
      <c r="C402" s="50" t="n">
        <f aca="false">E401*Annahmen!$B$58/12</f>
        <v>1837.22494787298</v>
      </c>
      <c r="D402" s="50" t="n">
        <f aca="false">MIN($C$3-C402,E401)</f>
        <v>3412.77505212703</v>
      </c>
      <c r="E402" s="50" t="n">
        <f aca="false">E401-D402</f>
        <v>878455.199926902</v>
      </c>
      <c r="F402" s="50" t="n">
        <f aca="false">H401*Annahmen!$B$59/12</f>
        <v>1261.09423669817</v>
      </c>
      <c r="G402" s="50" t="n">
        <f aca="false">MIN($F$3-F402,H401)</f>
        <v>2563.90576330183</v>
      </c>
      <c r="H402" s="50" t="n">
        <f aca="false">H401-G402</f>
        <v>501873.788915966</v>
      </c>
      <c r="I402" s="50" t="n">
        <f aca="false">K401*Annahmen!$B$60/12</f>
        <v>2072.65454710604</v>
      </c>
      <c r="J402" s="50" t="n">
        <f aca="false">MIN($I$3-I402,K401)</f>
        <v>6041.42574079388</v>
      </c>
      <c r="K402" s="50" t="n">
        <f aca="false">K401-J402</f>
        <v>615754.938391018</v>
      </c>
      <c r="L402" s="50" t="n">
        <f aca="false">C402+F402+I402</f>
        <v>5170.97373167719</v>
      </c>
      <c r="M402" s="50" t="n">
        <f aca="false">D402+G402+J402</f>
        <v>12018.1065562227</v>
      </c>
      <c r="N402" s="50" t="n">
        <f aca="false">L402+M402</f>
        <v>17189.0802878999</v>
      </c>
      <c r="O402" s="50" t="n">
        <f aca="false">E402+H402+K402</f>
        <v>1996083.92723389</v>
      </c>
    </row>
    <row r="403" customFormat="false" ht="15" hidden="false" customHeight="false" outlineLevel="0" collapsed="false">
      <c r="A403" s="49" t="n">
        <v>397</v>
      </c>
      <c r="B403" s="49" t="n">
        <f aca="false">ROUNDUP(A403/12,0)</f>
        <v>34</v>
      </c>
      <c r="C403" s="50" t="n">
        <f aca="false">E402*Annahmen!$B$58/12</f>
        <v>1830.11499984771</v>
      </c>
      <c r="D403" s="50" t="n">
        <f aca="false">MIN($C$3-C403,E402)</f>
        <v>3419.88500015229</v>
      </c>
      <c r="E403" s="50" t="n">
        <f aca="false">E402-D403</f>
        <v>875035.31492675</v>
      </c>
      <c r="F403" s="50" t="n">
        <f aca="false">H402*Annahmen!$B$59/12</f>
        <v>1254.68447228992</v>
      </c>
      <c r="G403" s="50" t="n">
        <f aca="false">MIN($F$3-F403,H402)</f>
        <v>2570.31552771009</v>
      </c>
      <c r="H403" s="50" t="n">
        <f aca="false">H402-G403</f>
        <v>499303.473388256</v>
      </c>
      <c r="I403" s="50" t="n">
        <f aca="false">K402*Annahmen!$B$60/12</f>
        <v>2052.51646130339</v>
      </c>
      <c r="J403" s="50" t="n">
        <f aca="false">MIN($I$3-I403,K402)</f>
        <v>6061.56382659653</v>
      </c>
      <c r="K403" s="50" t="n">
        <f aca="false">K402-J403</f>
        <v>609693.374564422</v>
      </c>
      <c r="L403" s="50" t="n">
        <f aca="false">C403+F403+I403</f>
        <v>5137.31593344102</v>
      </c>
      <c r="M403" s="50" t="n">
        <f aca="false">D403+G403+J403</f>
        <v>12051.7643544589</v>
      </c>
      <c r="N403" s="50" t="n">
        <f aca="false">L403+M403</f>
        <v>17189.0802878999</v>
      </c>
      <c r="O403" s="50" t="n">
        <f aca="false">E403+H403+K403</f>
        <v>1984032.16287943</v>
      </c>
    </row>
    <row r="404" customFormat="false" ht="15" hidden="false" customHeight="false" outlineLevel="0" collapsed="false">
      <c r="A404" s="49" t="n">
        <v>398</v>
      </c>
      <c r="B404" s="49" t="n">
        <f aca="false">ROUNDUP(A404/12,0)</f>
        <v>34</v>
      </c>
      <c r="C404" s="50" t="n">
        <f aca="false">E403*Annahmen!$B$58/12</f>
        <v>1822.99023943073</v>
      </c>
      <c r="D404" s="50" t="n">
        <f aca="false">MIN($C$3-C404,E403)</f>
        <v>3427.00976056927</v>
      </c>
      <c r="E404" s="50" t="n">
        <f aca="false">E403-D404</f>
        <v>871608.30516618</v>
      </c>
      <c r="F404" s="50" t="n">
        <f aca="false">H403*Annahmen!$B$59/12</f>
        <v>1248.25868347064</v>
      </c>
      <c r="G404" s="50" t="n">
        <f aca="false">MIN($F$3-F404,H403)</f>
        <v>2576.74131652936</v>
      </c>
      <c r="H404" s="50" t="n">
        <f aca="false">H403-G404</f>
        <v>496726.732071727</v>
      </c>
      <c r="I404" s="50" t="n">
        <f aca="false">K403*Annahmen!$B$60/12</f>
        <v>2032.31124854807</v>
      </c>
      <c r="J404" s="50" t="n">
        <f aca="false">MIN($I$3-I404,K403)</f>
        <v>6081.76903935185</v>
      </c>
      <c r="K404" s="50" t="n">
        <f aca="false">K403-J404</f>
        <v>603611.60552507</v>
      </c>
      <c r="L404" s="50" t="n">
        <f aca="false">C404+F404+I404</f>
        <v>5103.56017144944</v>
      </c>
      <c r="M404" s="50" t="n">
        <f aca="false">D404+G404+J404</f>
        <v>12085.5201164505</v>
      </c>
      <c r="N404" s="50" t="n">
        <f aca="false">L404+M404</f>
        <v>17189.0802878999</v>
      </c>
      <c r="O404" s="50" t="n">
        <f aca="false">E404+H404+K404</f>
        <v>1971946.64276298</v>
      </c>
    </row>
    <row r="405" customFormat="false" ht="15" hidden="false" customHeight="false" outlineLevel="0" collapsed="false">
      <c r="A405" s="49" t="n">
        <v>399</v>
      </c>
      <c r="B405" s="49" t="n">
        <f aca="false">ROUNDUP(A405/12,0)</f>
        <v>34</v>
      </c>
      <c r="C405" s="50" t="n">
        <f aca="false">E404*Annahmen!$B$58/12</f>
        <v>1815.85063576288</v>
      </c>
      <c r="D405" s="50" t="n">
        <f aca="false">MIN($C$3-C405,E404)</f>
        <v>3434.14936423713</v>
      </c>
      <c r="E405" s="50" t="n">
        <f aca="false">E404-D405</f>
        <v>868174.155801943</v>
      </c>
      <c r="F405" s="50" t="n">
        <f aca="false">H404*Annahmen!$B$59/12</f>
        <v>1241.81683017932</v>
      </c>
      <c r="G405" s="50" t="n">
        <f aca="false">MIN($F$3-F405,H404)</f>
        <v>2583.18316982069</v>
      </c>
      <c r="H405" s="50" t="n">
        <f aca="false">H404-G405</f>
        <v>494143.548901906</v>
      </c>
      <c r="I405" s="50" t="n">
        <f aca="false">K404*Annahmen!$B$60/12</f>
        <v>2012.03868508357</v>
      </c>
      <c r="J405" s="50" t="n">
        <f aca="false">MIN($I$3-I405,K404)</f>
        <v>6102.04160281635</v>
      </c>
      <c r="K405" s="50" t="n">
        <f aca="false">K404-J405</f>
        <v>597509.563922253</v>
      </c>
      <c r="L405" s="50" t="n">
        <f aca="false">C405+F405+I405</f>
        <v>5069.70615102576</v>
      </c>
      <c r="M405" s="50" t="n">
        <f aca="false">D405+G405+J405</f>
        <v>12119.3741368742</v>
      </c>
      <c r="N405" s="50" t="n">
        <f aca="false">L405+M405</f>
        <v>17189.0802878999</v>
      </c>
      <c r="O405" s="50" t="n">
        <f aca="false">E405+H405+K405</f>
        <v>1959827.2686261</v>
      </c>
    </row>
    <row r="406" customFormat="false" ht="15" hidden="false" customHeight="false" outlineLevel="0" collapsed="false">
      <c r="A406" s="49" t="n">
        <v>400</v>
      </c>
      <c r="B406" s="49" t="n">
        <f aca="false">ROUNDUP(A406/12,0)</f>
        <v>34</v>
      </c>
      <c r="C406" s="50" t="n">
        <f aca="false">E405*Annahmen!$B$58/12</f>
        <v>1808.69615792072</v>
      </c>
      <c r="D406" s="50" t="n">
        <f aca="false">MIN($C$3-C406,E405)</f>
        <v>3441.30384207929</v>
      </c>
      <c r="E406" s="50" t="n">
        <f aca="false">E405-D406</f>
        <v>864732.851959864</v>
      </c>
      <c r="F406" s="50" t="n">
        <f aca="false">H405*Annahmen!$B$59/12</f>
        <v>1235.35887225477</v>
      </c>
      <c r="G406" s="50" t="n">
        <f aca="false">MIN($F$3-F406,H405)</f>
        <v>2589.64112774524</v>
      </c>
      <c r="H406" s="50" t="n">
        <f aca="false">H405-G406</f>
        <v>491553.907774161</v>
      </c>
      <c r="I406" s="50" t="n">
        <f aca="false">K405*Annahmen!$B$60/12</f>
        <v>1991.69854640751</v>
      </c>
      <c r="J406" s="50" t="n">
        <f aca="false">MIN($I$3-I406,K405)</f>
        <v>6122.38174149241</v>
      </c>
      <c r="K406" s="50" t="n">
        <f aca="false">K405-J406</f>
        <v>591387.182180761</v>
      </c>
      <c r="L406" s="50" t="n">
        <f aca="false">C406+F406+I406</f>
        <v>5035.75357658299</v>
      </c>
      <c r="M406" s="50" t="n">
        <f aca="false">D406+G406+J406</f>
        <v>12153.3267113169</v>
      </c>
      <c r="N406" s="50" t="n">
        <f aca="false">L406+M406</f>
        <v>17189.0802878999</v>
      </c>
      <c r="O406" s="50" t="n">
        <f aca="false">E406+H406+K406</f>
        <v>1947673.94191479</v>
      </c>
    </row>
    <row r="407" customFormat="false" ht="15" hidden="false" customHeight="false" outlineLevel="0" collapsed="false">
      <c r="A407" s="49" t="n">
        <v>401</v>
      </c>
      <c r="B407" s="49" t="n">
        <f aca="false">ROUNDUP(A407/12,0)</f>
        <v>34</v>
      </c>
      <c r="C407" s="50" t="n">
        <f aca="false">E406*Annahmen!$B$58/12</f>
        <v>1801.52677491638</v>
      </c>
      <c r="D407" s="50" t="n">
        <f aca="false">MIN($C$3-C407,E406)</f>
        <v>3448.47322508362</v>
      </c>
      <c r="E407" s="50" t="n">
        <f aca="false">E406-D407</f>
        <v>861284.37873478</v>
      </c>
      <c r="F407" s="50" t="n">
        <f aca="false">H406*Annahmen!$B$59/12</f>
        <v>1228.8847694354</v>
      </c>
      <c r="G407" s="50" t="n">
        <f aca="false">MIN($F$3-F407,H406)</f>
        <v>2596.1152305646</v>
      </c>
      <c r="H407" s="50" t="n">
        <f aca="false">H406-G407</f>
        <v>488957.792543596</v>
      </c>
      <c r="I407" s="50" t="n">
        <f aca="false">K406*Annahmen!$B$60/12</f>
        <v>1971.2906072692</v>
      </c>
      <c r="J407" s="50" t="n">
        <f aca="false">MIN($I$3-I407,K406)</f>
        <v>6142.78968063072</v>
      </c>
      <c r="K407" s="50" t="n">
        <f aca="false">K406-J407</f>
        <v>585244.39250013</v>
      </c>
      <c r="L407" s="50" t="n">
        <f aca="false">C407+F407+I407</f>
        <v>5001.70215162099</v>
      </c>
      <c r="M407" s="50" t="n">
        <f aca="false">D407+G407+J407</f>
        <v>12187.3781362789</v>
      </c>
      <c r="N407" s="50" t="n">
        <f aca="false">L407+M407</f>
        <v>17189.0802878999</v>
      </c>
      <c r="O407" s="50" t="n">
        <f aca="false">E407+H407+K407</f>
        <v>1935486.56377851</v>
      </c>
    </row>
    <row r="408" customFormat="false" ht="15" hidden="false" customHeight="false" outlineLevel="0" collapsed="false">
      <c r="A408" s="49" t="n">
        <v>402</v>
      </c>
      <c r="B408" s="49" t="n">
        <f aca="false">ROUNDUP(A408/12,0)</f>
        <v>34</v>
      </c>
      <c r="C408" s="50" t="n">
        <f aca="false">E407*Annahmen!$B$58/12</f>
        <v>1794.34245569746</v>
      </c>
      <c r="D408" s="50" t="n">
        <f aca="false">MIN($C$3-C408,E407)</f>
        <v>3455.65754430254</v>
      </c>
      <c r="E408" s="50" t="n">
        <f aca="false">E407-D408</f>
        <v>857828.721190478</v>
      </c>
      <c r="F408" s="50" t="n">
        <f aca="false">H407*Annahmen!$B$59/12</f>
        <v>1222.39448135899</v>
      </c>
      <c r="G408" s="50" t="n">
        <f aca="false">MIN($F$3-F408,H407)</f>
        <v>2602.60551864101</v>
      </c>
      <c r="H408" s="50" t="n">
        <f aca="false">H407-G408</f>
        <v>486355.187024955</v>
      </c>
      <c r="I408" s="50" t="n">
        <f aca="false">K407*Annahmen!$B$60/12</f>
        <v>1950.8146416671</v>
      </c>
      <c r="J408" s="50" t="n">
        <f aca="false">MIN($I$3-I408,K407)</f>
        <v>6163.26564623282</v>
      </c>
      <c r="K408" s="50" t="n">
        <f aca="false">K407-J408</f>
        <v>579081.126853897</v>
      </c>
      <c r="L408" s="50" t="n">
        <f aca="false">C408+F408+I408</f>
        <v>4967.55157872355</v>
      </c>
      <c r="M408" s="50" t="n">
        <f aca="false">D408+G408+J408</f>
        <v>12221.5287091764</v>
      </c>
      <c r="N408" s="50" t="n">
        <f aca="false">L408+M408</f>
        <v>17189.0802878999</v>
      </c>
      <c r="O408" s="50" t="n">
        <f aca="false">E408+H408+K408</f>
        <v>1923265.03506933</v>
      </c>
    </row>
    <row r="409" customFormat="false" ht="15" hidden="false" customHeight="false" outlineLevel="0" collapsed="false">
      <c r="A409" s="49" t="n">
        <v>403</v>
      </c>
      <c r="B409" s="49" t="n">
        <f aca="false">ROUNDUP(A409/12,0)</f>
        <v>34</v>
      </c>
      <c r="C409" s="50" t="n">
        <f aca="false">E408*Annahmen!$B$58/12</f>
        <v>1787.14316914683</v>
      </c>
      <c r="D409" s="50" t="n">
        <f aca="false">MIN($C$3-C409,E408)</f>
        <v>3462.85683085317</v>
      </c>
      <c r="E409" s="50" t="n">
        <f aca="false">E408-D409</f>
        <v>854365.864359625</v>
      </c>
      <c r="F409" s="50" t="n">
        <f aca="false">H408*Annahmen!$B$59/12</f>
        <v>1215.88796756239</v>
      </c>
      <c r="G409" s="50" t="n">
        <f aca="false">MIN($F$3-F409,H408)</f>
        <v>2609.11203243761</v>
      </c>
      <c r="H409" s="50" t="n">
        <f aca="false">H408-G409</f>
        <v>483746.074992518</v>
      </c>
      <c r="I409" s="50" t="n">
        <f aca="false">K408*Annahmen!$B$60/12</f>
        <v>1930.27042284632</v>
      </c>
      <c r="J409" s="50" t="n">
        <f aca="false">MIN($I$3-I409,K408)</f>
        <v>6183.8098650536</v>
      </c>
      <c r="K409" s="50" t="n">
        <f aca="false">K408-J409</f>
        <v>572897.316988844</v>
      </c>
      <c r="L409" s="50" t="n">
        <f aca="false">C409+F409+I409</f>
        <v>4933.30155955554</v>
      </c>
      <c r="M409" s="50" t="n">
        <f aca="false">D409+G409+J409</f>
        <v>12255.7787283444</v>
      </c>
      <c r="N409" s="50" t="n">
        <f aca="false">L409+M409</f>
        <v>17189.0802878999</v>
      </c>
      <c r="O409" s="50" t="n">
        <f aca="false">E409+H409+K409</f>
        <v>1911009.25634099</v>
      </c>
    </row>
    <row r="410" customFormat="false" ht="15" hidden="false" customHeight="false" outlineLevel="0" collapsed="false">
      <c r="A410" s="49" t="n">
        <v>404</v>
      </c>
      <c r="B410" s="49" t="n">
        <f aca="false">ROUNDUP(A410/12,0)</f>
        <v>34</v>
      </c>
      <c r="C410" s="50" t="n">
        <f aca="false">E409*Annahmen!$B$58/12</f>
        <v>1779.92888408255</v>
      </c>
      <c r="D410" s="50" t="n">
        <f aca="false">MIN($C$3-C410,E409)</f>
        <v>3470.07111591745</v>
      </c>
      <c r="E410" s="50" t="n">
        <f aca="false">E409-D410</f>
        <v>850895.793243707</v>
      </c>
      <c r="F410" s="50" t="n">
        <f aca="false">H409*Annahmen!$B$59/12</f>
        <v>1209.36518748129</v>
      </c>
      <c r="G410" s="50" t="n">
        <f aca="false">MIN($F$3-F410,H409)</f>
        <v>2615.63481251871</v>
      </c>
      <c r="H410" s="50" t="n">
        <f aca="false">H409-G410</f>
        <v>481130.440179999</v>
      </c>
      <c r="I410" s="50" t="n">
        <f aca="false">K409*Annahmen!$B$60/12</f>
        <v>1909.65772329615</v>
      </c>
      <c r="J410" s="50" t="n">
        <f aca="false">MIN($I$3-I410,K409)</f>
        <v>6204.42256460377</v>
      </c>
      <c r="K410" s="50" t="n">
        <f aca="false">K409-J410</f>
        <v>566692.89442424</v>
      </c>
      <c r="L410" s="50" t="n">
        <f aca="false">C410+F410+I410</f>
        <v>4898.95179485999</v>
      </c>
      <c r="M410" s="50" t="n">
        <f aca="false">D410+G410+J410</f>
        <v>12290.1284930399</v>
      </c>
      <c r="N410" s="50" t="n">
        <f aca="false">L410+M410</f>
        <v>17189.0802878999</v>
      </c>
      <c r="O410" s="50" t="n">
        <f aca="false">E410+H410+K410</f>
        <v>1898719.12784795</v>
      </c>
    </row>
    <row r="411" customFormat="false" ht="15" hidden="false" customHeight="false" outlineLevel="0" collapsed="false">
      <c r="A411" s="49" t="n">
        <v>405</v>
      </c>
      <c r="B411" s="49" t="n">
        <f aca="false">ROUNDUP(A411/12,0)</f>
        <v>34</v>
      </c>
      <c r="C411" s="50" t="n">
        <f aca="false">E410*Annahmen!$B$58/12</f>
        <v>1772.69956925772</v>
      </c>
      <c r="D411" s="50" t="n">
        <f aca="false">MIN($C$3-C411,E410)</f>
        <v>3477.30043074228</v>
      </c>
      <c r="E411" s="50" t="n">
        <f aca="false">E410-D411</f>
        <v>847418.492812965</v>
      </c>
      <c r="F411" s="50" t="n">
        <f aca="false">H410*Annahmen!$B$59/12</f>
        <v>1202.82610045</v>
      </c>
      <c r="G411" s="50" t="n">
        <f aca="false">MIN($F$3-F411,H410)</f>
        <v>2622.17389955</v>
      </c>
      <c r="H411" s="50" t="n">
        <f aca="false">H410-G411</f>
        <v>478508.266280449</v>
      </c>
      <c r="I411" s="50" t="n">
        <f aca="false">K410*Annahmen!$B$60/12</f>
        <v>1888.97631474747</v>
      </c>
      <c r="J411" s="50" t="n">
        <f aca="false">MIN($I$3-I411,K410)</f>
        <v>6225.10397315245</v>
      </c>
      <c r="K411" s="50" t="n">
        <f aca="false">K410-J411</f>
        <v>560467.790451088</v>
      </c>
      <c r="L411" s="50" t="n">
        <f aca="false">C411+F411+I411</f>
        <v>4864.50198445519</v>
      </c>
      <c r="M411" s="50" t="n">
        <f aca="false">D411+G411+J411</f>
        <v>12324.5783034447</v>
      </c>
      <c r="N411" s="50" t="n">
        <f aca="false">L411+M411</f>
        <v>17189.0802878999</v>
      </c>
      <c r="O411" s="50" t="n">
        <f aca="false">E411+H411+K411</f>
        <v>1886394.5495445</v>
      </c>
    </row>
    <row r="412" customFormat="false" ht="15" hidden="false" customHeight="false" outlineLevel="0" collapsed="false">
      <c r="A412" s="49" t="n">
        <v>406</v>
      </c>
      <c r="B412" s="49" t="n">
        <f aca="false">ROUNDUP(A412/12,0)</f>
        <v>34</v>
      </c>
      <c r="C412" s="50" t="n">
        <f aca="false">E411*Annahmen!$B$58/12</f>
        <v>1765.45519336034</v>
      </c>
      <c r="D412" s="50" t="n">
        <f aca="false">MIN($C$3-C412,E411)</f>
        <v>3484.54480663966</v>
      </c>
      <c r="E412" s="50" t="n">
        <f aca="false">E411-D412</f>
        <v>843933.948006325</v>
      </c>
      <c r="F412" s="50" t="n">
        <f aca="false">H411*Annahmen!$B$59/12</f>
        <v>1196.27066570112</v>
      </c>
      <c r="G412" s="50" t="n">
        <f aca="false">MIN($F$3-F412,H411)</f>
        <v>2628.72933429888</v>
      </c>
      <c r="H412" s="50" t="n">
        <f aca="false">H411-G412</f>
        <v>475879.53694615</v>
      </c>
      <c r="I412" s="50" t="n">
        <f aca="false">K411*Annahmen!$B$60/12</f>
        <v>1868.22596817029</v>
      </c>
      <c r="J412" s="50" t="n">
        <f aca="false">MIN($I$3-I412,K411)</f>
        <v>6245.85431972963</v>
      </c>
      <c r="K412" s="50" t="n">
        <f aca="false">K411-J412</f>
        <v>554221.936131358</v>
      </c>
      <c r="L412" s="50" t="n">
        <f aca="false">C412+F412+I412</f>
        <v>4829.95182723176</v>
      </c>
      <c r="M412" s="50" t="n">
        <f aca="false">D412+G412+J412</f>
        <v>12359.1284606682</v>
      </c>
      <c r="N412" s="50" t="n">
        <f aca="false">L412+M412</f>
        <v>17189.0802878999</v>
      </c>
      <c r="O412" s="50" t="n">
        <f aca="false">E412+H412+K412</f>
        <v>1874035.42108383</v>
      </c>
    </row>
    <row r="413" customFormat="false" ht="15" hidden="false" customHeight="false" outlineLevel="0" collapsed="false">
      <c r="A413" s="49" t="n">
        <v>407</v>
      </c>
      <c r="B413" s="49" t="n">
        <f aca="false">ROUNDUP(A413/12,0)</f>
        <v>34</v>
      </c>
      <c r="C413" s="50" t="n">
        <f aca="false">E412*Annahmen!$B$58/12</f>
        <v>1758.19572501318</v>
      </c>
      <c r="D413" s="50" t="n">
        <f aca="false">MIN($C$3-C413,E412)</f>
        <v>3491.80427498682</v>
      </c>
      <c r="E413" s="50" t="n">
        <f aca="false">E412-D413</f>
        <v>840442.143731338</v>
      </c>
      <c r="F413" s="50" t="n">
        <f aca="false">H412*Annahmen!$B$59/12</f>
        <v>1189.69884236538</v>
      </c>
      <c r="G413" s="50" t="n">
        <f aca="false">MIN($F$3-F413,H412)</f>
        <v>2635.30115763463</v>
      </c>
      <c r="H413" s="50" t="n">
        <f aca="false">H412-G413</f>
        <v>473244.235788515</v>
      </c>
      <c r="I413" s="50" t="n">
        <f aca="false">K412*Annahmen!$B$60/12</f>
        <v>1847.40645377119</v>
      </c>
      <c r="J413" s="50" t="n">
        <f aca="false">MIN($I$3-I413,K412)</f>
        <v>6266.67383412873</v>
      </c>
      <c r="K413" s="50" t="n">
        <f aca="false">K412-J413</f>
        <v>547955.262297229</v>
      </c>
      <c r="L413" s="50" t="n">
        <f aca="false">C413+F413+I413</f>
        <v>4795.30102114975</v>
      </c>
      <c r="M413" s="50" t="n">
        <f aca="false">D413+G413+J413</f>
        <v>12393.7792667502</v>
      </c>
      <c r="N413" s="50" t="n">
        <f aca="false">L413+M413</f>
        <v>17189.0802878999</v>
      </c>
      <c r="O413" s="50" t="n">
        <f aca="false">E413+H413+K413</f>
        <v>1861641.64181708</v>
      </c>
    </row>
    <row r="414" customFormat="false" ht="15" hidden="false" customHeight="false" outlineLevel="0" collapsed="false">
      <c r="A414" s="49" t="n">
        <v>408</v>
      </c>
      <c r="B414" s="49" t="n">
        <f aca="false">ROUNDUP(A414/12,0)</f>
        <v>34</v>
      </c>
      <c r="C414" s="50" t="n">
        <f aca="false">E413*Annahmen!$B$58/12</f>
        <v>1750.92113277362</v>
      </c>
      <c r="D414" s="50" t="n">
        <f aca="false">MIN($C$3-C414,E413)</f>
        <v>3499.07886722638</v>
      </c>
      <c r="E414" s="50" t="n">
        <f aca="false">E413-D414</f>
        <v>836943.064864112</v>
      </c>
      <c r="F414" s="50" t="n">
        <f aca="false">H413*Annahmen!$B$59/12</f>
        <v>1183.11058947129</v>
      </c>
      <c r="G414" s="50" t="n">
        <f aca="false">MIN($F$3-F414,H413)</f>
        <v>2641.88941052871</v>
      </c>
      <c r="H414" s="50" t="n">
        <f aca="false">H413-G414</f>
        <v>470602.346377987</v>
      </c>
      <c r="I414" s="50" t="n">
        <f aca="false">K413*Annahmen!$B$60/12</f>
        <v>1826.51754099076</v>
      </c>
      <c r="J414" s="50" t="n">
        <f aca="false">MIN($I$3-I414,K413)</f>
        <v>6287.56274690916</v>
      </c>
      <c r="K414" s="50" t="n">
        <f aca="false">K413-J414</f>
        <v>541667.69955032</v>
      </c>
      <c r="L414" s="50" t="n">
        <f aca="false">C414+F414+I414</f>
        <v>4760.54926323567</v>
      </c>
      <c r="M414" s="50" t="n">
        <f aca="false">D414+G414+J414</f>
        <v>12428.5310246643</v>
      </c>
      <c r="N414" s="50" t="n">
        <f aca="false">L414+M414</f>
        <v>17189.0802878999</v>
      </c>
      <c r="O414" s="50" t="n">
        <f aca="false">E414+H414+K414</f>
        <v>1849213.11079242</v>
      </c>
    </row>
    <row r="415" customFormat="false" ht="15" hidden="false" customHeight="false" outlineLevel="0" collapsed="false">
      <c r="A415" s="49" t="n">
        <v>409</v>
      </c>
      <c r="B415" s="49" t="n">
        <f aca="false">ROUNDUP(A415/12,0)</f>
        <v>35</v>
      </c>
      <c r="C415" s="50" t="n">
        <f aca="false">E414*Annahmen!$B$58/12</f>
        <v>1743.63138513357</v>
      </c>
      <c r="D415" s="50" t="n">
        <f aca="false">MIN($C$3-C415,E414)</f>
        <v>3506.36861486644</v>
      </c>
      <c r="E415" s="50" t="n">
        <f aca="false">E414-D415</f>
        <v>833436.696249246</v>
      </c>
      <c r="F415" s="50" t="n">
        <f aca="false">H414*Annahmen!$B$59/12</f>
        <v>1176.50586594497</v>
      </c>
      <c r="G415" s="50" t="n">
        <f aca="false">MIN($F$3-F415,H414)</f>
        <v>2648.49413405504</v>
      </c>
      <c r="H415" s="50" t="n">
        <f aca="false">H414-G415</f>
        <v>467953.852243932</v>
      </c>
      <c r="I415" s="50" t="n">
        <f aca="false">K414*Annahmen!$B$60/12</f>
        <v>1805.55899850107</v>
      </c>
      <c r="J415" s="50" t="n">
        <f aca="false">MIN($I$3-I415,K414)</f>
        <v>6308.52128939885</v>
      </c>
      <c r="K415" s="50" t="n">
        <f aca="false">K414-J415</f>
        <v>535359.178260921</v>
      </c>
      <c r="L415" s="50" t="n">
        <f aca="false">C415+F415+I415</f>
        <v>4725.6962495796</v>
      </c>
      <c r="M415" s="50" t="n">
        <f aca="false">D415+G415+J415</f>
        <v>12463.3840383203</v>
      </c>
      <c r="N415" s="50" t="n">
        <f aca="false">L415+M415</f>
        <v>17189.0802878999</v>
      </c>
      <c r="O415" s="50" t="n">
        <f aca="false">E415+H415+K415</f>
        <v>1836749.7267541</v>
      </c>
    </row>
    <row r="416" customFormat="false" ht="15" hidden="false" customHeight="false" outlineLevel="0" collapsed="false">
      <c r="A416" s="49" t="n">
        <v>410</v>
      </c>
      <c r="B416" s="49" t="n">
        <f aca="false">ROUNDUP(A416/12,0)</f>
        <v>35</v>
      </c>
      <c r="C416" s="50" t="n">
        <f aca="false">E415*Annahmen!$B$58/12</f>
        <v>1736.32645051926</v>
      </c>
      <c r="D416" s="50" t="n">
        <f aca="false">MIN($C$3-C416,E415)</f>
        <v>3513.67354948074</v>
      </c>
      <c r="E416" s="50" t="n">
        <f aca="false">E415-D416</f>
        <v>829923.022699765</v>
      </c>
      <c r="F416" s="50" t="n">
        <f aca="false">H415*Annahmen!$B$59/12</f>
        <v>1169.88463060983</v>
      </c>
      <c r="G416" s="50" t="n">
        <f aca="false">MIN($F$3-F416,H415)</f>
        <v>2655.11536939017</v>
      </c>
      <c r="H416" s="50" t="n">
        <f aca="false">H415-G416</f>
        <v>465298.736874541</v>
      </c>
      <c r="I416" s="50" t="n">
        <f aca="false">K415*Annahmen!$B$60/12</f>
        <v>1784.53059420307</v>
      </c>
      <c r="J416" s="50" t="n">
        <f aca="false">MIN($I$3-I416,K415)</f>
        <v>6329.54969369685</v>
      </c>
      <c r="K416" s="50" t="n">
        <f aca="false">K415-J416</f>
        <v>529029.628567224</v>
      </c>
      <c r="L416" s="50" t="n">
        <f aca="false">C416+F416+I416</f>
        <v>4690.74167533216</v>
      </c>
      <c r="M416" s="50" t="n">
        <f aca="false">D416+G416+J416</f>
        <v>12498.3386125678</v>
      </c>
      <c r="N416" s="50" t="n">
        <f aca="false">L416+M416</f>
        <v>17189.0802878999</v>
      </c>
      <c r="O416" s="50" t="n">
        <f aca="false">E416+H416+K416</f>
        <v>1824251.38814153</v>
      </c>
    </row>
    <row r="417" customFormat="false" ht="15" hidden="false" customHeight="false" outlineLevel="0" collapsed="false">
      <c r="A417" s="49" t="n">
        <v>411</v>
      </c>
      <c r="B417" s="49" t="n">
        <f aca="false">ROUNDUP(A417/12,0)</f>
        <v>35</v>
      </c>
      <c r="C417" s="50" t="n">
        <f aca="false">E416*Annahmen!$B$58/12</f>
        <v>1729.00629729118</v>
      </c>
      <c r="D417" s="50" t="n">
        <f aca="false">MIN($C$3-C417,E416)</f>
        <v>3520.99370270883</v>
      </c>
      <c r="E417" s="50" t="n">
        <f aca="false">E416-D417</f>
        <v>826402.028997056</v>
      </c>
      <c r="F417" s="50" t="n">
        <f aca="false">H416*Annahmen!$B$59/12</f>
        <v>1163.24684218635</v>
      </c>
      <c r="G417" s="50" t="n">
        <f aca="false">MIN($F$3-F417,H416)</f>
        <v>2661.75315781365</v>
      </c>
      <c r="H417" s="50" t="n">
        <f aca="false">H416-G417</f>
        <v>462636.983716728</v>
      </c>
      <c r="I417" s="50" t="n">
        <f aca="false">K416*Annahmen!$B$60/12</f>
        <v>1763.43209522408</v>
      </c>
      <c r="J417" s="50" t="n">
        <f aca="false">MIN($I$3-I417,K416)</f>
        <v>6350.64819267584</v>
      </c>
      <c r="K417" s="50" t="n">
        <f aca="false">K416-J417</f>
        <v>522678.980374548</v>
      </c>
      <c r="L417" s="50" t="n">
        <f aca="false">C417+F417+I417</f>
        <v>4655.68523470161</v>
      </c>
      <c r="M417" s="50" t="n">
        <f aca="false">D417+G417+J417</f>
        <v>12533.3950531983</v>
      </c>
      <c r="N417" s="50" t="n">
        <f aca="false">L417+M417</f>
        <v>17189.0802878999</v>
      </c>
      <c r="O417" s="50" t="n">
        <f aca="false">E417+H417+K417</f>
        <v>1811717.99308833</v>
      </c>
    </row>
    <row r="418" customFormat="false" ht="15" hidden="false" customHeight="false" outlineLevel="0" collapsed="false">
      <c r="A418" s="49" t="n">
        <v>412</v>
      </c>
      <c r="B418" s="49" t="n">
        <f aca="false">ROUNDUP(A418/12,0)</f>
        <v>35</v>
      </c>
      <c r="C418" s="50" t="n">
        <f aca="false">E417*Annahmen!$B$58/12</f>
        <v>1721.67089374387</v>
      </c>
      <c r="D418" s="50" t="n">
        <f aca="false">MIN($C$3-C418,E417)</f>
        <v>3528.32910625614</v>
      </c>
      <c r="E418" s="50" t="n">
        <f aca="false">E417-D418</f>
        <v>822873.6998908</v>
      </c>
      <c r="F418" s="50" t="n">
        <f aca="false">H417*Annahmen!$B$59/12</f>
        <v>1156.59245929182</v>
      </c>
      <c r="G418" s="50" t="n">
        <f aca="false">MIN($F$3-F418,H417)</f>
        <v>2668.40754070818</v>
      </c>
      <c r="H418" s="50" t="n">
        <f aca="false">H417-G418</f>
        <v>459968.57617602</v>
      </c>
      <c r="I418" s="50" t="n">
        <f aca="false">K417*Annahmen!$B$60/12</f>
        <v>1742.26326791516</v>
      </c>
      <c r="J418" s="50" t="n">
        <f aca="false">MIN($I$3-I418,K417)</f>
        <v>6371.81701998476</v>
      </c>
      <c r="K418" s="50" t="n">
        <f aca="false">K417-J418</f>
        <v>516307.163354564</v>
      </c>
      <c r="L418" s="50" t="n">
        <f aca="false">C418+F418+I418</f>
        <v>4620.52662095085</v>
      </c>
      <c r="M418" s="50" t="n">
        <f aca="false">D418+G418+J418</f>
        <v>12568.5536669491</v>
      </c>
      <c r="N418" s="50" t="n">
        <f aca="false">L418+M418</f>
        <v>17189.0802878999</v>
      </c>
      <c r="O418" s="50" t="n">
        <f aca="false">E418+H418+K418</f>
        <v>1799149.43942138</v>
      </c>
    </row>
    <row r="419" customFormat="false" ht="15" hidden="false" customHeight="false" outlineLevel="0" collapsed="false">
      <c r="A419" s="49" t="n">
        <v>413</v>
      </c>
      <c r="B419" s="49" t="n">
        <f aca="false">ROUNDUP(A419/12,0)</f>
        <v>35</v>
      </c>
      <c r="C419" s="50" t="n">
        <f aca="false">E418*Annahmen!$B$58/12</f>
        <v>1714.32020810583</v>
      </c>
      <c r="D419" s="50" t="n">
        <f aca="false">MIN($C$3-C419,E418)</f>
        <v>3535.67979189417</v>
      </c>
      <c r="E419" s="50" t="n">
        <f aca="false">E418-D419</f>
        <v>819338.020098906</v>
      </c>
      <c r="F419" s="50" t="n">
        <f aca="false">H418*Annahmen!$B$59/12</f>
        <v>1149.92144044005</v>
      </c>
      <c r="G419" s="50" t="n">
        <f aca="false">MIN($F$3-F419,H418)</f>
        <v>2675.07855955995</v>
      </c>
      <c r="H419" s="50" t="n">
        <f aca="false">H418-G419</f>
        <v>457293.49761646</v>
      </c>
      <c r="I419" s="50" t="n">
        <f aca="false">K418*Annahmen!$B$60/12</f>
        <v>1721.02387784855</v>
      </c>
      <c r="J419" s="50" t="n">
        <f aca="false">MIN($I$3-I419,K418)</f>
        <v>6393.05641005137</v>
      </c>
      <c r="K419" s="50" t="n">
        <f aca="false">K418-J419</f>
        <v>509914.106944512</v>
      </c>
      <c r="L419" s="50" t="n">
        <f aca="false">C419+F419+I419</f>
        <v>4585.26552639443</v>
      </c>
      <c r="M419" s="50" t="n">
        <f aca="false">D419+G419+J419</f>
        <v>12603.8147615055</v>
      </c>
      <c r="N419" s="50" t="n">
        <f aca="false">L419+M419</f>
        <v>17189.0802878999</v>
      </c>
      <c r="O419" s="50" t="n">
        <f aca="false">E419+H419+K419</f>
        <v>1786545.62465988</v>
      </c>
    </row>
    <row r="420" customFormat="false" ht="15" hidden="false" customHeight="false" outlineLevel="0" collapsed="false">
      <c r="A420" s="49" t="n">
        <v>414</v>
      </c>
      <c r="B420" s="49" t="n">
        <f aca="false">ROUNDUP(A420/12,0)</f>
        <v>35</v>
      </c>
      <c r="C420" s="50" t="n">
        <f aca="false">E419*Annahmen!$B$58/12</f>
        <v>1706.95420853939</v>
      </c>
      <c r="D420" s="50" t="n">
        <f aca="false">MIN($C$3-C420,E419)</f>
        <v>3543.04579146062</v>
      </c>
      <c r="E420" s="50" t="n">
        <f aca="false">E419-D420</f>
        <v>815794.974307445</v>
      </c>
      <c r="F420" s="50" t="n">
        <f aca="false">H419*Annahmen!$B$59/12</f>
        <v>1143.23374404115</v>
      </c>
      <c r="G420" s="50" t="n">
        <f aca="false">MIN($F$3-F420,H419)</f>
        <v>2681.76625595885</v>
      </c>
      <c r="H420" s="50" t="n">
        <f aca="false">H419-G420</f>
        <v>454611.731360501</v>
      </c>
      <c r="I420" s="50" t="n">
        <f aca="false">K419*Annahmen!$B$60/12</f>
        <v>1699.71368981504</v>
      </c>
      <c r="J420" s="50" t="n">
        <f aca="false">MIN($I$3-I420,K419)</f>
        <v>6414.36659808488</v>
      </c>
      <c r="K420" s="50" t="n">
        <f aca="false">K419-J420</f>
        <v>503499.740346427</v>
      </c>
      <c r="L420" s="50" t="n">
        <f aca="false">C420+F420+I420</f>
        <v>4549.90164239558</v>
      </c>
      <c r="M420" s="50" t="n">
        <f aca="false">D420+G420+J420</f>
        <v>12639.1786455043</v>
      </c>
      <c r="N420" s="50" t="n">
        <f aca="false">L420+M420</f>
        <v>17189.0802878999</v>
      </c>
      <c r="O420" s="50" t="n">
        <f aca="false">E420+H420+K420</f>
        <v>1773906.44601437</v>
      </c>
    </row>
    <row r="421" customFormat="false" ht="15" hidden="false" customHeight="false" outlineLevel="0" collapsed="false">
      <c r="A421" s="49" t="n">
        <v>415</v>
      </c>
      <c r="B421" s="49" t="n">
        <f aca="false">ROUNDUP(A421/12,0)</f>
        <v>35</v>
      </c>
      <c r="C421" s="50" t="n">
        <f aca="false">E420*Annahmen!$B$58/12</f>
        <v>1699.57286314051</v>
      </c>
      <c r="D421" s="50" t="n">
        <f aca="false">MIN($C$3-C421,E420)</f>
        <v>3550.42713685949</v>
      </c>
      <c r="E421" s="50" t="n">
        <f aca="false">E420-D421</f>
        <v>812244.547170586</v>
      </c>
      <c r="F421" s="50" t="n">
        <f aca="false">H420*Annahmen!$B$59/12</f>
        <v>1136.52932840125</v>
      </c>
      <c r="G421" s="50" t="n">
        <f aca="false">MIN($F$3-F421,H420)</f>
        <v>2688.47067159875</v>
      </c>
      <c r="H421" s="50" t="n">
        <f aca="false">H420-G421</f>
        <v>451923.260688902</v>
      </c>
      <c r="I421" s="50" t="n">
        <f aca="false">K420*Annahmen!$B$60/12</f>
        <v>1678.33246782142</v>
      </c>
      <c r="J421" s="50" t="n">
        <f aca="false">MIN($I$3-I421,K420)</f>
        <v>6435.74782007849</v>
      </c>
      <c r="K421" s="50" t="n">
        <f aca="false">K420-J421</f>
        <v>497063.992526349</v>
      </c>
      <c r="L421" s="50" t="n">
        <f aca="false">C421+F421+I421</f>
        <v>4514.43465936319</v>
      </c>
      <c r="M421" s="50" t="n">
        <f aca="false">D421+G421+J421</f>
        <v>12674.6456285367</v>
      </c>
      <c r="N421" s="50" t="n">
        <f aca="false">L421+M421</f>
        <v>17189.0802878999</v>
      </c>
      <c r="O421" s="50" t="n">
        <f aca="false">E421+H421+K421</f>
        <v>1761231.80038584</v>
      </c>
    </row>
    <row r="422" customFormat="false" ht="15" hidden="false" customHeight="false" outlineLevel="0" collapsed="false">
      <c r="A422" s="49" t="n">
        <v>416</v>
      </c>
      <c r="B422" s="49" t="n">
        <f aca="false">ROUNDUP(A422/12,0)</f>
        <v>35</v>
      </c>
      <c r="C422" s="50" t="n">
        <f aca="false">E421*Annahmen!$B$58/12</f>
        <v>1692.17613993872</v>
      </c>
      <c r="D422" s="50" t="n">
        <f aca="false">MIN($C$3-C422,E421)</f>
        <v>3557.82386006128</v>
      </c>
      <c r="E422" s="50" t="n">
        <f aca="false">E421-D422</f>
        <v>808686.723310524</v>
      </c>
      <c r="F422" s="50" t="n">
        <f aca="false">H421*Annahmen!$B$59/12</f>
        <v>1129.80815172226</v>
      </c>
      <c r="G422" s="50" t="n">
        <f aca="false">MIN($F$3-F422,H421)</f>
        <v>2695.19184827775</v>
      </c>
      <c r="H422" s="50" t="n">
        <f aca="false">H421-G422</f>
        <v>449228.068840624</v>
      </c>
      <c r="I422" s="50" t="n">
        <f aca="false">K421*Annahmen!$B$60/12</f>
        <v>1656.87997508783</v>
      </c>
      <c r="J422" s="50" t="n">
        <f aca="false">MIN($I$3-I422,K421)</f>
        <v>6457.20031281209</v>
      </c>
      <c r="K422" s="50" t="n">
        <f aca="false">K421-J422</f>
        <v>490606.792213537</v>
      </c>
      <c r="L422" s="50" t="n">
        <f aca="false">C422+F422+I422</f>
        <v>4478.86426674881</v>
      </c>
      <c r="M422" s="50" t="n">
        <f aca="false">D422+G422+J422</f>
        <v>12710.2160211511</v>
      </c>
      <c r="N422" s="50" t="n">
        <f aca="false">L422+M422</f>
        <v>17189.0802878999</v>
      </c>
      <c r="O422" s="50" t="n">
        <f aca="false">E422+H422+K422</f>
        <v>1748521.58436469</v>
      </c>
    </row>
    <row r="423" customFormat="false" ht="15" hidden="false" customHeight="false" outlineLevel="0" collapsed="false">
      <c r="A423" s="49" t="n">
        <v>417</v>
      </c>
      <c r="B423" s="49" t="n">
        <f aca="false">ROUNDUP(A423/12,0)</f>
        <v>35</v>
      </c>
      <c r="C423" s="50" t="n">
        <f aca="false">E422*Annahmen!$B$58/12</f>
        <v>1684.76400689693</v>
      </c>
      <c r="D423" s="50" t="n">
        <f aca="false">MIN($C$3-C423,E422)</f>
        <v>3565.23599310308</v>
      </c>
      <c r="E423" s="50" t="n">
        <f aca="false">E422-D423</f>
        <v>805121.487317421</v>
      </c>
      <c r="F423" s="50" t="n">
        <f aca="false">H422*Annahmen!$B$59/12</f>
        <v>1123.07017210156</v>
      </c>
      <c r="G423" s="50" t="n">
        <f aca="false">MIN($F$3-F423,H422)</f>
        <v>2701.92982789844</v>
      </c>
      <c r="H423" s="50" t="n">
        <f aca="false">H422-G423</f>
        <v>446526.139012726</v>
      </c>
      <c r="I423" s="50" t="n">
        <f aca="false">K422*Annahmen!$B$60/12</f>
        <v>1635.35597404512</v>
      </c>
      <c r="J423" s="50" t="n">
        <f aca="false">MIN($I$3-I423,K422)</f>
        <v>6478.7243138548</v>
      </c>
      <c r="K423" s="50" t="n">
        <f aca="false">K422-J423</f>
        <v>484128.067899682</v>
      </c>
      <c r="L423" s="50" t="n">
        <f aca="false">C423+F423+I423</f>
        <v>4443.19015304361</v>
      </c>
      <c r="M423" s="50" t="n">
        <f aca="false">D423+G423+J423</f>
        <v>12745.8901348563</v>
      </c>
      <c r="N423" s="50" t="n">
        <f aca="false">L423+M423</f>
        <v>17189.0802878999</v>
      </c>
      <c r="O423" s="50" t="n">
        <f aca="false">E423+H423+K423</f>
        <v>1735775.69422983</v>
      </c>
    </row>
    <row r="424" customFormat="false" ht="15" hidden="false" customHeight="false" outlineLevel="0" collapsed="false">
      <c r="A424" s="49" t="n">
        <v>418</v>
      </c>
      <c r="B424" s="49" t="n">
        <f aca="false">ROUNDUP(A424/12,0)</f>
        <v>35</v>
      </c>
      <c r="C424" s="50" t="n">
        <f aca="false">E423*Annahmen!$B$58/12</f>
        <v>1677.33643191129</v>
      </c>
      <c r="D424" s="50" t="n">
        <f aca="false">MIN($C$3-C424,E423)</f>
        <v>3572.66356808871</v>
      </c>
      <c r="E424" s="50" t="n">
        <f aca="false">E423-D424</f>
        <v>801548.823749333</v>
      </c>
      <c r="F424" s="50" t="n">
        <f aca="false">H423*Annahmen!$B$59/12</f>
        <v>1116.31534753181</v>
      </c>
      <c r="G424" s="50" t="n">
        <f aca="false">MIN($F$3-F424,H423)</f>
        <v>2708.68465246819</v>
      </c>
      <c r="H424" s="50" t="n">
        <f aca="false">H423-G424</f>
        <v>443817.454360258</v>
      </c>
      <c r="I424" s="50" t="n">
        <f aca="false">K423*Annahmen!$B$60/12</f>
        <v>1613.76022633227</v>
      </c>
      <c r="J424" s="50" t="n">
        <f aca="false">MIN($I$3-I424,K423)</f>
        <v>6500.32006156765</v>
      </c>
      <c r="K424" s="50" t="n">
        <f aca="false">K423-J424</f>
        <v>477627.747838114</v>
      </c>
      <c r="L424" s="50" t="n">
        <f aca="false">C424+F424+I424</f>
        <v>4407.41200577538</v>
      </c>
      <c r="M424" s="50" t="n">
        <f aca="false">D424+G424+J424</f>
        <v>12781.6682821245</v>
      </c>
      <c r="N424" s="50" t="n">
        <f aca="false">L424+M424</f>
        <v>17189.0802878999</v>
      </c>
      <c r="O424" s="50" t="n">
        <f aca="false">E424+H424+K424</f>
        <v>1722994.0259477</v>
      </c>
    </row>
    <row r="425" customFormat="false" ht="15" hidden="false" customHeight="false" outlineLevel="0" collapsed="false">
      <c r="A425" s="49" t="n">
        <v>419</v>
      </c>
      <c r="B425" s="49" t="n">
        <f aca="false">ROUNDUP(A425/12,0)</f>
        <v>35</v>
      </c>
      <c r="C425" s="50" t="n">
        <f aca="false">E424*Annahmen!$B$58/12</f>
        <v>1669.89338281111</v>
      </c>
      <c r="D425" s="50" t="n">
        <f aca="false">MIN($C$3-C425,E424)</f>
        <v>3580.10661718889</v>
      </c>
      <c r="E425" s="50" t="n">
        <f aca="false">E424-D425</f>
        <v>797968.717132144</v>
      </c>
      <c r="F425" s="50" t="n">
        <f aca="false">H424*Annahmen!$B$59/12</f>
        <v>1109.54363590064</v>
      </c>
      <c r="G425" s="50" t="n">
        <f aca="false">MIN($F$3-F425,H424)</f>
        <v>2715.45636409936</v>
      </c>
      <c r="H425" s="50" t="n">
        <f aca="false">H424-G425</f>
        <v>441101.997996158</v>
      </c>
      <c r="I425" s="50" t="n">
        <f aca="false">K424*Annahmen!$B$60/12</f>
        <v>1592.09249279371</v>
      </c>
      <c r="J425" s="50" t="n">
        <f aca="false">MIN($I$3-I425,K424)</f>
        <v>6521.9877951062</v>
      </c>
      <c r="K425" s="50" t="n">
        <f aca="false">K424-J425</f>
        <v>471105.760043008</v>
      </c>
      <c r="L425" s="50" t="n">
        <f aca="false">C425+F425+I425</f>
        <v>4371.52951150547</v>
      </c>
      <c r="M425" s="50" t="n">
        <f aca="false">D425+G425+J425</f>
        <v>12817.5507763945</v>
      </c>
      <c r="N425" s="50" t="n">
        <f aca="false">L425+M425</f>
        <v>17189.0802878999</v>
      </c>
      <c r="O425" s="50" t="n">
        <f aca="false">E425+H425+K425</f>
        <v>1710176.47517131</v>
      </c>
    </row>
    <row r="426" customFormat="false" ht="15" hidden="false" customHeight="false" outlineLevel="0" collapsed="false">
      <c r="A426" s="49" t="n">
        <v>420</v>
      </c>
      <c r="B426" s="49" t="n">
        <f aca="false">ROUNDUP(A426/12,0)</f>
        <v>35</v>
      </c>
      <c r="C426" s="50" t="n">
        <f aca="false">E425*Annahmen!$B$58/12</f>
        <v>1662.43482735863</v>
      </c>
      <c r="D426" s="50" t="n">
        <f aca="false">MIN($C$3-C426,E425)</f>
        <v>3587.56517264137</v>
      </c>
      <c r="E426" s="50" t="n">
        <f aca="false">E425-D426</f>
        <v>794381.151959502</v>
      </c>
      <c r="F426" s="50" t="n">
        <f aca="false">H425*Annahmen!$B$59/12</f>
        <v>1102.7549949904</v>
      </c>
      <c r="G426" s="50" t="n">
        <f aca="false">MIN($F$3-F426,H425)</f>
        <v>2722.24500500961</v>
      </c>
      <c r="H426" s="50" t="n">
        <f aca="false">H425-G426</f>
        <v>438379.752991149</v>
      </c>
      <c r="I426" s="50" t="n">
        <f aca="false">K425*Annahmen!$B$60/12</f>
        <v>1570.35253347669</v>
      </c>
      <c r="J426" s="50" t="n">
        <f aca="false">MIN($I$3-I426,K425)</f>
        <v>6543.72775442323</v>
      </c>
      <c r="K426" s="50" t="n">
        <f aca="false">K425-J426</f>
        <v>464562.032288585</v>
      </c>
      <c r="L426" s="50" t="n">
        <f aca="false">C426+F426+I426</f>
        <v>4335.54235582572</v>
      </c>
      <c r="M426" s="50" t="n">
        <f aca="false">D426+G426+J426</f>
        <v>12853.5379320742</v>
      </c>
      <c r="N426" s="50" t="n">
        <f aca="false">L426+M426</f>
        <v>17189.0802878999</v>
      </c>
      <c r="O426" s="50" t="n">
        <f aca="false">E426+H426+K426</f>
        <v>1697322.93723924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391</v>
      </c>
    </row>
    <row r="2" customFormat="false" ht="15" hidden="false" customHeight="false" outlineLevel="0" collapsed="false">
      <c r="A2" s="2" t="s">
        <v>392</v>
      </c>
    </row>
    <row r="4" customFormat="false" ht="15" hidden="false" customHeight="false" outlineLevel="0" collapsed="false">
      <c r="A4" s="3" t="s">
        <v>393</v>
      </c>
      <c r="B4" s="4" t="s">
        <v>394</v>
      </c>
      <c r="C4" s="4" t="s">
        <v>395</v>
      </c>
      <c r="D4" s="4" t="s">
        <v>246</v>
      </c>
    </row>
    <row r="5" customFormat="false" ht="15" hidden="false" customHeight="false" outlineLevel="0" collapsed="false">
      <c r="A5" s="7" t="s">
        <v>396</v>
      </c>
      <c r="B5" s="33" t="n">
        <f aca="false">'Flächen und Mieten'!F21</f>
        <v>7320.58823529412</v>
      </c>
      <c r="C5" s="33" t="n">
        <f aca="false">B5*12</f>
        <v>87847.0588235294</v>
      </c>
      <c r="D5" s="9"/>
    </row>
    <row r="6" customFormat="false" ht="15" hidden="false" customHeight="false" outlineLevel="0" collapsed="false">
      <c r="A6" s="7" t="s">
        <v>397</v>
      </c>
      <c r="B6" s="33" t="n">
        <f aca="false">'Flächen und Mieten'!F25</f>
        <v>1600</v>
      </c>
      <c r="C6" s="33" t="n">
        <f aca="false">B6*12</f>
        <v>19200</v>
      </c>
      <c r="D6" s="9" t="s">
        <v>398</v>
      </c>
    </row>
    <row r="7" customFormat="false" ht="15" hidden="false" customHeight="false" outlineLevel="0" collapsed="false">
      <c r="A7" s="7" t="s">
        <v>399</v>
      </c>
      <c r="B7" s="33" t="n">
        <f aca="false">'Flächen und Mieten'!F22</f>
        <v>9563.5</v>
      </c>
      <c r="C7" s="33" t="n">
        <f aca="false">B7*12</f>
        <v>114762</v>
      </c>
      <c r="D7" s="9" t="s">
        <v>400</v>
      </c>
    </row>
    <row r="8" customFormat="false" ht="15" hidden="false" customHeight="false" outlineLevel="0" collapsed="false">
      <c r="A8" s="7" t="s">
        <v>401</v>
      </c>
      <c r="B8" s="51" t="n">
        <f aca="false">-Annahmen!$B$50*(B5+B6+B7)</f>
        <v>-1848.40882352941</v>
      </c>
      <c r="C8" s="51" t="n">
        <f aca="false">B8*12</f>
        <v>-22180.9058823529</v>
      </c>
      <c r="D8" s="9" t="s">
        <v>402</v>
      </c>
    </row>
    <row r="9" customFormat="false" ht="15" hidden="false" customHeight="false" outlineLevel="0" collapsed="false">
      <c r="A9" s="29" t="s">
        <v>403</v>
      </c>
      <c r="B9" s="35" t="n">
        <f aca="false">SUM(B5:B8)</f>
        <v>16635.6794117647</v>
      </c>
      <c r="C9" s="35" t="n">
        <f aca="false">B9*12</f>
        <v>199628.152941176</v>
      </c>
      <c r="D9" s="9"/>
    </row>
    <row r="10" customFormat="false" ht="15" hidden="false" customHeight="false" outlineLevel="0" collapsed="false">
      <c r="A10" s="7" t="s">
        <v>404</v>
      </c>
      <c r="B10" s="51" t="n">
        <f aca="false">-Tilgungsplan!N3</f>
        <v>-17189.0802878999</v>
      </c>
      <c r="C10" s="51" t="n">
        <f aca="false">B10*12</f>
        <v>-206268.963454799</v>
      </c>
      <c r="D10" s="9"/>
    </row>
    <row r="11" customFormat="false" ht="15" hidden="false" customHeight="false" outlineLevel="0" collapsed="false">
      <c r="A11" s="29" t="s">
        <v>39</v>
      </c>
      <c r="B11" s="52" t="n">
        <f aca="false">B9+B10</f>
        <v>-553.40087613522</v>
      </c>
      <c r="C11" s="53" t="n">
        <f aca="false">B11*12</f>
        <v>-6640.81051362264</v>
      </c>
      <c r="D11" s="9" t="s">
        <v>40</v>
      </c>
    </row>
    <row r="12" customFormat="false" ht="15" hidden="false" customHeight="false" outlineLevel="0" collapsed="false">
      <c r="A12" s="7" t="s">
        <v>405</v>
      </c>
      <c r="B12" s="51" t="n">
        <f aca="false">'Gastro Betrieb'!C19</f>
        <v>19605.175</v>
      </c>
      <c r="C12" s="51" t="n">
        <f aca="false">B12*12</f>
        <v>235262.1</v>
      </c>
      <c r="D12" s="9" t="s">
        <v>406</v>
      </c>
    </row>
    <row r="13" customFormat="false" ht="15" hidden="false" customHeight="false" outlineLevel="0" collapsed="false">
      <c r="A13" s="29" t="s">
        <v>407</v>
      </c>
      <c r="B13" s="53" t="n">
        <f aca="false">B11+B12</f>
        <v>19051.7741238648</v>
      </c>
      <c r="C13" s="53" t="n">
        <f aca="false">B13*12</f>
        <v>228621.289486377</v>
      </c>
      <c r="D13" s="9" t="s">
        <v>408</v>
      </c>
    </row>
    <row r="15" customFormat="false" ht="15" hidden="false" customHeight="false" outlineLevel="0" collapsed="false">
      <c r="A15" s="29" t="s">
        <v>43</v>
      </c>
      <c r="B15" s="54" t="n">
        <f aca="false">B9/-B10</f>
        <v>0.967805090972507</v>
      </c>
      <c r="D15" s="9" t="s">
        <v>44</v>
      </c>
    </row>
    <row r="16" customFormat="false" ht="15" hidden="false" customHeight="false" outlineLevel="0" collapsed="false">
      <c r="A16" s="29" t="s">
        <v>409</v>
      </c>
      <c r="B16" s="55" t="n">
        <f aca="false">(B9+B12)/-B10</f>
        <v>2.10836495058296</v>
      </c>
      <c r="D16" s="9" t="s">
        <v>410</v>
      </c>
    </row>
    <row r="17" customFormat="false" ht="15" hidden="false" customHeight="false" outlineLevel="0" collapsed="false">
      <c r="A17" s="29" t="s">
        <v>411</v>
      </c>
      <c r="B17" s="55" t="n">
        <f aca="false">(B5+B6)*(1-Annahmen!$B$50)/-B10</f>
        <v>0.467071494070355</v>
      </c>
      <c r="D17" s="9" t="s">
        <v>412</v>
      </c>
    </row>
    <row r="18" customFormat="false" ht="15" hidden="false" customHeight="false" outlineLevel="0" collapsed="false">
      <c r="A18" s="7" t="s">
        <v>413</v>
      </c>
      <c r="B18" s="56" t="n">
        <f aca="false">B9/('Tilgung Jahre'!B5/12)</f>
        <v>1.2748268851227</v>
      </c>
    </row>
    <row r="19" customFormat="false" ht="15" hidden="false" customHeight="false" outlineLevel="0" collapsed="false">
      <c r="A19" s="7" t="s">
        <v>414</v>
      </c>
      <c r="B19" s="57" t="n">
        <f aca="false">C9/'Kosten und Finanzierung'!B18</f>
        <v>0.040783059594858</v>
      </c>
    </row>
    <row r="20" customFormat="false" ht="15" hidden="false" customHeight="false" outlineLevel="0" collapsed="false">
      <c r="A20" s="7" t="s">
        <v>415</v>
      </c>
      <c r="B20" s="33" t="n">
        <f aca="false">MAX(0,(-B10/(1-Annahmen!$B$50)-B5-B6)/Annahmen!$B$49)</f>
        <v>101783.898623725</v>
      </c>
      <c r="D20" s="9" t="s">
        <v>416</v>
      </c>
    </row>
    <row r="21" customFormat="false" ht="15" hidden="false" customHeight="false" outlineLevel="0" collapsed="false">
      <c r="A21" s="7" t="s">
        <v>417</v>
      </c>
      <c r="B21" s="41" t="n">
        <f aca="false">'Flächen und Mieten'!G25/'Flächen und Mieten'!G26</f>
        <v>0.0865609371494402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418</v>
      </c>
    </row>
    <row r="2" customFormat="false" ht="15" hidden="false" customHeight="false" outlineLevel="0" collapsed="false">
      <c r="A2" s="2" t="s">
        <v>419</v>
      </c>
    </row>
    <row r="4" customFormat="false" ht="15" hidden="false" customHeight="false" outlineLevel="0" collapsed="false">
      <c r="A4" s="44" t="s">
        <v>420</v>
      </c>
    </row>
    <row r="5" customFormat="false" ht="15" hidden="false" customHeight="false" outlineLevel="0" collapsed="false">
      <c r="A5" s="7" t="s">
        <v>421</v>
      </c>
      <c r="B5" s="33" t="n">
        <f aca="false">'Ertrag und Cashflow'!C9</f>
        <v>199628.152941176</v>
      </c>
    </row>
    <row r="6" customFormat="false" ht="15" hidden="false" customHeight="false" outlineLevel="0" collapsed="false">
      <c r="A6" s="7" t="s">
        <v>422</v>
      </c>
      <c r="B6" s="33" t="n">
        <f aca="false">'Tilgung Jahre'!B5</f>
        <v>156592.361889169</v>
      </c>
    </row>
    <row r="7" customFormat="false" ht="15" hidden="false" customHeight="false" outlineLevel="0" collapsed="false">
      <c r="A7" s="7" t="s">
        <v>423</v>
      </c>
      <c r="B7" s="33" t="n">
        <f aca="false">'Tilgung Jahre'!C5</f>
        <v>49676.6015656301</v>
      </c>
    </row>
    <row r="8" customFormat="false" ht="15" hidden="false" customHeight="false" outlineLevel="0" collapsed="false">
      <c r="A8" s="29" t="s">
        <v>424</v>
      </c>
      <c r="B8" s="53" t="n">
        <f aca="false">'Ertrag und Cashflow'!C11</f>
        <v>-6640.81051362264</v>
      </c>
    </row>
    <row r="9" customFormat="false" ht="15" hidden="false" customHeight="false" outlineLevel="0" collapsed="false">
      <c r="A9" s="7" t="s">
        <v>425</v>
      </c>
      <c r="B9" s="33" t="n">
        <f aca="false">'Kosten und Finanzierung'!B18-'Kosten und Finanzierung'!B8-'Kosten und Finanzierung'!B17</f>
        <v>4379575.525</v>
      </c>
    </row>
    <row r="10" customFormat="false" ht="15" hidden="false" customHeight="false" outlineLevel="0" collapsed="false">
      <c r="A10" s="7" t="s">
        <v>426</v>
      </c>
      <c r="B10" s="33" t="n">
        <f aca="false">B9*Annahmen!$B$86</f>
        <v>131387.26575</v>
      </c>
    </row>
    <row r="11" customFormat="false" ht="15" hidden="false" customHeight="false" outlineLevel="0" collapsed="false">
      <c r="A11" s="29" t="s">
        <v>427</v>
      </c>
      <c r="B11" s="53" t="n">
        <f aca="false">B5-B6-B10</f>
        <v>-88351.4746979926</v>
      </c>
    </row>
    <row r="12" customFormat="false" ht="15" hidden="false" customHeight="false" outlineLevel="0" collapsed="false">
      <c r="A12" s="7" t="s">
        <v>428</v>
      </c>
      <c r="B12" s="41" t="n">
        <f aca="false">'Flächen und Mieten'!E9/('Flächen und Mieten'!E9+Annahmen!$B$30+Annahmen!$B$32+Annahmen!$B$21)</f>
        <v>0.492481203007519</v>
      </c>
    </row>
    <row r="13" customFormat="false" ht="15" hidden="false" customHeight="false" outlineLevel="0" collapsed="false">
      <c r="A13" s="7" t="s">
        <v>429</v>
      </c>
      <c r="B13" s="33" t="n">
        <f aca="false">B9*(B12*(Annahmen!$B$87+Annahmen!$B$88)+(1-B12)*Annahmen!$B$86)</f>
        <v>282367.369375</v>
      </c>
      <c r="C13" s="16" t="s">
        <v>430</v>
      </c>
    </row>
    <row r="14" customFormat="false" ht="15" hidden="false" customHeight="false" outlineLevel="0" collapsed="false">
      <c r="A14" s="29" t="s">
        <v>431</v>
      </c>
      <c r="B14" s="53" t="n">
        <f aca="false">B5-B6-B13</f>
        <v>-239331.578322993</v>
      </c>
    </row>
    <row r="17" customFormat="false" ht="15" hidden="false" customHeight="false" outlineLevel="0" collapsed="false">
      <c r="A17" s="3" t="s">
        <v>432</v>
      </c>
      <c r="B17" s="4" t="s">
        <v>433</v>
      </c>
      <c r="C17" s="4" t="s">
        <v>434</v>
      </c>
      <c r="D17" s="4" t="s">
        <v>435</v>
      </c>
      <c r="E17" s="4" t="s">
        <v>436</v>
      </c>
    </row>
    <row r="18" customFormat="false" ht="15" hidden="false" customHeight="false" outlineLevel="0" collapsed="false">
      <c r="A18" s="7" t="s">
        <v>437</v>
      </c>
      <c r="B18" s="33" t="n">
        <f aca="false">Annahmen!$B$55/1</f>
        <v>0</v>
      </c>
      <c r="C18" s="33" t="n">
        <f aca="false">Annahmen!$B$55/2</f>
        <v>0</v>
      </c>
      <c r="D18" s="33" t="n">
        <f aca="false">Annahmen!$B$55/4</f>
        <v>0</v>
      </c>
      <c r="E18" s="33" t="n">
        <f aca="false">Annahmen!$B$55/8</f>
        <v>0</v>
      </c>
    </row>
    <row r="19" customFormat="false" ht="15" hidden="false" customHeight="false" outlineLevel="0" collapsed="false">
      <c r="A19" s="7" t="s">
        <v>438</v>
      </c>
      <c r="B19" s="51" t="n">
        <f aca="false">$B$8/1</f>
        <v>-6640.81051362264</v>
      </c>
      <c r="C19" s="51" t="n">
        <f aca="false">$B$8/2</f>
        <v>-3320.40525681132</v>
      </c>
      <c r="D19" s="51" t="n">
        <f aca="false">$B$8/4</f>
        <v>-1660.20262840566</v>
      </c>
      <c r="E19" s="51" t="n">
        <f aca="false">$B$8/8</f>
        <v>-830.10131420283</v>
      </c>
    </row>
    <row r="20" customFormat="false" ht="15" hidden="false" customHeight="false" outlineLevel="0" collapsed="false">
      <c r="A20" s="7" t="s">
        <v>439</v>
      </c>
      <c r="B20" s="51" t="n">
        <f aca="false">B19/12</f>
        <v>-553.40087613522</v>
      </c>
      <c r="C20" s="51" t="n">
        <f aca="false">C19/12</f>
        <v>-276.70043806761</v>
      </c>
      <c r="D20" s="51" t="n">
        <f aca="false">D19/12</f>
        <v>-138.350219033805</v>
      </c>
      <c r="E20" s="51" t="n">
        <f aca="false">E19/12</f>
        <v>-69.1751095169025</v>
      </c>
    </row>
    <row r="21" customFormat="false" ht="15" hidden="false" customHeight="false" outlineLevel="0" collapsed="false">
      <c r="A21" s="7" t="s">
        <v>440</v>
      </c>
      <c r="B21" s="51" t="n">
        <f aca="false">$B$11/1</f>
        <v>-88351.4746979926</v>
      </c>
      <c r="C21" s="51" t="n">
        <f aca="false">$B$11/2</f>
        <v>-44175.7373489963</v>
      </c>
      <c r="D21" s="51" t="n">
        <f aca="false">$B$11/4</f>
        <v>-22087.8686744981</v>
      </c>
      <c r="E21" s="51" t="n">
        <f aca="false">$B$11/8</f>
        <v>-11043.9343372491</v>
      </c>
    </row>
    <row r="22" customFormat="false" ht="15" hidden="false" customHeight="false" outlineLevel="0" collapsed="false">
      <c r="A22" s="7" t="s">
        <v>441</v>
      </c>
      <c r="B22" s="51" t="n">
        <f aca="false">-Annahmen!$B$85*B21</f>
        <v>30923.0161442974</v>
      </c>
      <c r="C22" s="51" t="n">
        <f aca="false">-Annahmen!$B$85*C21</f>
        <v>15461.5080721487</v>
      </c>
      <c r="D22" s="51" t="n">
        <f aca="false">-Annahmen!$B$85*D21</f>
        <v>7730.75403607435</v>
      </c>
      <c r="E22" s="51" t="n">
        <f aca="false">-Annahmen!$B$85*E21</f>
        <v>3865.37701803718</v>
      </c>
    </row>
    <row r="23" customFormat="false" ht="15" hidden="false" customHeight="false" outlineLevel="0" collapsed="false">
      <c r="A23" s="29" t="s">
        <v>442</v>
      </c>
      <c r="B23" s="53" t="n">
        <f aca="false">B19+B22</f>
        <v>24282.2056306748</v>
      </c>
      <c r="C23" s="53" t="n">
        <f aca="false">C19+C22</f>
        <v>12141.1028153374</v>
      </c>
      <c r="D23" s="53" t="n">
        <f aca="false">D19+D22</f>
        <v>6070.55140766869</v>
      </c>
      <c r="E23" s="53" t="n">
        <f aca="false">E19+E22</f>
        <v>3035.27570383435</v>
      </c>
    </row>
    <row r="24" customFormat="false" ht="15" hidden="false" customHeight="false" outlineLevel="0" collapsed="false">
      <c r="A24" s="29" t="s">
        <v>443</v>
      </c>
      <c r="B24" s="53" t="n">
        <f aca="false">B23/12</f>
        <v>2023.51713588956</v>
      </c>
      <c r="C24" s="53" t="n">
        <f aca="false">C23/12</f>
        <v>1011.75856794478</v>
      </c>
      <c r="D24" s="53" t="n">
        <f aca="false">D23/12</f>
        <v>505.879283972391</v>
      </c>
      <c r="E24" s="53" t="n">
        <f aca="false">E23/12</f>
        <v>252.939641986195</v>
      </c>
    </row>
    <row r="25" customFormat="false" ht="15" hidden="false" customHeight="false" outlineLevel="0" collapsed="false">
      <c r="A25" s="7" t="s">
        <v>444</v>
      </c>
      <c r="B25" s="51" t="n">
        <f aca="false">-Annahmen!$B$85*$B$14/1</f>
        <v>83766.0524130474</v>
      </c>
      <c r="C25" s="51" t="n">
        <f aca="false">-Annahmen!$B$85*$B$14/2</f>
        <v>41883.0262065237</v>
      </c>
      <c r="D25" s="51" t="n">
        <f aca="false">-Annahmen!$B$85*$B$14/4</f>
        <v>20941.5131032619</v>
      </c>
      <c r="E25" s="51" t="n">
        <f aca="false">-Annahmen!$B$85*$B$14/8</f>
        <v>10470.7565516309</v>
      </c>
    </row>
    <row r="26" customFormat="false" ht="15" hidden="false" customHeight="false" outlineLevel="0" collapsed="false">
      <c r="A26" s="7" t="s">
        <v>445</v>
      </c>
      <c r="B26" s="51" t="n">
        <f aca="false">B19+B25</f>
        <v>77125.2418994248</v>
      </c>
      <c r="C26" s="51" t="n">
        <f aca="false">C19+C25</f>
        <v>38562.6209497124</v>
      </c>
      <c r="D26" s="51" t="n">
        <f aca="false">D19+D25</f>
        <v>19281.3104748562</v>
      </c>
      <c r="E26" s="51" t="n">
        <f aca="false">E19+E25</f>
        <v>9640.6552374281</v>
      </c>
    </row>
    <row r="27" customFormat="false" ht="15" hidden="false" customHeight="false" outlineLevel="0" collapsed="false">
      <c r="A27" s="7" t="s">
        <v>446</v>
      </c>
      <c r="B27" s="51" t="n">
        <f aca="false">B26/12</f>
        <v>6427.10349161873</v>
      </c>
      <c r="C27" s="51" t="n">
        <f aca="false">C26/12</f>
        <v>3213.55174580937</v>
      </c>
      <c r="D27" s="51" t="n">
        <f aca="false">D26/12</f>
        <v>1606.77587290468</v>
      </c>
      <c r="E27" s="51" t="n">
        <f aca="false">E26/12</f>
        <v>803.387936452342</v>
      </c>
    </row>
    <row r="28" customFormat="false" ht="15" hidden="false" customHeight="false" outlineLevel="0" collapsed="false">
      <c r="A28" s="7" t="s">
        <v>447</v>
      </c>
      <c r="B28" s="33" t="n">
        <f aca="false">$B$7/1</f>
        <v>49676.6015656301</v>
      </c>
      <c r="C28" s="33" t="n">
        <f aca="false">$B$7/2</f>
        <v>24838.300782815</v>
      </c>
      <c r="D28" s="33" t="n">
        <f aca="false">$B$7/4</f>
        <v>12419.1503914075</v>
      </c>
      <c r="E28" s="33" t="n">
        <f aca="false">$B$7/8</f>
        <v>6209.57519570376</v>
      </c>
    </row>
    <row r="30" customFormat="false" ht="15" hidden="false" customHeight="false" outlineLevel="0" collapsed="false">
      <c r="A30" s="44" t="s">
        <v>448</v>
      </c>
    </row>
    <row r="31" customFormat="false" ht="15" hidden="false" customHeight="false" outlineLevel="0" collapsed="false">
      <c r="A31" s="7" t="s">
        <v>449</v>
      </c>
      <c r="B31" s="51" t="n">
        <f aca="false">'Ertrag und Cashflow'!B12</f>
        <v>19605.175</v>
      </c>
    </row>
    <row r="32" customFormat="false" ht="15" hidden="false" customHeight="false" outlineLevel="0" collapsed="false">
      <c r="A32" s="7" t="s">
        <v>450</v>
      </c>
      <c r="B32" s="51" t="n">
        <f aca="false">'Ertrag und Cashflow'!C12</f>
        <v>235262.1</v>
      </c>
    </row>
    <row r="34" customFormat="false" ht="15" hidden="false" customHeight="false" outlineLevel="0" collapsed="false">
      <c r="A34" s="16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452</v>
      </c>
    </row>
    <row r="2" customFormat="false" ht="15" hidden="false" customHeight="false" outlineLevel="0" collapsed="false">
      <c r="A2" s="2" t="s">
        <v>453</v>
      </c>
    </row>
    <row r="4" customFormat="false" ht="15" hidden="false" customHeight="false" outlineLevel="0" collapsed="false">
      <c r="A4" s="3" t="s">
        <v>2</v>
      </c>
      <c r="B4" s="4" t="s">
        <v>454</v>
      </c>
      <c r="C4" s="4" t="s">
        <v>455</v>
      </c>
      <c r="D4" s="4" t="s">
        <v>456</v>
      </c>
      <c r="E4" s="4" t="s">
        <v>457</v>
      </c>
    </row>
    <row r="5" customFormat="false" ht="15" hidden="false" customHeight="false" outlineLevel="0" collapsed="false">
      <c r="A5" s="7" t="s">
        <v>16</v>
      </c>
      <c r="B5" s="28" t="n">
        <v>12</v>
      </c>
      <c r="C5" s="28" t="n">
        <v>8</v>
      </c>
      <c r="D5" s="28" t="n">
        <v>12</v>
      </c>
      <c r="E5" s="28" t="n">
        <v>8</v>
      </c>
    </row>
    <row r="6" customFormat="false" ht="15" hidden="false" customHeight="false" outlineLevel="0" collapsed="false">
      <c r="A6" s="7" t="s">
        <v>458</v>
      </c>
      <c r="B6" s="33" t="n">
        <v>0</v>
      </c>
      <c r="C6" s="33" t="n">
        <v>0</v>
      </c>
      <c r="D6" s="33" t="n">
        <v>749000</v>
      </c>
      <c r="E6" s="33" t="n">
        <v>871000</v>
      </c>
    </row>
    <row r="7" customFormat="false" ht="15" hidden="false" customHeight="false" outlineLevel="0" collapsed="false">
      <c r="A7" s="7" t="s">
        <v>459</v>
      </c>
      <c r="B7" s="33" t="n">
        <v>4894879.27</v>
      </c>
      <c r="C7" s="33" t="n">
        <v>4845505.71</v>
      </c>
      <c r="D7" s="33" t="n">
        <v>4844812.18</v>
      </c>
      <c r="E7" s="33" t="n">
        <v>4787266.69</v>
      </c>
    </row>
    <row r="8" customFormat="false" ht="15" hidden="false" customHeight="false" outlineLevel="0" collapsed="false">
      <c r="A8" s="7" t="s">
        <v>460</v>
      </c>
      <c r="B8" s="33" t="n">
        <v>2947500</v>
      </c>
      <c r="C8" s="33" t="n">
        <v>2347500</v>
      </c>
      <c r="D8" s="33" t="n">
        <v>2947500</v>
      </c>
      <c r="E8" s="33" t="n">
        <v>2347500</v>
      </c>
    </row>
    <row r="9" customFormat="false" ht="15" hidden="false" customHeight="false" outlineLevel="0" collapsed="false">
      <c r="A9" s="7" t="s">
        <v>461</v>
      </c>
      <c r="B9" s="33" t="n">
        <v>1947379.27</v>
      </c>
      <c r="C9" s="33" t="n">
        <v>2498005.71</v>
      </c>
      <c r="D9" s="33" t="n">
        <v>1148312.18</v>
      </c>
      <c r="E9" s="33" t="n">
        <v>1568766.69</v>
      </c>
    </row>
    <row r="10" customFormat="false" ht="15" hidden="false" customHeight="false" outlineLevel="0" collapsed="false">
      <c r="A10" s="7" t="s">
        <v>29</v>
      </c>
      <c r="B10" s="57" t="n">
        <v>0.0321397448466373</v>
      </c>
      <c r="C10" s="57" t="n">
        <v>0.0339170435887406</v>
      </c>
      <c r="D10" s="57" t="n">
        <v>0.0306062587100656</v>
      </c>
      <c r="E10" s="57" t="n">
        <v>0.0324736994827116</v>
      </c>
    </row>
    <row r="11" customFormat="false" ht="15" hidden="false" customHeight="false" outlineLevel="0" collapsed="false">
      <c r="A11" s="7" t="s">
        <v>462</v>
      </c>
      <c r="B11" s="33" t="n">
        <v>38475</v>
      </c>
      <c r="C11" s="33" t="n">
        <v>29475</v>
      </c>
      <c r="D11" s="33" t="n">
        <v>38475</v>
      </c>
      <c r="E11" s="33" t="n">
        <v>29475</v>
      </c>
    </row>
    <row r="12" customFormat="false" ht="15" hidden="false" customHeight="false" outlineLevel="0" collapsed="false">
      <c r="A12" s="7" t="s">
        <v>463</v>
      </c>
      <c r="B12" s="33" t="n">
        <v>17189.08</v>
      </c>
      <c r="C12" s="33" t="n">
        <v>17733.36</v>
      </c>
      <c r="D12" s="33" t="n">
        <v>13859.63</v>
      </c>
      <c r="E12" s="33" t="n">
        <v>13861.53</v>
      </c>
    </row>
    <row r="13" customFormat="false" ht="15" hidden="false" customHeight="false" outlineLevel="0" collapsed="false">
      <c r="A13" s="7" t="s">
        <v>464</v>
      </c>
      <c r="B13" s="33" t="n">
        <v>9563.5</v>
      </c>
      <c r="C13" s="33" t="n">
        <v>9563.5</v>
      </c>
      <c r="D13" s="33" t="n">
        <v>9563.5</v>
      </c>
      <c r="E13" s="33" t="n">
        <v>9563.5</v>
      </c>
    </row>
    <row r="14" customFormat="false" ht="15" hidden="false" customHeight="false" outlineLevel="0" collapsed="false">
      <c r="A14" s="7" t="s">
        <v>465</v>
      </c>
      <c r="B14" s="33" t="n">
        <v>16635.68</v>
      </c>
      <c r="C14" s="33" t="n">
        <v>16635.68</v>
      </c>
      <c r="D14" s="33" t="n">
        <v>16635.68</v>
      </c>
      <c r="E14" s="33" t="n">
        <v>16635.68</v>
      </c>
    </row>
    <row r="15" customFormat="false" ht="15" hidden="false" customHeight="false" outlineLevel="0" collapsed="false">
      <c r="A15" s="7" t="s">
        <v>39</v>
      </c>
      <c r="B15" s="51" t="n">
        <v>-553.4</v>
      </c>
      <c r="C15" s="51" t="n">
        <v>-1097.68</v>
      </c>
      <c r="D15" s="51" t="n">
        <v>2776.05</v>
      </c>
      <c r="E15" s="51" t="n">
        <v>2774.15</v>
      </c>
    </row>
    <row r="16" customFormat="false" ht="15" hidden="false" customHeight="false" outlineLevel="0" collapsed="false">
      <c r="A16" s="7" t="s">
        <v>466</v>
      </c>
      <c r="B16" s="51" t="n">
        <v>-6640.81</v>
      </c>
      <c r="C16" s="51" t="n">
        <v>-13172.13</v>
      </c>
      <c r="D16" s="51" t="n">
        <v>33312.54</v>
      </c>
      <c r="E16" s="51" t="n">
        <v>33289.82</v>
      </c>
    </row>
    <row r="17" customFormat="false" ht="15" hidden="false" customHeight="false" outlineLevel="0" collapsed="false">
      <c r="A17" s="7" t="s">
        <v>43</v>
      </c>
      <c r="B17" s="56" t="n">
        <v>0.967805090972507</v>
      </c>
      <c r="C17" s="56" t="n">
        <v>0.938100964764071</v>
      </c>
      <c r="D17" s="56" t="n">
        <v>1.20029715842367</v>
      </c>
      <c r="E17" s="56" t="n">
        <v>1.20013317230291</v>
      </c>
    </row>
    <row r="18" customFormat="false" ht="15" hidden="false" customHeight="false" outlineLevel="0" collapsed="false">
      <c r="A18" s="7" t="s">
        <v>467</v>
      </c>
      <c r="B18" s="51" t="n">
        <v>19605.18</v>
      </c>
      <c r="C18" s="51" t="n">
        <v>19605.18</v>
      </c>
      <c r="D18" s="51" t="n">
        <v>19605.18</v>
      </c>
      <c r="E18" s="51" t="n">
        <v>19605.18</v>
      </c>
    </row>
    <row r="19" customFormat="false" ht="15" hidden="false" customHeight="false" outlineLevel="0" collapsed="false">
      <c r="A19" s="7" t="s">
        <v>468</v>
      </c>
      <c r="B19" s="51" t="n">
        <v>19051.77</v>
      </c>
      <c r="C19" s="51" t="n">
        <v>18507.5</v>
      </c>
      <c r="D19" s="51" t="n">
        <v>22381.22</v>
      </c>
      <c r="E19" s="51" t="n">
        <v>22379.33</v>
      </c>
    </row>
    <row r="20" customFormat="false" ht="15" hidden="false" customHeight="false" outlineLevel="0" collapsed="false">
      <c r="A20" s="7" t="s">
        <v>469</v>
      </c>
      <c r="B20" s="40" t="n">
        <v>24.52</v>
      </c>
      <c r="C20" s="40" t="n">
        <v>24.27</v>
      </c>
      <c r="D20" s="40" t="n">
        <v>24.27</v>
      </c>
      <c r="E20" s="40" t="n">
        <v>23.98</v>
      </c>
    </row>
    <row r="21" customFormat="false" ht="15" hidden="false" customHeight="false" outlineLevel="0" collapsed="false">
      <c r="A21" s="7" t="s">
        <v>470</v>
      </c>
      <c r="B21" s="40" t="n">
        <v>21.41</v>
      </c>
      <c r="C21" s="40" t="n">
        <v>21.82</v>
      </c>
      <c r="D21" s="40" t="n">
        <v>18.04</v>
      </c>
      <c r="E21" s="40" t="n">
        <v>17.83</v>
      </c>
    </row>
    <row r="22" customFormat="false" ht="15" hidden="false" customHeight="false" outlineLevel="0" collapsed="false">
      <c r="A22" s="7" t="s">
        <v>471</v>
      </c>
      <c r="B22" s="51" t="n">
        <v>-88351.47</v>
      </c>
      <c r="C22" s="51" t="n">
        <v>-93543.68</v>
      </c>
      <c r="D22" s="51" t="n">
        <v>-56536.93</v>
      </c>
      <c r="E22" s="51" t="n">
        <v>-56546.39</v>
      </c>
    </row>
    <row r="23" customFormat="false" ht="15" hidden="false" customHeight="false" outlineLevel="0" collapsed="false">
      <c r="A23" s="7" t="s">
        <v>472</v>
      </c>
      <c r="B23" s="51" t="n">
        <v>-239331.58</v>
      </c>
      <c r="C23" s="51" t="n">
        <v>-242455.37</v>
      </c>
      <c r="D23" s="51" t="n">
        <v>-207517.03</v>
      </c>
      <c r="E23" s="51" t="n">
        <v>-205458.07</v>
      </c>
    </row>
    <row r="24" customFormat="false" ht="15" hidden="false" customHeight="false" outlineLevel="0" collapsed="false">
      <c r="A24" s="7" t="s">
        <v>473</v>
      </c>
      <c r="B24" s="51" t="n">
        <v>-553.4</v>
      </c>
      <c r="C24" s="51" t="n">
        <v>-1097.68</v>
      </c>
      <c r="D24" s="51" t="n">
        <v>2776.05</v>
      </c>
      <c r="E24" s="51" t="n">
        <v>2774.15</v>
      </c>
    </row>
    <row r="25" customFormat="false" ht="15" hidden="false" customHeight="false" outlineLevel="0" collapsed="false">
      <c r="A25" s="7" t="s">
        <v>474</v>
      </c>
      <c r="B25" s="51" t="n">
        <v>-276.7</v>
      </c>
      <c r="C25" s="51" t="n">
        <v>-548.84</v>
      </c>
      <c r="D25" s="51" t="n">
        <v>1388.02</v>
      </c>
      <c r="E25" s="51" t="n">
        <v>1387.08</v>
      </c>
    </row>
    <row r="26" customFormat="false" ht="15" hidden="false" customHeight="false" outlineLevel="0" collapsed="false">
      <c r="A26" s="7" t="s">
        <v>475</v>
      </c>
      <c r="B26" s="51" t="n">
        <v>-138.35</v>
      </c>
      <c r="C26" s="51" t="n">
        <v>-274.42</v>
      </c>
      <c r="D26" s="51" t="n">
        <v>694.01</v>
      </c>
      <c r="E26" s="51" t="n">
        <v>693.54</v>
      </c>
    </row>
    <row r="27" customFormat="false" ht="15" hidden="false" customHeight="false" outlineLevel="0" collapsed="false">
      <c r="A27" s="7" t="s">
        <v>476</v>
      </c>
      <c r="B27" s="51" t="n">
        <v>-69.18</v>
      </c>
      <c r="C27" s="51" t="n">
        <v>-137.21</v>
      </c>
      <c r="D27" s="51" t="n">
        <v>347.01</v>
      </c>
      <c r="E27" s="51" t="n">
        <v>346.77</v>
      </c>
    </row>
    <row r="28" customFormat="false" ht="15" hidden="false" customHeight="false" outlineLevel="0" collapsed="false">
      <c r="A28" s="7" t="s">
        <v>477</v>
      </c>
      <c r="B28" s="51" t="n">
        <v>2023.52</v>
      </c>
      <c r="C28" s="51" t="n">
        <v>1630.68</v>
      </c>
      <c r="D28" s="51" t="n">
        <v>4425.04</v>
      </c>
      <c r="E28" s="51" t="n">
        <v>4423.42</v>
      </c>
    </row>
    <row r="29" customFormat="false" ht="15" hidden="false" customHeight="false" outlineLevel="0" collapsed="false">
      <c r="A29" s="7" t="s">
        <v>478</v>
      </c>
      <c r="B29" s="51" t="n">
        <v>1011.76</v>
      </c>
      <c r="C29" s="51" t="n">
        <v>815.34</v>
      </c>
      <c r="D29" s="51" t="n">
        <v>2212.52</v>
      </c>
      <c r="E29" s="51" t="n">
        <v>2211.71</v>
      </c>
    </row>
    <row r="30" customFormat="false" ht="15" hidden="false" customHeight="false" outlineLevel="0" collapsed="false">
      <c r="A30" s="7" t="s">
        <v>479</v>
      </c>
      <c r="B30" s="51" t="n">
        <v>505.88</v>
      </c>
      <c r="C30" s="51" t="n">
        <v>407.67</v>
      </c>
      <c r="D30" s="51" t="n">
        <v>1106.26</v>
      </c>
      <c r="E30" s="51" t="n">
        <v>1105.86</v>
      </c>
    </row>
    <row r="31" customFormat="false" ht="15" hidden="false" customHeight="false" outlineLevel="0" collapsed="false">
      <c r="A31" s="7" t="s">
        <v>480</v>
      </c>
      <c r="B31" s="51" t="n">
        <v>252.94</v>
      </c>
      <c r="C31" s="51" t="n">
        <v>203.83</v>
      </c>
      <c r="D31" s="51" t="n">
        <v>553.13</v>
      </c>
      <c r="E31" s="51" t="n">
        <v>552.93</v>
      </c>
    </row>
    <row r="32" customFormat="false" ht="15" hidden="false" customHeight="false" outlineLevel="0" collapsed="false">
      <c r="A32" s="7" t="s">
        <v>481</v>
      </c>
      <c r="B32" s="33" t="n">
        <v>0</v>
      </c>
      <c r="C32" s="33" t="n">
        <v>0</v>
      </c>
      <c r="D32" s="33" t="n">
        <v>749000</v>
      </c>
      <c r="E32" s="33" t="n">
        <v>871000</v>
      </c>
    </row>
    <row r="33" customFormat="false" ht="15" hidden="false" customHeight="false" outlineLevel="0" collapsed="false">
      <c r="A33" s="7" t="s">
        <v>482</v>
      </c>
      <c r="B33" s="33" t="n">
        <v>0</v>
      </c>
      <c r="C33" s="33" t="n">
        <v>0</v>
      </c>
      <c r="D33" s="33" t="n">
        <v>374500</v>
      </c>
      <c r="E33" s="33" t="n">
        <v>435500</v>
      </c>
    </row>
    <row r="34" customFormat="false" ht="15" hidden="false" customHeight="false" outlineLevel="0" collapsed="false">
      <c r="A34" s="7" t="s">
        <v>483</v>
      </c>
      <c r="B34" s="33" t="n">
        <v>0</v>
      </c>
      <c r="C34" s="33" t="n">
        <v>0</v>
      </c>
      <c r="D34" s="33" t="n">
        <v>187250</v>
      </c>
      <c r="E34" s="33" t="n">
        <v>217750</v>
      </c>
    </row>
    <row r="35" customFormat="false" ht="15" hidden="false" customHeight="false" outlineLevel="0" collapsed="false">
      <c r="A35" s="7" t="s">
        <v>484</v>
      </c>
      <c r="B35" s="33" t="n">
        <v>0</v>
      </c>
      <c r="C35" s="33" t="n">
        <v>0</v>
      </c>
      <c r="D35" s="33" t="n">
        <v>93625</v>
      </c>
      <c r="E35" s="33" t="n">
        <v>108875</v>
      </c>
    </row>
    <row r="37" customFormat="false" ht="15" hidden="false" customHeight="false" outlineLevel="0" collapsed="false">
      <c r="A37" s="16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487</v>
      </c>
    </row>
    <row r="4" customFormat="false" ht="15" hidden="false" customHeight="false" outlineLevel="0" collapsed="false">
      <c r="A4" s="3" t="s">
        <v>488</v>
      </c>
      <c r="B4" s="4" t="s">
        <v>294</v>
      </c>
      <c r="C4" s="4" t="s">
        <v>489</v>
      </c>
      <c r="D4" s="4" t="s">
        <v>246</v>
      </c>
    </row>
    <row r="5" customFormat="false" ht="15" hidden="false" customHeight="false" outlineLevel="0" collapsed="false">
      <c r="A5" s="29" t="s">
        <v>490</v>
      </c>
      <c r="B5" s="7"/>
      <c r="C5" s="10" t="n">
        <f aca="false">Annahmen!$B$51</f>
        <v>95635</v>
      </c>
    </row>
    <row r="6" customFormat="false" ht="15" hidden="false" customHeight="false" outlineLevel="0" collapsed="false">
      <c r="A6" s="7" t="s">
        <v>491</v>
      </c>
      <c r="B6" s="20" t="n">
        <v>0.28</v>
      </c>
      <c r="C6" s="33" t="n">
        <f aca="false">-$C$5*B6</f>
        <v>-26777.8</v>
      </c>
    </row>
    <row r="7" customFormat="false" ht="15" hidden="false" customHeight="false" outlineLevel="0" collapsed="false">
      <c r="A7" s="7" t="s">
        <v>492</v>
      </c>
      <c r="B7" s="20" t="n">
        <v>0.3</v>
      </c>
      <c r="C7" s="33" t="n">
        <f aca="false">-$C$5*B7</f>
        <v>-28690.5</v>
      </c>
    </row>
    <row r="8" customFormat="false" ht="15" hidden="false" customHeight="false" outlineLevel="0" collapsed="false">
      <c r="A8" s="7" t="s">
        <v>493</v>
      </c>
      <c r="B8" s="20" t="n">
        <v>0.03</v>
      </c>
      <c r="C8" s="33" t="n">
        <f aca="false">-$C$5*B8</f>
        <v>-2869.05</v>
      </c>
    </row>
    <row r="9" customFormat="false" ht="15" hidden="false" customHeight="false" outlineLevel="0" collapsed="false">
      <c r="A9" s="7" t="s">
        <v>494</v>
      </c>
      <c r="B9" s="20" t="n">
        <v>0.02</v>
      </c>
      <c r="C9" s="33" t="n">
        <f aca="false">-$C$5*B9</f>
        <v>-1912.7</v>
      </c>
    </row>
    <row r="10" customFormat="false" ht="15" hidden="false" customHeight="false" outlineLevel="0" collapsed="false">
      <c r="A10" s="7" t="s">
        <v>495</v>
      </c>
      <c r="B10" s="20" t="n">
        <v>0.015</v>
      </c>
      <c r="C10" s="33" t="n">
        <f aca="false">-$C$5*B10</f>
        <v>-1434.525</v>
      </c>
    </row>
    <row r="11" customFormat="false" ht="15" hidden="false" customHeight="false" outlineLevel="0" collapsed="false">
      <c r="A11" s="7" t="s">
        <v>496</v>
      </c>
      <c r="B11" s="20" t="n">
        <v>0.015</v>
      </c>
      <c r="C11" s="33" t="n">
        <f aca="false">-$C$5*B11</f>
        <v>-1434.525</v>
      </c>
    </row>
    <row r="12" customFormat="false" ht="15" hidden="false" customHeight="false" outlineLevel="0" collapsed="false">
      <c r="A12" s="7" t="s">
        <v>497</v>
      </c>
      <c r="B12" s="20" t="n">
        <v>0.015</v>
      </c>
      <c r="C12" s="33" t="n">
        <f aca="false">-$C$5*B12</f>
        <v>-1434.525</v>
      </c>
    </row>
    <row r="13" customFormat="false" ht="15" hidden="false" customHeight="false" outlineLevel="0" collapsed="false">
      <c r="A13" s="7" t="s">
        <v>498</v>
      </c>
      <c r="B13" s="20" t="n">
        <v>0.01</v>
      </c>
      <c r="C13" s="33" t="n">
        <f aca="false">-$C$5*B13</f>
        <v>-956.35</v>
      </c>
    </row>
    <row r="14" customFormat="false" ht="15" hidden="false" customHeight="false" outlineLevel="0" collapsed="false">
      <c r="A14" s="7" t="s">
        <v>499</v>
      </c>
      <c r="B14" s="20" t="n">
        <v>0.01</v>
      </c>
      <c r="C14" s="33" t="n">
        <f aca="false">-$C$5*B14</f>
        <v>-956.35</v>
      </c>
    </row>
    <row r="15" customFormat="false" ht="15" hidden="false" customHeight="false" outlineLevel="0" collapsed="false">
      <c r="A15" s="29" t="s">
        <v>500</v>
      </c>
      <c r="B15" s="43" t="n">
        <f aca="false">SUM(B6:B14)</f>
        <v>0.695</v>
      </c>
      <c r="C15" s="35" t="n">
        <f aca="false">SUM(C6:C14)</f>
        <v>-66466.325</v>
      </c>
    </row>
    <row r="16" customFormat="false" ht="15" hidden="false" customHeight="false" outlineLevel="0" collapsed="false">
      <c r="A16" s="29" t="s">
        <v>501</v>
      </c>
      <c r="B16" s="43" t="n">
        <f aca="false">1-B15</f>
        <v>0.305</v>
      </c>
      <c r="C16" s="35" t="n">
        <f aca="false">C5+C15</f>
        <v>29168.675</v>
      </c>
      <c r="D16" s="9" t="s">
        <v>502</v>
      </c>
    </row>
    <row r="17" customFormat="false" ht="15" hidden="false" customHeight="false" outlineLevel="0" collapsed="false">
      <c r="A17" s="7" t="s">
        <v>503</v>
      </c>
      <c r="C17" s="33" t="n">
        <f aca="false">-'Flächen und Mieten'!F22</f>
        <v>-9563.5</v>
      </c>
    </row>
    <row r="18" customFormat="false" ht="15" hidden="false" customHeight="false" outlineLevel="0" collapsed="false">
      <c r="A18" s="7" t="s">
        <v>504</v>
      </c>
      <c r="C18" s="10" t="n">
        <f aca="false">-Annahmen!$B$53</f>
        <v>-0</v>
      </c>
    </row>
    <row r="19" customFormat="false" ht="15" hidden="false" customHeight="false" outlineLevel="0" collapsed="false">
      <c r="A19" s="29" t="s">
        <v>505</v>
      </c>
      <c r="C19" s="47" t="n">
        <f aca="false">C16+C17+C18</f>
        <v>19605.175</v>
      </c>
    </row>
    <row r="20" customFormat="false" ht="15" hidden="false" customHeight="false" outlineLevel="0" collapsed="false">
      <c r="A20" s="7" t="s">
        <v>506</v>
      </c>
      <c r="C20" s="33" t="n">
        <f aca="false">(Annahmen!$B$21*Annahmen!$B$48+Annahmen!$B$53)/B16</f>
        <v>16721.3114754098</v>
      </c>
    </row>
    <row r="23" customFormat="false" ht="15" hidden="false" customHeight="false" outlineLevel="0" collapsed="false">
      <c r="A23" s="3" t="s">
        <v>507</v>
      </c>
      <c r="B23" s="4"/>
      <c r="C23" s="4" t="s">
        <v>501</v>
      </c>
      <c r="D23" s="4" t="s">
        <v>508</v>
      </c>
    </row>
    <row r="24" customFormat="false" ht="15" hidden="false" customHeight="false" outlineLevel="0" collapsed="false">
      <c r="A24" s="19" t="n">
        <v>50000</v>
      </c>
      <c r="C24" s="33" t="n">
        <f aca="false">A24*$B$16</f>
        <v>15250</v>
      </c>
      <c r="D24" s="51" t="n">
        <f aca="false">C24-MAX(Annahmen!$B$21*Annahmen!$B$48,A24*Annahmen!$B$49)-Annahmen!$B$53</f>
        <v>10150</v>
      </c>
    </row>
    <row r="25" customFormat="false" ht="15" hidden="false" customHeight="false" outlineLevel="0" collapsed="false">
      <c r="A25" s="19" t="n">
        <v>65000</v>
      </c>
      <c r="C25" s="33" t="n">
        <f aca="false">A25*$B$16</f>
        <v>19825</v>
      </c>
      <c r="D25" s="51" t="n">
        <f aca="false">C25-MAX(Annahmen!$B$21*Annahmen!$B$48,A25*Annahmen!$B$49)-Annahmen!$B$53</f>
        <v>13325</v>
      </c>
    </row>
    <row r="26" customFormat="false" ht="15" hidden="false" customHeight="false" outlineLevel="0" collapsed="false">
      <c r="A26" s="19" t="n">
        <v>80000</v>
      </c>
      <c r="C26" s="33" t="n">
        <f aca="false">A26*$B$16</f>
        <v>24400</v>
      </c>
      <c r="D26" s="51" t="n">
        <f aca="false">C26-MAX(Annahmen!$B$21*Annahmen!$B$48,A26*Annahmen!$B$49)-Annahmen!$B$53</f>
        <v>16400</v>
      </c>
    </row>
    <row r="27" customFormat="false" ht="15" hidden="false" customHeight="false" outlineLevel="0" collapsed="false">
      <c r="A27" s="19" t="n">
        <f aca="false">Annahmen!$B$51</f>
        <v>95635</v>
      </c>
      <c r="C27" s="33" t="n">
        <f aca="false">A27*$B$16</f>
        <v>29168.675</v>
      </c>
      <c r="D27" s="51" t="n">
        <f aca="false">C27-MAX(Annahmen!$B$21*Annahmen!$B$48,A27*Annahmen!$B$49)-Annahmen!$B$53</f>
        <v>19605.175</v>
      </c>
    </row>
    <row r="28" customFormat="false" ht="15" hidden="false" customHeight="false" outlineLevel="0" collapsed="false">
      <c r="A28" s="19" t="n">
        <v>110000</v>
      </c>
      <c r="C28" s="33" t="n">
        <f aca="false">A28*$B$16</f>
        <v>33550</v>
      </c>
      <c r="D28" s="51" t="n">
        <f aca="false">C28-MAX(Annahmen!$B$21*Annahmen!$B$48,A28*Annahmen!$B$49)-Annahmen!$B$53</f>
        <v>22550</v>
      </c>
    </row>
    <row r="30" customFormat="false" ht="15" hidden="false" customHeight="false" outlineLevel="0" collapsed="false">
      <c r="A30" s="16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4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" t="s">
        <v>510</v>
      </c>
    </row>
    <row r="2" customFormat="false" ht="15" hidden="false" customHeight="false" outlineLevel="0" collapsed="false">
      <c r="A2" s="2" t="s">
        <v>511</v>
      </c>
    </row>
    <row r="4" customFormat="false" ht="15" hidden="false" customHeight="false" outlineLevel="0" collapsed="false">
      <c r="A4" s="3" t="s">
        <v>512</v>
      </c>
      <c r="B4" s="4" t="s">
        <v>513</v>
      </c>
      <c r="C4" s="4" t="s">
        <v>514</v>
      </c>
      <c r="D4" s="4" t="s">
        <v>515</v>
      </c>
      <c r="E4" s="4" t="s">
        <v>516</v>
      </c>
      <c r="F4" s="4" t="s">
        <v>517</v>
      </c>
      <c r="G4" s="4" t="s">
        <v>294</v>
      </c>
    </row>
    <row r="5" customFormat="false" ht="15" hidden="false" customHeight="false" outlineLevel="0" collapsed="false">
      <c r="A5" s="7" t="s">
        <v>518</v>
      </c>
      <c r="B5" s="9" t="s">
        <v>519</v>
      </c>
      <c r="C5" s="58" t="n">
        <v>17</v>
      </c>
      <c r="D5" s="58" t="n">
        <v>25</v>
      </c>
      <c r="E5" s="19" t="n">
        <v>11</v>
      </c>
      <c r="F5" s="33" t="n">
        <f aca="false">C5*D5*E5</f>
        <v>4675</v>
      </c>
      <c r="G5" s="41" t="n">
        <f aca="false">F5/$F$14</f>
        <v>0.0488837768599362</v>
      </c>
    </row>
    <row r="6" customFormat="false" ht="15" hidden="false" customHeight="false" outlineLevel="0" collapsed="false">
      <c r="A6" s="7" t="s">
        <v>520</v>
      </c>
      <c r="B6" s="9" t="s">
        <v>521</v>
      </c>
      <c r="C6" s="58" t="n">
        <v>9</v>
      </c>
      <c r="D6" s="58" t="n">
        <v>60</v>
      </c>
      <c r="E6" s="19" t="n">
        <v>14</v>
      </c>
      <c r="F6" s="33" t="n">
        <f aca="false">C6*D6*E6</f>
        <v>7560</v>
      </c>
      <c r="G6" s="41" t="n">
        <f aca="false">F6/$F$14</f>
        <v>0.0790505568045172</v>
      </c>
    </row>
    <row r="7" customFormat="false" ht="15" hidden="false" customHeight="false" outlineLevel="0" collapsed="false">
      <c r="A7" s="7" t="s">
        <v>522</v>
      </c>
      <c r="B7" s="9" t="s">
        <v>523</v>
      </c>
      <c r="C7" s="58" t="n">
        <v>17</v>
      </c>
      <c r="D7" s="58" t="n">
        <v>50</v>
      </c>
      <c r="E7" s="19" t="n">
        <v>14</v>
      </c>
      <c r="F7" s="33" t="n">
        <f aca="false">C7*D7*E7</f>
        <v>11900</v>
      </c>
      <c r="G7" s="41" t="n">
        <f aca="false">F7/$F$14</f>
        <v>0.12443143200711</v>
      </c>
    </row>
    <row r="8" customFormat="false" ht="15" hidden="false" customHeight="false" outlineLevel="0" collapsed="false">
      <c r="A8" s="7" t="s">
        <v>524</v>
      </c>
      <c r="B8" s="9" t="s">
        <v>525</v>
      </c>
      <c r="C8" s="58" t="n">
        <v>26</v>
      </c>
      <c r="D8" s="58" t="n">
        <v>55</v>
      </c>
      <c r="E8" s="19" t="n">
        <v>32</v>
      </c>
      <c r="F8" s="33" t="n">
        <f aca="false">C8*D8*E8</f>
        <v>45760</v>
      </c>
      <c r="G8" s="41" t="n">
        <f aca="false">F8/$F$14</f>
        <v>0.478485909970199</v>
      </c>
    </row>
    <row r="9" customFormat="false" ht="15" hidden="false" customHeight="false" outlineLevel="0" collapsed="false">
      <c r="A9" s="7" t="s">
        <v>526</v>
      </c>
      <c r="B9" s="9" t="s">
        <v>527</v>
      </c>
      <c r="C9" s="58" t="n">
        <v>13</v>
      </c>
      <c r="D9" s="58" t="n">
        <v>20</v>
      </c>
      <c r="E9" s="19" t="n">
        <v>18</v>
      </c>
      <c r="F9" s="33" t="n">
        <f aca="false">C9*D9*E9</f>
        <v>4680</v>
      </c>
      <c r="G9" s="41" t="n">
        <f aca="false">F9/$F$14</f>
        <v>0.0489360589742249</v>
      </c>
    </row>
    <row r="10" customFormat="false" ht="15" hidden="false" customHeight="false" outlineLevel="0" collapsed="false">
      <c r="A10" s="7" t="s">
        <v>528</v>
      </c>
      <c r="B10" s="9" t="s">
        <v>529</v>
      </c>
      <c r="C10" s="58" t="n">
        <v>9</v>
      </c>
      <c r="D10" s="58" t="n">
        <v>70</v>
      </c>
      <c r="E10" s="19" t="n">
        <v>22</v>
      </c>
      <c r="F10" s="33" t="n">
        <f aca="false">C10*D10*E10</f>
        <v>13860</v>
      </c>
      <c r="G10" s="41" t="n">
        <f aca="false">F10/$F$14</f>
        <v>0.144926020808281</v>
      </c>
    </row>
    <row r="11" customFormat="false" ht="15" hidden="false" customHeight="false" outlineLevel="0" collapsed="false">
      <c r="A11" s="7" t="s">
        <v>530</v>
      </c>
      <c r="B11" s="9" t="s">
        <v>531</v>
      </c>
      <c r="C11" s="58" t="n">
        <v>4</v>
      </c>
      <c r="D11" s="58" t="n">
        <v>40</v>
      </c>
      <c r="E11" s="19" t="n">
        <v>45</v>
      </c>
      <c r="F11" s="33" t="n">
        <f aca="false">C11*D11*E11</f>
        <v>7200</v>
      </c>
      <c r="G11" s="41" t="n">
        <f aca="false">F11/$F$14</f>
        <v>0.0752862445757307</v>
      </c>
    </row>
    <row r="14" customFormat="false" ht="15" hidden="false" customHeight="false" outlineLevel="0" collapsed="false">
      <c r="A14" s="29" t="s">
        <v>532</v>
      </c>
      <c r="F14" s="47" t="n">
        <f aca="false">SUM(F5:F11)</f>
        <v>95635</v>
      </c>
      <c r="G14" s="43" t="n">
        <f aca="false">SUM(G5:G11)</f>
        <v>1</v>
      </c>
    </row>
    <row r="15" customFormat="false" ht="15" hidden="false" customHeight="false" outlineLevel="0" collapsed="false">
      <c r="A15" s="7" t="s">
        <v>533</v>
      </c>
      <c r="F15" s="33" t="n">
        <f aca="false">SUM(F5:F7)</f>
        <v>24135</v>
      </c>
      <c r="G15" s="41" t="n">
        <f aca="false">F15/F14</f>
        <v>0.252365765671564</v>
      </c>
    </row>
    <row r="16" customFormat="false" ht="15" hidden="false" customHeight="false" outlineLevel="0" collapsed="false">
      <c r="A16" s="29" t="s">
        <v>534</v>
      </c>
      <c r="F16" s="35" t="n">
        <f aca="false">SUM(F8:F11)</f>
        <v>71500</v>
      </c>
      <c r="G16" s="43" t="n">
        <f aca="false">F16/F14</f>
        <v>0.747634234328436</v>
      </c>
    </row>
    <row r="17" customFormat="false" ht="15" hidden="false" customHeight="false" outlineLevel="0" collapsed="false">
      <c r="A17" s="7" t="s">
        <v>535</v>
      </c>
      <c r="F17" s="28" t="n">
        <f aca="false">SUMPRODUCT(C5:C11,D5:D11)</f>
        <v>4295</v>
      </c>
    </row>
    <row r="18" customFormat="false" ht="15" hidden="false" customHeight="false" outlineLevel="0" collapsed="false">
      <c r="A18" s="7" t="s">
        <v>536</v>
      </c>
      <c r="F18" s="33" t="n">
        <f aca="false">F14*12/(Annahmen!$B$37+Annahmen!$B$38)</f>
        <v>6040.1052631579</v>
      </c>
      <c r="G18" s="9"/>
    </row>
    <row r="19" customFormat="false" ht="15" hidden="false" customHeight="false" outlineLevel="0" collapsed="false">
      <c r="A19" s="7" t="s">
        <v>537</v>
      </c>
      <c r="F19" s="41" t="n">
        <f aca="false">D8/(Annahmen!$B$37+Annahmen!$B$38)</f>
        <v>0.289473684210526</v>
      </c>
    </row>
    <row r="21" customFormat="false" ht="15" hidden="false" customHeight="false" outlineLevel="0" collapsed="false">
      <c r="A21" s="16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539</v>
      </c>
    </row>
    <row r="2" customFormat="false" ht="15" hidden="false" customHeight="false" outlineLevel="0" collapsed="false">
      <c r="A2" s="2" t="s">
        <v>540</v>
      </c>
    </row>
    <row r="4" customFormat="false" ht="15" hidden="false" customHeight="false" outlineLevel="0" collapsed="false">
      <c r="A4" s="3" t="s">
        <v>541</v>
      </c>
      <c r="B4" s="4" t="s">
        <v>223</v>
      </c>
      <c r="C4" s="4" t="s">
        <v>542</v>
      </c>
      <c r="D4" s="4" t="s">
        <v>219</v>
      </c>
      <c r="E4" s="4" t="s">
        <v>224</v>
      </c>
      <c r="F4" s="4" t="s">
        <v>246</v>
      </c>
    </row>
    <row r="5" customFormat="false" ht="15" hidden="false" customHeight="false" outlineLevel="0" collapsed="false">
      <c r="A5" s="29" t="s">
        <v>543</v>
      </c>
      <c r="B5" s="33" t="n">
        <f aca="false">'Flächen und Mieten'!G20</f>
        <v>87847.0588235294</v>
      </c>
      <c r="C5" s="33" t="n">
        <f aca="false">'Flächen und Mieten'!G25</f>
        <v>19200</v>
      </c>
      <c r="D5" s="33" t="n">
        <f aca="false">'Flächen und Mieten'!G22</f>
        <v>114762</v>
      </c>
      <c r="E5" s="35" t="n">
        <f aca="false">SUM(B5:D5)</f>
        <v>221809.058823529</v>
      </c>
    </row>
    <row r="6" customFormat="false" ht="15" hidden="false" customHeight="false" outlineLevel="0" collapsed="false">
      <c r="A6" s="7" t="s">
        <v>544</v>
      </c>
      <c r="B6" s="33" t="n">
        <f aca="false">-(Annahmen!$B$24+Annahmen!$B$26)*Annahmen!$B$72</f>
        <v>-4320</v>
      </c>
      <c r="C6" s="33" t="n">
        <f aca="false">-C5*Annahmen!$B$75</f>
        <v>-576</v>
      </c>
      <c r="D6" s="33" t="n">
        <f aca="false">-D5*Annahmen!$B$75</f>
        <v>-3442.86</v>
      </c>
    </row>
    <row r="7" customFormat="false" ht="15" hidden="false" customHeight="false" outlineLevel="0" collapsed="false">
      <c r="A7" s="7" t="s">
        <v>545</v>
      </c>
      <c r="B7" s="33" t="n">
        <f aca="false">-(Annahmen!$B$23+Annahmen!$B$25)*Annahmen!$B$73</f>
        <v>-7860</v>
      </c>
      <c r="C7" s="33" t="n">
        <f aca="false">-(Annahmen!$B$30+Annahmen!$B$32)*Annahmen!$B$76</f>
        <v>-1320</v>
      </c>
      <c r="D7" s="33" t="n">
        <f aca="false">-Annahmen!$B$21*Annahmen!$B$76</f>
        <v>-4080</v>
      </c>
    </row>
    <row r="8" customFormat="false" ht="15" hidden="false" customHeight="false" outlineLevel="0" collapsed="false">
      <c r="A8" s="7" t="s">
        <v>546</v>
      </c>
      <c r="B8" s="33" t="n">
        <f aca="false">-B5*Annahmen!$B$74</f>
        <v>-1756.94117647059</v>
      </c>
      <c r="C8" s="33" t="n">
        <f aca="false">-C5*Annahmen!$B$78</f>
        <v>-384</v>
      </c>
      <c r="D8" s="33" t="n">
        <f aca="false">-D5*Annahmen!$B$77</f>
        <v>-4590.48</v>
      </c>
    </row>
    <row r="9" customFormat="false" ht="15" hidden="false" customHeight="false" outlineLevel="0" collapsed="false">
      <c r="A9" s="29" t="s">
        <v>547</v>
      </c>
      <c r="B9" s="35" t="n">
        <f aca="false">SUM(B6:B8)</f>
        <v>-13936.9411764706</v>
      </c>
      <c r="C9" s="35" t="n">
        <f aca="false">SUM(C6:C8)</f>
        <v>-2280</v>
      </c>
      <c r="D9" s="35" t="n">
        <f aca="false">SUM(D6:D8)</f>
        <v>-12113.34</v>
      </c>
      <c r="E9" s="35" t="n">
        <f aca="false">SUM(B9:D9)</f>
        <v>-28330.2811764706</v>
      </c>
    </row>
    <row r="10" customFormat="false" ht="15" hidden="false" customHeight="false" outlineLevel="0" collapsed="false">
      <c r="A10" s="29" t="s">
        <v>548</v>
      </c>
      <c r="B10" s="35" t="n">
        <f aca="false">B5+B9</f>
        <v>73910.1176470588</v>
      </c>
      <c r="C10" s="35" t="n">
        <f aca="false">C5+C9</f>
        <v>16920</v>
      </c>
      <c r="D10" s="35" t="n">
        <f aca="false">D5+D9</f>
        <v>102648.66</v>
      </c>
      <c r="E10" s="35" t="n">
        <f aca="false">SUM(B10:D10)</f>
        <v>193478.777647059</v>
      </c>
    </row>
    <row r="11" customFormat="false" ht="15" hidden="false" customHeight="false" outlineLevel="0" collapsed="false">
      <c r="A11" s="7" t="s">
        <v>549</v>
      </c>
      <c r="B11" s="41" t="n">
        <f aca="false">(Annahmen!$B$23+Annahmen!$B$25)/((Annahmen!$B$23+Annahmen!$B$25)+Annahmen!$B$30+Annahmen!$B$32+Annahmen!$B$21)</f>
        <v>0.492481203007519</v>
      </c>
      <c r="C11" s="41" t="n">
        <f aca="false">(Annahmen!$B$30+Annahmen!$B$32)/((Annahmen!$B$23+Annahmen!$B$25)+Annahmen!$B$30+Annahmen!$B$32+Annahmen!$B$21)</f>
        <v>0.12406015037594</v>
      </c>
      <c r="D11" s="41" t="n">
        <f aca="false">1-B11-C11</f>
        <v>0.383458646616541</v>
      </c>
      <c r="E11" s="41" t="n">
        <f aca="false">SUM(B11:D11)</f>
        <v>1</v>
      </c>
    </row>
    <row r="12" customFormat="false" ht="15" hidden="false" customHeight="false" outlineLevel="0" collapsed="false">
      <c r="A12" s="7" t="s">
        <v>550</v>
      </c>
      <c r="B12" s="33" t="n">
        <f aca="false">$E$12*B11</f>
        <v>108739.84962406</v>
      </c>
      <c r="C12" s="33" t="n">
        <f aca="false">$E$12*C11</f>
        <v>27392.4812030075</v>
      </c>
      <c r="D12" s="33" t="n">
        <f aca="false">$E$12*D11</f>
        <v>84667.6691729323</v>
      </c>
      <c r="E12" s="35" t="n">
        <f aca="false">Annahmen!$B$5*Annahmen!$B$6</f>
        <v>220800</v>
      </c>
    </row>
    <row r="13" customFormat="false" ht="15" hidden="false" customHeight="false" outlineLevel="0" collapsed="false">
      <c r="A13" s="7" t="s">
        <v>551</v>
      </c>
      <c r="B13" s="12" t="n">
        <f aca="false">Annahmen!$B$67</f>
        <v>0.04</v>
      </c>
      <c r="C13" s="12" t="n">
        <f aca="false">Annahmen!$B$68</f>
        <v>0.06</v>
      </c>
      <c r="D13" s="12" t="n">
        <f aca="false">Annahmen!$B$69</f>
        <v>0.065</v>
      </c>
    </row>
    <row r="14" customFormat="false" ht="15" hidden="false" customHeight="false" outlineLevel="0" collapsed="false">
      <c r="A14" s="7" t="s">
        <v>552</v>
      </c>
      <c r="B14" s="33" t="n">
        <f aca="false">-B12*B13</f>
        <v>-4349.59398496241</v>
      </c>
      <c r="C14" s="33" t="n">
        <f aca="false">-C12*C13</f>
        <v>-1643.54887218045</v>
      </c>
      <c r="D14" s="33" t="n">
        <f aca="false">-D12*D13</f>
        <v>-5503.3984962406</v>
      </c>
    </row>
    <row r="15" customFormat="false" ht="15" hidden="false" customHeight="false" outlineLevel="0" collapsed="false">
      <c r="A15" s="7" t="s">
        <v>553</v>
      </c>
      <c r="B15" s="33" t="n">
        <f aca="false">B10+B14</f>
        <v>69560.5236620964</v>
      </c>
      <c r="C15" s="33" t="n">
        <f aca="false">C10+C14</f>
        <v>15276.4511278196</v>
      </c>
      <c r="D15" s="33" t="n">
        <f aca="false">D10+D14</f>
        <v>97145.2615037594</v>
      </c>
      <c r="E15" s="33" t="n">
        <f aca="false">SUM(B15:D15)</f>
        <v>181982.236293675</v>
      </c>
    </row>
    <row r="16" customFormat="false" ht="15" hidden="false" customHeight="false" outlineLevel="0" collapsed="false">
      <c r="A16" s="7" t="s">
        <v>554</v>
      </c>
      <c r="B16" s="8" t="n">
        <f aca="false">Annahmen!$B$70</f>
        <v>80</v>
      </c>
      <c r="C16" s="8" t="n">
        <f aca="false">Annahmen!$B$71</f>
        <v>60</v>
      </c>
      <c r="D16" s="8" t="n">
        <f aca="false">Annahmen!$B$71</f>
        <v>60</v>
      </c>
    </row>
    <row r="17" customFormat="false" ht="15" hidden="false" customHeight="false" outlineLevel="0" collapsed="false">
      <c r="A17" s="7" t="s">
        <v>555</v>
      </c>
      <c r="B17" s="40" t="n">
        <f aca="false">((1+B13)^B16-1)/(B13*(1+B13)^B16)</f>
        <v>23.915391846835</v>
      </c>
      <c r="C17" s="40" t="n">
        <f aca="false">((1+C13)^C16-1)/(C13*(1+C13)^C16)</f>
        <v>16.161427705238</v>
      </c>
      <c r="D17" s="40" t="n">
        <f aca="false">((1+D13)^D16-1)/(D13*(1+D13)^D16)</f>
        <v>15.0329657448345</v>
      </c>
      <c r="E17" s="40" t="n">
        <f aca="false">E18/E15</f>
        <v>18.522894860816</v>
      </c>
      <c r="F17" s="9" t="s">
        <v>556</v>
      </c>
    </row>
    <row r="18" customFormat="false" ht="15" hidden="false" customHeight="false" outlineLevel="0" collapsed="false">
      <c r="A18" s="29" t="s">
        <v>557</v>
      </c>
      <c r="B18" s="35" t="n">
        <f aca="false">B15*B17</f>
        <v>1663567.18045007</v>
      </c>
      <c r="C18" s="35" t="n">
        <f aca="false">C15*C17</f>
        <v>246889.260494858</v>
      </c>
      <c r="D18" s="35" t="n">
        <f aca="false">D15*D17</f>
        <v>1460381.388459</v>
      </c>
      <c r="E18" s="35" t="n">
        <f aca="false">SUM(B18:D18)</f>
        <v>3370837.82940393</v>
      </c>
    </row>
    <row r="19" customFormat="false" ht="15" hidden="false" customHeight="false" outlineLevel="0" collapsed="false">
      <c r="A19" s="29" t="s">
        <v>558</v>
      </c>
      <c r="B19" s="47" t="n">
        <f aca="false">B18+B12</f>
        <v>1772307.03007413</v>
      </c>
      <c r="C19" s="47" t="n">
        <f aca="false">C18+C12</f>
        <v>274281.741697865</v>
      </c>
      <c r="D19" s="47" t="n">
        <f aca="false">D18+D12</f>
        <v>1545049.05763193</v>
      </c>
      <c r="E19" s="47" t="n">
        <f aca="false">SUM(B19:D19)</f>
        <v>3591637.82940393</v>
      </c>
    </row>
    <row r="22" customFormat="false" ht="15" hidden="false" customHeight="false" outlineLevel="0" collapsed="false">
      <c r="A22" s="3" t="s">
        <v>559</v>
      </c>
      <c r="B22" s="4" t="s">
        <v>293</v>
      </c>
      <c r="C22" s="4"/>
      <c r="D22" s="4"/>
      <c r="E22" s="4"/>
      <c r="F22" s="4" t="s">
        <v>295</v>
      </c>
    </row>
    <row r="23" customFormat="false" ht="15" hidden="false" customHeight="false" outlineLevel="0" collapsed="false">
      <c r="A23" s="7" t="s">
        <v>560</v>
      </c>
      <c r="B23" s="33" t="n">
        <f aca="false">E12+'Kosten und Finanzierung'!B12+'Kosten und Finanzierung'!B13+'Kosten und Finanzierung'!B14</f>
        <v>4325625.525</v>
      </c>
      <c r="F23" s="9" t="s">
        <v>561</v>
      </c>
    </row>
    <row r="24" customFormat="false" ht="15" hidden="false" customHeight="false" outlineLevel="0" collapsed="false">
      <c r="A24" s="7" t="s">
        <v>49</v>
      </c>
      <c r="B24" s="33" t="n">
        <f aca="false">E19</f>
        <v>3591637.82940393</v>
      </c>
      <c r="F24" s="9"/>
    </row>
    <row r="25" customFormat="false" ht="15" hidden="false" customHeight="false" outlineLevel="0" collapsed="false">
      <c r="A25" s="7" t="s">
        <v>562</v>
      </c>
      <c r="B25" s="33" t="n">
        <f aca="false">MIN(B23,B24)</f>
        <v>3591637.82940393</v>
      </c>
      <c r="F25" s="9" t="s">
        <v>563</v>
      </c>
    </row>
    <row r="26" customFormat="false" ht="15" hidden="false" customHeight="false" outlineLevel="0" collapsed="false">
      <c r="A26" s="29" t="s">
        <v>564</v>
      </c>
      <c r="B26" s="47" t="n">
        <f aca="false">B25*(1-Annahmen!$B$79)</f>
        <v>3232474.04646354</v>
      </c>
      <c r="F26" s="9" t="s">
        <v>565</v>
      </c>
    </row>
    <row r="27" customFormat="false" ht="15" hidden="false" customHeight="false" outlineLevel="0" collapsed="false">
      <c r="A27" s="7" t="s">
        <v>311</v>
      </c>
      <c r="B27" s="33" t="n">
        <f aca="false">'Kosten und Finanzierung'!B18</f>
        <v>4894879.26909598</v>
      </c>
      <c r="F27" s="9"/>
    </row>
    <row r="28" customFormat="false" ht="15" hidden="false" customHeight="false" outlineLevel="0" collapsed="false">
      <c r="A28" s="7" t="s">
        <v>566</v>
      </c>
      <c r="B28" s="33" t="n">
        <f aca="false">'Kosten und Finanzierung'!B29</f>
        <v>4894879.26909598</v>
      </c>
      <c r="F28" s="9"/>
    </row>
    <row r="29" customFormat="false" ht="15" hidden="false" customHeight="false" outlineLevel="0" collapsed="false">
      <c r="A29" s="29" t="s">
        <v>567</v>
      </c>
      <c r="B29" s="45" t="n">
        <f aca="false">B28/B26</f>
        <v>1.51428262028931</v>
      </c>
      <c r="F29" s="9" t="s">
        <v>568</v>
      </c>
    </row>
    <row r="30" customFormat="false" ht="15" hidden="false" customHeight="false" outlineLevel="0" collapsed="false">
      <c r="A30" s="7" t="s">
        <v>569</v>
      </c>
      <c r="B30" s="41" t="n">
        <f aca="false">('Kosten und Finanzierung'!B24+'Kosten und Finanzierung'!B25+'Kosten und Finanzierung'!B26)/B26</f>
        <v>0.911840267743121</v>
      </c>
      <c r="F30" s="9"/>
    </row>
    <row r="31" customFormat="false" ht="15" hidden="false" customHeight="false" outlineLevel="0" collapsed="false">
      <c r="A31" s="29" t="s">
        <v>570</v>
      </c>
      <c r="B31" s="53" t="n">
        <f aca="false">E19-B27</f>
        <v>-1303241.43969205</v>
      </c>
      <c r="F31" s="9" t="s">
        <v>571</v>
      </c>
    </row>
    <row r="32" customFormat="false" ht="15" hidden="false" customHeight="false" outlineLevel="0" collapsed="false">
      <c r="A32" s="7" t="s">
        <v>572</v>
      </c>
      <c r="B32" s="33" t="n">
        <f aca="false">MAX(0,B28-0.8*B26)</f>
        <v>2308900.03192515</v>
      </c>
      <c r="F32" s="9" t="s">
        <v>573</v>
      </c>
    </row>
    <row r="33" customFormat="false" ht="15" hidden="false" customHeight="false" outlineLevel="0" collapsed="false">
      <c r="A33" s="7" t="s">
        <v>574</v>
      </c>
      <c r="B33" s="31" t="n">
        <f aca="false">E19/E5</f>
        <v>16.1924758549263</v>
      </c>
      <c r="F33" s="9" t="s">
        <v>575</v>
      </c>
    </row>
    <row r="34" customFormat="false" ht="15" hidden="false" customHeight="false" outlineLevel="0" collapsed="false">
      <c r="A34" s="7" t="s">
        <v>576</v>
      </c>
      <c r="B34" s="31" t="n">
        <f aca="false">B27/E5</f>
        <v>22.0679862899122</v>
      </c>
      <c r="F34" s="9"/>
    </row>
    <row r="36" customFormat="false" ht="15" hidden="false" customHeight="false" outlineLevel="0" collapsed="false">
      <c r="A36" s="16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3"/>
  </cols>
  <sheetData>
    <row r="1" customFormat="false" ht="19.7" hidden="false" customHeight="false" outlineLevel="0" collapsed="false">
      <c r="A1" s="1" t="s">
        <v>578</v>
      </c>
    </row>
    <row r="2" customFormat="false" ht="15" hidden="false" customHeight="false" outlineLevel="0" collapsed="false">
      <c r="A2" s="2" t="s">
        <v>579</v>
      </c>
    </row>
    <row r="4" customFormat="false" ht="15" hidden="false" customHeight="false" outlineLevel="0" collapsed="false">
      <c r="A4" s="3" t="s">
        <v>363</v>
      </c>
      <c r="B4" s="4" t="s">
        <v>580</v>
      </c>
      <c r="C4" s="4" t="s">
        <v>581</v>
      </c>
      <c r="D4" s="4" t="s">
        <v>582</v>
      </c>
      <c r="E4" s="4" t="s">
        <v>583</v>
      </c>
      <c r="F4" s="4" t="s">
        <v>584</v>
      </c>
      <c r="G4" s="4" t="s">
        <v>585</v>
      </c>
      <c r="H4" s="4" t="s">
        <v>586</v>
      </c>
      <c r="I4" s="4" t="s">
        <v>587</v>
      </c>
      <c r="J4" s="4" t="s">
        <v>588</v>
      </c>
      <c r="K4" s="4" t="s">
        <v>589</v>
      </c>
    </row>
    <row r="5" customFormat="false" ht="15" hidden="false" customHeight="false" outlineLevel="0" collapsed="false">
      <c r="A5" s="7" t="s">
        <v>590</v>
      </c>
      <c r="B5" s="33" t="n">
        <f aca="false">'Flächen und Mieten'!$G$21*(1+Annahmen!$B$81)^(1-1)</f>
        <v>87847.0588235294</v>
      </c>
      <c r="C5" s="33" t="n">
        <f aca="false">'Flächen und Mieten'!$G$21*(1+Annahmen!$B$81)^(2-1)</f>
        <v>89164.7647058823</v>
      </c>
      <c r="D5" s="33" t="n">
        <f aca="false">'Flächen und Mieten'!$G$21*(1+Annahmen!$B$81)^(3-1)</f>
        <v>90502.2361764706</v>
      </c>
      <c r="E5" s="33" t="n">
        <f aca="false">'Flächen und Mieten'!$G$21*(1+Annahmen!$B$81)^(4-1)</f>
        <v>91859.7697191176</v>
      </c>
      <c r="F5" s="33" t="n">
        <f aca="false">'Flächen und Mieten'!$G$21*(1+Annahmen!$B$81)^(5-1)</f>
        <v>93237.6662649044</v>
      </c>
      <c r="G5" s="33" t="n">
        <f aca="false">'Flächen und Mieten'!$G$21*(1+Annahmen!$B$81)^(6-1)</f>
        <v>94636.2312588779</v>
      </c>
      <c r="H5" s="33" t="n">
        <f aca="false">'Flächen und Mieten'!$G$21*(1+Annahmen!$B$81)^(7-1)</f>
        <v>96055.7747277611</v>
      </c>
      <c r="I5" s="33" t="n">
        <f aca="false">'Flächen und Mieten'!$G$21*(1+Annahmen!$B$81)^(8-1)</f>
        <v>97496.6113486775</v>
      </c>
      <c r="J5" s="33" t="n">
        <f aca="false">'Flächen und Mieten'!$G$21*(1+Annahmen!$B$81)^(9-1)</f>
        <v>98959.0605189077</v>
      </c>
      <c r="K5" s="33" t="n">
        <f aca="false">'Flächen und Mieten'!$G$21*(1+Annahmen!$B$81)^(10-1)</f>
        <v>100443.446426691</v>
      </c>
    </row>
    <row r="6" customFormat="false" ht="15" hidden="false" customHeight="false" outlineLevel="0" collapsed="false">
      <c r="A6" s="7" t="s">
        <v>591</v>
      </c>
      <c r="B6" s="33" t="n">
        <f aca="false">'Flächen und Mieten'!$G$25*(1+Annahmen!$B$83)^(1-1)</f>
        <v>19200</v>
      </c>
      <c r="C6" s="33" t="n">
        <f aca="false">'Flächen und Mieten'!$G$25*(1+Annahmen!$B$83)^(2-1)</f>
        <v>19584</v>
      </c>
      <c r="D6" s="33" t="n">
        <f aca="false">'Flächen und Mieten'!$G$25*(1+Annahmen!$B$83)^(3-1)</f>
        <v>19975.68</v>
      </c>
      <c r="E6" s="33" t="n">
        <f aca="false">'Flächen und Mieten'!$G$25*(1+Annahmen!$B$83)^(4-1)</f>
        <v>20375.1936</v>
      </c>
      <c r="F6" s="33" t="n">
        <f aca="false">'Flächen und Mieten'!$G$25*(1+Annahmen!$B$83)^(5-1)</f>
        <v>20782.697472</v>
      </c>
      <c r="G6" s="33" t="n">
        <f aca="false">'Flächen und Mieten'!$G$25*(1+Annahmen!$B$83)^(6-1)</f>
        <v>21198.35142144</v>
      </c>
      <c r="H6" s="33" t="n">
        <f aca="false">'Flächen und Mieten'!$G$25*(1+Annahmen!$B$83)^(7-1)</f>
        <v>21622.3184498688</v>
      </c>
      <c r="I6" s="33" t="n">
        <f aca="false">'Flächen und Mieten'!$G$25*(1+Annahmen!$B$83)^(8-1)</f>
        <v>22054.7648188662</v>
      </c>
      <c r="J6" s="33" t="n">
        <f aca="false">'Flächen und Mieten'!$G$25*(1+Annahmen!$B$83)^(9-1)</f>
        <v>22495.8601152435</v>
      </c>
      <c r="K6" s="33" t="n">
        <f aca="false">'Flächen und Mieten'!$G$25*(1+Annahmen!$B$83)^(10-1)</f>
        <v>22945.7773175484</v>
      </c>
    </row>
    <row r="7" customFormat="false" ht="15" hidden="false" customHeight="false" outlineLevel="0" collapsed="false">
      <c r="A7" s="7" t="s">
        <v>399</v>
      </c>
      <c r="B7" s="33" t="n">
        <f aca="false">'Flächen und Mieten'!$G$22*(1+Annahmen!$B$82)^(1-1)</f>
        <v>114762</v>
      </c>
      <c r="C7" s="33" t="n">
        <f aca="false">'Flächen und Mieten'!$G$22*(1+Annahmen!$B$82)^(2-1)</f>
        <v>116483.43</v>
      </c>
      <c r="D7" s="33" t="n">
        <f aca="false">'Flächen und Mieten'!$G$22*(1+Annahmen!$B$82)^(3-1)</f>
        <v>118230.68145</v>
      </c>
      <c r="E7" s="33" t="n">
        <f aca="false">'Flächen und Mieten'!$G$22*(1+Annahmen!$B$82)^(4-1)</f>
        <v>120004.14167175</v>
      </c>
      <c r="F7" s="33" t="n">
        <f aca="false">'Flächen und Mieten'!$G$22*(1+Annahmen!$B$82)^(5-1)</f>
        <v>121804.203796826</v>
      </c>
      <c r="G7" s="33" t="n">
        <f aca="false">'Flächen und Mieten'!$G$22*(1+Annahmen!$B$82)^(6-1)</f>
        <v>123631.266853779</v>
      </c>
      <c r="H7" s="33" t="n">
        <f aca="false">'Flächen und Mieten'!$G$22*(1+Annahmen!$B$82)^(7-1)</f>
        <v>125485.735856585</v>
      </c>
      <c r="I7" s="33" t="n">
        <f aca="false">'Flächen und Mieten'!$G$22*(1+Annahmen!$B$82)^(8-1)</f>
        <v>127368.021894434</v>
      </c>
      <c r="J7" s="33" t="n">
        <f aca="false">'Flächen und Mieten'!$G$22*(1+Annahmen!$B$82)^(9-1)</f>
        <v>129278.542222851</v>
      </c>
      <c r="K7" s="33" t="n">
        <f aca="false">'Flächen und Mieten'!$G$22*(1+Annahmen!$B$82)^(10-1)</f>
        <v>131217.720356193</v>
      </c>
    </row>
    <row r="8" customFormat="false" ht="15" hidden="false" customHeight="false" outlineLevel="0" collapsed="false">
      <c r="A8" s="7" t="s">
        <v>592</v>
      </c>
      <c r="B8" s="51" t="n">
        <f aca="false">-Annahmen!$B$50*(B5+B6+B7)</f>
        <v>-22180.9058823529</v>
      </c>
      <c r="C8" s="51" t="n">
        <f aca="false">-Annahmen!$B$50*(C5+C6+C7)</f>
        <v>-22523.2194705882</v>
      </c>
      <c r="D8" s="51" t="n">
        <f aca="false">-Annahmen!$B$50*(D5+D6+D7)</f>
        <v>-22870.8597626471</v>
      </c>
      <c r="E8" s="51" t="n">
        <f aca="false">-Annahmen!$B$50*(E5+E6+E7)</f>
        <v>-23223.9104990868</v>
      </c>
      <c r="F8" s="51" t="n">
        <f aca="false">-Annahmen!$B$50*(F5+F6+F7)</f>
        <v>-23582.4567533731</v>
      </c>
      <c r="G8" s="51" t="n">
        <f aca="false">-Annahmen!$B$50*(G5+G6+G7)</f>
        <v>-23946.5849534097</v>
      </c>
      <c r="H8" s="51" t="n">
        <f aca="false">-Annahmen!$B$50*(H5+H6+H7)</f>
        <v>-24316.3829034215</v>
      </c>
      <c r="I8" s="51" t="n">
        <f aca="false">-Annahmen!$B$50*(I5+I6+I7)</f>
        <v>-24691.9398061978</v>
      </c>
      <c r="J8" s="51" t="n">
        <f aca="false">-Annahmen!$B$50*(J5+J6+J7)</f>
        <v>-25073.3462857002</v>
      </c>
      <c r="K8" s="51" t="n">
        <f aca="false">-Annahmen!$B$50*(K5+K6+K7)</f>
        <v>-25460.6944100433</v>
      </c>
    </row>
    <row r="9" customFormat="false" ht="15" hidden="false" customHeight="false" outlineLevel="0" collapsed="false">
      <c r="A9" s="29" t="s">
        <v>593</v>
      </c>
      <c r="B9" s="35" t="n">
        <f aca="false">SUM(B5:B8)</f>
        <v>199628.152941176</v>
      </c>
      <c r="C9" s="35" t="n">
        <f aca="false">SUM(C5:C8)</f>
        <v>202708.975235294</v>
      </c>
      <c r="D9" s="35" t="n">
        <f aca="false">SUM(D5:D8)</f>
        <v>205837.737863823</v>
      </c>
      <c r="E9" s="35" t="n">
        <f aca="false">SUM(E5:E8)</f>
        <v>209015.194491781</v>
      </c>
      <c r="F9" s="35" t="n">
        <f aca="false">SUM(F5:F8)</f>
        <v>212242.110780358</v>
      </c>
      <c r="G9" s="35" t="n">
        <f aca="false">SUM(G5:G8)</f>
        <v>215519.264580687</v>
      </c>
      <c r="H9" s="35" t="n">
        <f aca="false">SUM(H5:H8)</f>
        <v>218847.446130794</v>
      </c>
      <c r="I9" s="35" t="n">
        <f aca="false">SUM(I5:I8)</f>
        <v>222227.45825578</v>
      </c>
      <c r="J9" s="35" t="n">
        <f aca="false">SUM(J5:J8)</f>
        <v>225660.116571302</v>
      </c>
      <c r="K9" s="35" t="n">
        <f aca="false">SUM(K5:K8)</f>
        <v>229146.24969039</v>
      </c>
    </row>
    <row r="10" customFormat="false" ht="15" hidden="false" customHeight="false" outlineLevel="0" collapsed="false">
      <c r="A10" s="7" t="s">
        <v>594</v>
      </c>
      <c r="B10" s="51" t="n">
        <f aca="false">-'Tilgung Jahre'!D5</f>
        <v>-206268.963454799</v>
      </c>
      <c r="C10" s="51" t="n">
        <f aca="false">-'Tilgung Jahre'!D6</f>
        <v>-206268.963454799</v>
      </c>
      <c r="D10" s="51" t="n">
        <f aca="false">-'Tilgung Jahre'!D7</f>
        <v>-206268.963454799</v>
      </c>
      <c r="E10" s="51" t="n">
        <f aca="false">-'Tilgung Jahre'!D8</f>
        <v>-206268.963454799</v>
      </c>
      <c r="F10" s="51" t="n">
        <f aca="false">-'Tilgung Jahre'!D9</f>
        <v>-206268.963454799</v>
      </c>
      <c r="G10" s="51" t="n">
        <f aca="false">-'Tilgung Jahre'!D10</f>
        <v>-206268.963454799</v>
      </c>
      <c r="H10" s="51" t="n">
        <f aca="false">-'Tilgung Jahre'!D11</f>
        <v>-206268.963454799</v>
      </c>
      <c r="I10" s="51" t="n">
        <f aca="false">-'Tilgung Jahre'!D12</f>
        <v>-206268.963454799</v>
      </c>
      <c r="J10" s="51" t="n">
        <f aca="false">-'Tilgung Jahre'!D13</f>
        <v>-206268.963454799</v>
      </c>
      <c r="K10" s="51" t="n">
        <f aca="false">-'Tilgung Jahre'!D14</f>
        <v>-206268.963454799</v>
      </c>
    </row>
    <row r="11" customFormat="false" ht="15" hidden="false" customHeight="false" outlineLevel="0" collapsed="false">
      <c r="A11" s="29" t="s">
        <v>595</v>
      </c>
      <c r="B11" s="53" t="n">
        <f aca="false">B9+B10</f>
        <v>-6640.81051362262</v>
      </c>
      <c r="C11" s="53" t="n">
        <f aca="false">C9+C10</f>
        <v>-3559.98821950497</v>
      </c>
      <c r="D11" s="53" t="n">
        <f aca="false">D9+D10</f>
        <v>-431.225590975606</v>
      </c>
      <c r="E11" s="53" t="n">
        <f aca="false">E9+E10</f>
        <v>2746.23103698171</v>
      </c>
      <c r="F11" s="53" t="n">
        <f aca="false">F9+F10</f>
        <v>5973.14732555844</v>
      </c>
      <c r="G11" s="53" t="n">
        <f aca="false">G9+G10</f>
        <v>9250.30112588778</v>
      </c>
      <c r="H11" s="53" t="n">
        <f aca="false">H9+H10</f>
        <v>12578.4826759945</v>
      </c>
      <c r="I11" s="53" t="n">
        <f aca="false">I9+I10</f>
        <v>15958.4948009808</v>
      </c>
      <c r="J11" s="53" t="n">
        <f aca="false">J9+J10</f>
        <v>19391.1531165024</v>
      </c>
      <c r="K11" s="53" t="n">
        <f aca="false">K9+K10</f>
        <v>22877.2862355905</v>
      </c>
    </row>
    <row r="12" customFormat="false" ht="15" hidden="false" customHeight="false" outlineLevel="0" collapsed="false">
      <c r="A12" s="29" t="s">
        <v>43</v>
      </c>
      <c r="B12" s="55" t="n">
        <f aca="false">B9/-B10</f>
        <v>0.967805090972507</v>
      </c>
      <c r="C12" s="55" t="n">
        <f aca="false">C9/-C10</f>
        <v>0.982741037915357</v>
      </c>
      <c r="D12" s="55" t="n">
        <f aca="false">D9/-D10</f>
        <v>0.997909401473915</v>
      </c>
      <c r="E12" s="55" t="n">
        <f aca="false">E9/-E10</f>
        <v>1.01331383544565</v>
      </c>
      <c r="F12" s="55" t="n">
        <f aca="false">F9/-F10</f>
        <v>1.02895805178595</v>
      </c>
      <c r="G12" s="55" t="n">
        <f aca="false">G9/-G10</f>
        <v>1.04484582154753</v>
      </c>
      <c r="H12" s="55" t="n">
        <f aca="false">H9/-H10</f>
        <v>1.06098097583523</v>
      </c>
      <c r="I12" s="55" t="n">
        <f aca="false">I9/-I10</f>
        <v>1.07736740677653</v>
      </c>
      <c r="J12" s="55" t="n">
        <f aca="false">J9/-J10</f>
        <v>1.09400906850803</v>
      </c>
      <c r="K12" s="55" t="n">
        <f aca="false">K9/-K10</f>
        <v>1.1109099781781</v>
      </c>
    </row>
    <row r="13" customFormat="false" ht="15" hidden="false" customHeight="false" outlineLevel="0" collapsed="false">
      <c r="A13" s="7" t="s">
        <v>367</v>
      </c>
      <c r="B13" s="33" t="n">
        <f aca="false">'Tilgung Jahre'!E5</f>
        <v>4845202.66753035</v>
      </c>
      <c r="C13" s="33" t="n">
        <f aca="false">'Tilgung Jahre'!E6</f>
        <v>4793903.65848968</v>
      </c>
      <c r="D13" s="33" t="n">
        <f aca="false">'Tilgung Jahre'!E7</f>
        <v>4740926.91171301</v>
      </c>
      <c r="E13" s="33" t="n">
        <f aca="false">'Tilgung Jahre'!E8</f>
        <v>4686215.13376875</v>
      </c>
      <c r="F13" s="33" t="n">
        <f aca="false">'Tilgung Jahre'!E9</f>
        <v>4629708.99600259</v>
      </c>
      <c r="G13" s="33" t="n">
        <f aca="false">'Tilgung Jahre'!E10</f>
        <v>4571347.05976781</v>
      </c>
      <c r="H13" s="33" t="n">
        <f aca="false">'Tilgung Jahre'!E11</f>
        <v>4511065.6988333</v>
      </c>
      <c r="I13" s="33" t="n">
        <f aca="false">'Tilgung Jahre'!E12</f>
        <v>4448799.01886049</v>
      </c>
      <c r="J13" s="33" t="n">
        <f aca="false">'Tilgung Jahre'!E13</f>
        <v>4384478.77383606</v>
      </c>
      <c r="K13" s="33" t="n">
        <f aca="false">'Tilgung Jahre'!E14</f>
        <v>4318034.27934322</v>
      </c>
    </row>
    <row r="14" customFormat="false" ht="15" hidden="false" customHeight="false" outlineLevel="0" collapsed="false">
      <c r="A14" s="7" t="s">
        <v>405</v>
      </c>
      <c r="B14" s="51" t="n">
        <f aca="false">('Gastro Betrieb'!$C$16*12*(1+Annahmen!$B$82)^(1-1))-B7-Annahmen!$B$53*12</f>
        <v>235262.1</v>
      </c>
      <c r="C14" s="51" t="n">
        <f aca="false">('Gastro Betrieb'!$C$16*12*(1+Annahmen!$B$82)^(2-1))-C7-Annahmen!$B$53*12</f>
        <v>238791.0315</v>
      </c>
      <c r="D14" s="51" t="n">
        <f aca="false">('Gastro Betrieb'!$C$16*12*(1+Annahmen!$B$82)^(3-1))-D7-Annahmen!$B$53*12</f>
        <v>242372.8969725</v>
      </c>
      <c r="E14" s="51" t="n">
        <f aca="false">('Gastro Betrieb'!$C$16*12*(1+Annahmen!$B$82)^(4-1))-E7-Annahmen!$B$53*12</f>
        <v>246008.490427087</v>
      </c>
      <c r="F14" s="51" t="n">
        <f aca="false">('Gastro Betrieb'!$C$16*12*(1+Annahmen!$B$82)^(5-1))-F7-Annahmen!$B$53*12</f>
        <v>249698.617783494</v>
      </c>
      <c r="G14" s="51" t="n">
        <f aca="false">('Gastro Betrieb'!$C$16*12*(1+Annahmen!$B$82)^(6-1))-G7-Annahmen!$B$53*12</f>
        <v>253444.097050246</v>
      </c>
      <c r="H14" s="51" t="n">
        <f aca="false">('Gastro Betrieb'!$C$16*12*(1+Annahmen!$B$82)^(7-1))-H7-Annahmen!$B$53*12</f>
        <v>257245.758506</v>
      </c>
      <c r="I14" s="51" t="n">
        <f aca="false">('Gastro Betrieb'!$C$16*12*(1+Annahmen!$B$82)^(8-1))-I7-Annahmen!$B$53*12</f>
        <v>261104.44488359</v>
      </c>
      <c r="J14" s="51" t="n">
        <f aca="false">('Gastro Betrieb'!$C$16*12*(1+Annahmen!$B$82)^(9-1))-J7-Annahmen!$B$53*12</f>
        <v>265021.011556843</v>
      </c>
      <c r="K14" s="51" t="n">
        <f aca="false">('Gastro Betrieb'!$C$16*12*(1+Annahmen!$B$82)^(10-1))-K7-Annahmen!$B$53*12</f>
        <v>268996.326730196</v>
      </c>
    </row>
    <row r="16" customFormat="false" ht="15" hidden="false" customHeight="false" outlineLevel="0" collapsed="false">
      <c r="A16" s="16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597</v>
      </c>
    </row>
    <row r="2" customFormat="false" ht="15" hidden="false" customHeight="false" outlineLevel="0" collapsed="false">
      <c r="A2" s="2" t="s">
        <v>598</v>
      </c>
    </row>
    <row r="4" customFormat="false" ht="15" hidden="false" customHeight="false" outlineLevel="0" collapsed="false">
      <c r="A4" s="3" t="s">
        <v>599</v>
      </c>
      <c r="B4" s="4" t="s">
        <v>600</v>
      </c>
      <c r="C4" s="4" t="s">
        <v>601</v>
      </c>
      <c r="D4" s="4" t="s">
        <v>602</v>
      </c>
    </row>
    <row r="5" customFormat="false" ht="15" hidden="false" customHeight="false" outlineLevel="0" collapsed="false">
      <c r="A5" s="29" t="s">
        <v>603</v>
      </c>
      <c r="B5" s="51" t="n">
        <f aca="false">'Ertrag und Cashflow'!B11</f>
        <v>-553.40087613522</v>
      </c>
      <c r="C5" s="56" t="n">
        <f aca="false">'Ertrag und Cashflow'!B9/Tilgungsplan!N3</f>
        <v>0.967805090972507</v>
      </c>
      <c r="D5" s="51"/>
    </row>
    <row r="6" customFormat="false" ht="15" hidden="false" customHeight="false" outlineLevel="0" collapsed="false">
      <c r="A6" s="7" t="s">
        <v>604</v>
      </c>
      <c r="B6" s="51" t="n">
        <f aca="false">'Ertrag und Cashflow'!B11-'Tilgung Jahre'!E14*0.01/12</f>
        <v>-4151.76277558791</v>
      </c>
      <c r="C6" s="56" t="n">
        <f aca="false">'Ertrag und Cashflow'!B9/(Tilgungsplan!N3+'Tilgung Jahre'!E14*0.01/12)</f>
        <v>0.800275438499408</v>
      </c>
      <c r="D6" s="51" t="n">
        <f aca="false">B6-$B$5</f>
        <v>-3598.36189945269</v>
      </c>
    </row>
    <row r="7" customFormat="false" ht="15" hidden="false" customHeight="false" outlineLevel="0" collapsed="false">
      <c r="A7" s="7" t="s">
        <v>605</v>
      </c>
      <c r="B7" s="51" t="n">
        <f aca="false">'Ertrag und Cashflow'!B11-0.1*'Ertrag und Cashflow'!B5*(1-Annahmen!$B$50)</f>
        <v>-1212.25381731169</v>
      </c>
      <c r="C7" s="56" t="n">
        <f aca="false">('Ertrag und Cashflow'!B9-0.1*'Ertrag und Cashflow'!B5*(1-Annahmen!$B$50))/Tilgungsplan!N3</f>
        <v>0.929475353130729</v>
      </c>
      <c r="D7" s="51" t="n">
        <f aca="false">B7-$B$5</f>
        <v>-658.852941176471</v>
      </c>
    </row>
    <row r="8" customFormat="false" ht="15" hidden="false" customHeight="false" outlineLevel="0" collapsed="false">
      <c r="A8" s="7" t="s">
        <v>606</v>
      </c>
      <c r="B8" s="51" t="n">
        <f aca="false">'Ertrag und Cashflow'!B11+(MAX(Annahmen!$B$21*Annahmen!$B$48,Annahmen!$B$51*0.8*Annahmen!$B$49)-'Flächen und Mieten'!F22)*(1-Annahmen!$B$50)</f>
        <v>-2274.83087613522</v>
      </c>
      <c r="C8" s="56" t="n">
        <f aca="false">('Ertrag und Cashflow'!B9+(MAX(Annahmen!$B$21*Annahmen!$B$48,Annahmen!$B$51*0.8*Annahmen!$B$49)-'Flächen und Mieten'!F22)*(1-Annahmen!$B$50))/Tilgungsplan!N3</f>
        <v>0.867658371592076</v>
      </c>
      <c r="D8" s="51" t="n">
        <f aca="false">B8-$B$5</f>
        <v>-1721.43</v>
      </c>
    </row>
    <row r="9" customFormat="false" ht="15" hidden="false" customHeight="false" outlineLevel="0" collapsed="false">
      <c r="A9" s="7" t="s">
        <v>607</v>
      </c>
      <c r="B9" s="51" t="n">
        <f aca="false">'Ertrag und Cashflow'!B11+(MAX(Annahmen!$B$21*Annahmen!$B$48,Annahmen!$B$51*0.6*Annahmen!$B$49)-'Flächen und Mieten'!F22)*(1-Annahmen!$B$50)</f>
        <v>-3996.26087613522</v>
      </c>
      <c r="C9" s="56" t="n">
        <f aca="false">('Ertrag und Cashflow'!B9+(MAX(Annahmen!$B$21*Annahmen!$B$48,Annahmen!$B$51*0.6*Annahmen!$B$49)-'Flächen und Mieten'!F22)*(1-Annahmen!$B$50))/Tilgungsplan!N3</f>
        <v>0.767511652211646</v>
      </c>
      <c r="D9" s="51" t="n">
        <f aca="false">B9-$B$5</f>
        <v>-3442.86</v>
      </c>
    </row>
    <row r="10" customFormat="false" ht="15" hidden="false" customHeight="false" outlineLevel="0" collapsed="false">
      <c r="A10" s="7" t="s">
        <v>608</v>
      </c>
      <c r="B10" s="51" t="n">
        <f aca="false">'Ertrag und Cashflow'!B11-0.1*'Kosten und Finanzierung'!B12*(1+Annahmen!$B$17)*('Kosten und Finanzierung'!B31+Annahmen!$B$61)/12</f>
        <v>-1952.88550609852</v>
      </c>
      <c r="C10" s="56" t="n">
        <f aca="false">'Ertrag und Cashflow'!B9/(Tilgungsplan!N3+0.1*'Kosten und Finanzierung'!B12*(1+Annahmen!$B$17)*('Kosten und Finanzierung'!B31+Annahmen!$B$61)/12)</f>
        <v>0.894941566778948</v>
      </c>
      <c r="D10" s="51" t="n">
        <f aca="false">B10-$B$5</f>
        <v>-1399.4846299633</v>
      </c>
    </row>
    <row r="11" customFormat="false" ht="15" hidden="false" customHeight="false" outlineLevel="0" collapsed="false">
      <c r="A11" s="7" t="s">
        <v>609</v>
      </c>
      <c r="B11" s="51" t="n">
        <f aca="false">'Ertrag und Cashflow'!B11-'Flächen und Mieten'!F23*(1-Annahmen!$B$50)</f>
        <v>-1408.40087613522</v>
      </c>
      <c r="C11" s="56" t="n">
        <f aca="false">('Ertrag und Cashflow'!B9-'Flächen und Mieten'!F23*(1-Annahmen!$B$50))/Tilgungsplan!N3</f>
        <v>0.918064209803788</v>
      </c>
      <c r="D11" s="51" t="n">
        <f aca="false">B11-$B$5</f>
        <v>-855</v>
      </c>
    </row>
    <row r="12" customFormat="false" ht="15" hidden="false" customHeight="false" outlineLevel="0" collapsed="false">
      <c r="A12" s="7" t="s">
        <v>610</v>
      </c>
      <c r="B12" s="51" t="n">
        <f aca="false">'Ertrag und Cashflow'!B11-'Ertrag und Cashflow'!B6*(1-Annahmen!$B$50)</f>
        <v>-1993.40087613522</v>
      </c>
      <c r="C12" s="56" t="n">
        <f aca="false">('Ertrag und Cashflow'!B9-'Ertrag und Cashflow'!B6*(1-Annahmen!$B$50))/Tilgungsplan!N3</f>
        <v>0.884030975319927</v>
      </c>
      <c r="D12" s="51" t="n">
        <f aca="false">B12-$B$5</f>
        <v>-1440</v>
      </c>
    </row>
    <row r="13" customFormat="false" ht="15" hidden="false" customHeight="false" outlineLevel="0" collapsed="false">
      <c r="A13" s="7" t="s">
        <v>611</v>
      </c>
      <c r="B13" s="51" t="n">
        <f aca="false">'Ertrag und Cashflow'!B11-'Ertrag und Cashflow'!B7*(1-Annahmen!$B$50)</f>
        <v>-9160.55087613522</v>
      </c>
      <c r="C13" s="56" t="n">
        <f aca="false">('Ertrag und Cashflow'!B9-'Ertrag und Cashflow'!B7*(1-Annahmen!$B$50))/Tilgungsplan!N3</f>
        <v>0.467071494070355</v>
      </c>
      <c r="D13" s="51" t="n">
        <f aca="false">B13-$B$5</f>
        <v>-8607.15</v>
      </c>
    </row>
    <row r="15" customFormat="false" ht="15" hidden="false" customHeight="false" outlineLevel="0" collapsed="false">
      <c r="A15" s="16" t="s">
        <v>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613</v>
      </c>
    </row>
    <row r="2" customFormat="false" ht="15" hidden="false" customHeight="false" outlineLevel="0" collapsed="false">
      <c r="A2" s="2" t="s">
        <v>614</v>
      </c>
    </row>
    <row r="3" customFormat="false" ht="15" hidden="false" customHeight="false" outlineLevel="0" collapsed="false">
      <c r="A3" s="44" t="s">
        <v>615</v>
      </c>
    </row>
    <row r="4" customFormat="false" ht="15" hidden="false" customHeight="false" outlineLevel="0" collapsed="false">
      <c r="A4" s="7" t="s">
        <v>616</v>
      </c>
      <c r="B4" s="19" t="n">
        <v>90</v>
      </c>
      <c r="E4" s="9" t="s">
        <v>617</v>
      </c>
    </row>
    <row r="5" customFormat="false" ht="15" hidden="false" customHeight="false" outlineLevel="0" collapsed="false">
      <c r="A5" s="7" t="s">
        <v>618</v>
      </c>
      <c r="B5" s="19" t="n">
        <v>600</v>
      </c>
      <c r="E5" s="9" t="s">
        <v>619</v>
      </c>
    </row>
    <row r="6" customFormat="false" ht="15" hidden="false" customHeight="false" outlineLevel="0" collapsed="false">
      <c r="A6" s="7" t="s">
        <v>620</v>
      </c>
      <c r="B6" s="20" t="n">
        <v>0.56</v>
      </c>
      <c r="E6" s="9" t="s">
        <v>621</v>
      </c>
    </row>
    <row r="7" customFormat="false" ht="15" hidden="false" customHeight="false" outlineLevel="0" collapsed="false">
      <c r="A7" s="7" t="s">
        <v>622</v>
      </c>
      <c r="B7" s="19" t="n">
        <v>300</v>
      </c>
      <c r="E7" s="9" t="s">
        <v>623</v>
      </c>
    </row>
    <row r="9" customFormat="false" ht="15" hidden="false" customHeight="false" outlineLevel="0" collapsed="false">
      <c r="A9" s="3" t="s">
        <v>624</v>
      </c>
      <c r="B9" s="4" t="s">
        <v>625</v>
      </c>
      <c r="C9" s="4" t="s">
        <v>626</v>
      </c>
      <c r="D9" s="4" t="s">
        <v>627</v>
      </c>
      <c r="E9" s="4" t="s">
        <v>246</v>
      </c>
    </row>
    <row r="10" customFormat="false" ht="15" hidden="false" customHeight="false" outlineLevel="0" collapsed="false">
      <c r="A10" s="7" t="s">
        <v>628</v>
      </c>
      <c r="B10" s="18" t="n">
        <v>60</v>
      </c>
      <c r="C10" s="18" t="n">
        <v>60</v>
      </c>
      <c r="D10" s="18" t="n">
        <v>60</v>
      </c>
    </row>
    <row r="11" customFormat="false" ht="15" hidden="false" customHeight="false" outlineLevel="0" collapsed="false">
      <c r="A11" s="7" t="s">
        <v>629</v>
      </c>
      <c r="B11" s="20" t="n">
        <v>0.174</v>
      </c>
      <c r="C11" s="20" t="n">
        <v>0.362</v>
      </c>
      <c r="D11" s="20" t="n">
        <v>0.6</v>
      </c>
      <c r="E11" s="9" t="s">
        <v>630</v>
      </c>
    </row>
    <row r="12" customFormat="false" ht="15" hidden="false" customHeight="false" outlineLevel="0" collapsed="false">
      <c r="A12" s="7" t="s">
        <v>616</v>
      </c>
      <c r="B12" s="33" t="n">
        <f aca="false">$B$4</f>
        <v>90</v>
      </c>
      <c r="C12" s="33" t="n">
        <f aca="false">$B$4</f>
        <v>90</v>
      </c>
      <c r="D12" s="33" t="n">
        <f aca="false">$B$4</f>
        <v>90</v>
      </c>
    </row>
    <row r="13" customFormat="false" ht="15" hidden="false" customHeight="false" outlineLevel="0" collapsed="false">
      <c r="A13" s="7" t="s">
        <v>631</v>
      </c>
      <c r="B13" s="33" t="n">
        <f aca="false">B12*365*B11/12</f>
        <v>476.325</v>
      </c>
      <c r="C13" s="33" t="n">
        <f aca="false">C12*365*C11/12</f>
        <v>990.975</v>
      </c>
      <c r="D13" s="33" t="n">
        <f aca="false">D12*365*D11/12</f>
        <v>1642.5</v>
      </c>
    </row>
    <row r="14" customFormat="false" ht="15" hidden="false" customHeight="false" outlineLevel="0" collapsed="false">
      <c r="A14" s="7" t="s">
        <v>632</v>
      </c>
      <c r="B14" s="33" t="n">
        <f aca="false">B13*(1-$B$6)</f>
        <v>209.583</v>
      </c>
      <c r="C14" s="33" t="n">
        <f aca="false">C13*(1-$B$6)</f>
        <v>436.029</v>
      </c>
      <c r="D14" s="33" t="n">
        <f aca="false">D13*(1-$B$6)</f>
        <v>722.7</v>
      </c>
    </row>
    <row r="15" customFormat="false" ht="15" hidden="false" customHeight="false" outlineLevel="0" collapsed="false">
      <c r="A15" s="7" t="s">
        <v>633</v>
      </c>
      <c r="B15" s="33" t="n">
        <f aca="false">B10*Annahmen!$B$47*(1-Annahmen!$B$50)</f>
        <v>603.529411764706</v>
      </c>
      <c r="C15" s="33" t="n">
        <f aca="false">C10*Annahmen!$B$47*(1-Annahmen!$B$50)</f>
        <v>603.529411764706</v>
      </c>
      <c r="D15" s="33" t="n">
        <f aca="false">D10*Annahmen!$B$47*(1-Annahmen!$B$50)</f>
        <v>603.529411764706</v>
      </c>
      <c r="E15" s="9" t="s">
        <v>634</v>
      </c>
    </row>
    <row r="16" customFormat="false" ht="15" hidden="false" customHeight="false" outlineLevel="0" collapsed="false">
      <c r="A16" s="7" t="s">
        <v>635</v>
      </c>
      <c r="B16" s="33" t="n">
        <f aca="false">B10*$B$5</f>
        <v>36000</v>
      </c>
      <c r="C16" s="33" t="n">
        <f aca="false">C10*$B$5</f>
        <v>36000</v>
      </c>
      <c r="D16" s="33" t="n">
        <f aca="false">D10*$B$5</f>
        <v>36000</v>
      </c>
    </row>
    <row r="17" customFormat="false" ht="15" hidden="false" customHeight="false" outlineLevel="0" collapsed="false">
      <c r="A17" s="7" t="s">
        <v>636</v>
      </c>
      <c r="B17" s="33" t="n">
        <f aca="false">-B16*(Annahmen!$B$60+Annahmen!$B$61)/12</f>
        <v>-150</v>
      </c>
      <c r="C17" s="33" t="n">
        <f aca="false">-C16*(Annahmen!$B$60+Annahmen!$B$61)/12</f>
        <v>-150</v>
      </c>
      <c r="D17" s="33" t="n">
        <f aca="false">-D16*(Annahmen!$B$60+Annahmen!$B$61)/12</f>
        <v>-150</v>
      </c>
    </row>
    <row r="18" customFormat="false" ht="15" hidden="false" customHeight="false" outlineLevel="0" collapsed="false">
      <c r="A18" s="29" t="s">
        <v>637</v>
      </c>
      <c r="B18" s="53" t="n">
        <f aca="false">B14-B15+B17</f>
        <v>-543.946411764706</v>
      </c>
      <c r="C18" s="53" t="n">
        <f aca="false">C14-C15+C17</f>
        <v>-317.500411764706</v>
      </c>
      <c r="D18" s="53" t="n">
        <f aca="false">D14-D15+D17</f>
        <v>-30.8294117647059</v>
      </c>
    </row>
    <row r="19" customFormat="false" ht="15" hidden="false" customHeight="false" outlineLevel="0" collapsed="false">
      <c r="A19" s="29" t="s">
        <v>638</v>
      </c>
      <c r="B19" s="52" t="n">
        <f aca="false">B18</f>
        <v>-543.946411764706</v>
      </c>
      <c r="C19" s="52" t="n">
        <f aca="false">C18</f>
        <v>-317.500411764706</v>
      </c>
      <c r="D19" s="52" t="n">
        <f aca="false">D18</f>
        <v>-30.8294117647059</v>
      </c>
    </row>
    <row r="20" customFormat="false" ht="15" hidden="false" customHeight="false" outlineLevel="0" collapsed="false">
      <c r="A20" s="29" t="s">
        <v>639</v>
      </c>
      <c r="B20" s="29" t="str">
        <f aca="false">IF(B19&gt;=$B$7,"lohnt sich","lohnt sich nicht")</f>
        <v>lohnt sich nicht</v>
      </c>
      <c r="C20" s="29" t="str">
        <f aca="false">IF(C19&gt;=$B$7,"lohnt sich","lohnt sich nicht")</f>
        <v>lohnt sich nicht</v>
      </c>
      <c r="D20" s="29" t="str">
        <f aca="false">IF(D19&gt;=$B$7,"lohnt sich","lohnt sich nicht")</f>
        <v>lohnt sich nicht</v>
      </c>
    </row>
    <row r="21" customFormat="false" ht="15" hidden="false" customHeight="false" outlineLevel="0" collapsed="false">
      <c r="A21" s="7" t="s">
        <v>640</v>
      </c>
      <c r="B21" s="41" t="n">
        <f aca="false">(B15-B17)/(B12*365/12*(1-$B$6))</f>
        <v>0.625595194491246</v>
      </c>
      <c r="C21" s="41" t="n">
        <f aca="false">(C15-C17)/(C12*365/12*(1-$B$6))</f>
        <v>0.625595194491246</v>
      </c>
      <c r="D21" s="41" t="n">
        <f aca="false">(D15-D17)/(D12*365/12*(1-$B$6))</f>
        <v>0.625595194491246</v>
      </c>
    </row>
    <row r="22" customFormat="false" ht="15" hidden="false" customHeight="false" outlineLevel="0" collapsed="false">
      <c r="A22" s="44" t="s">
        <v>641</v>
      </c>
    </row>
    <row r="23" customFormat="false" ht="15" hidden="false" customHeight="false" outlineLevel="0" collapsed="false">
      <c r="A23" s="44" t="str">
        <f aca="false">IF(MAX(B19:D19)&gt;=B7,"Mindestens ein Szenario erreicht den Mindest-Mehrertrag: Airbnb prüfen.","Kein Szenario erreicht den Mindest-Mehrertrag von "&amp;TEXT(B7,"#,##0")&amp;" € pro Monat. Langfristige Vermietung ist besser, Airbnb bleibt aus dem Konzept.")</f>
        <v>Kein Szenario erreicht den Mindest-Mehrertrag von 300 € pro Monat. Langfristige Vermietung ist besser, Airbnb bleibt aus dem Konzept.</v>
      </c>
    </row>
    <row r="24" customFormat="false" ht="15" hidden="false" customHeight="false" outlineLevel="0" collapsed="false">
      <c r="A24" s="16" t="s">
        <v>642</v>
      </c>
    </row>
    <row r="26" customFormat="false" ht="15" hidden="false" customHeight="false" outlineLevel="0" collapsed="false">
      <c r="A26" s="44" t="s">
        <v>643</v>
      </c>
    </row>
    <row r="27" customFormat="false" ht="15" hidden="false" customHeight="false" outlineLevel="0" collapsed="false">
      <c r="A27" s="16" t="s">
        <v>644</v>
      </c>
    </row>
    <row r="28" customFormat="false" ht="15" hidden="false" customHeight="false" outlineLevel="0" collapsed="false">
      <c r="A28" s="16" t="s">
        <v>645</v>
      </c>
    </row>
    <row r="29" customFormat="false" ht="15" hidden="false" customHeight="false" outlineLevel="0" collapsed="false">
      <c r="A29" s="16" t="s">
        <v>646</v>
      </c>
    </row>
    <row r="30" customFormat="false" ht="15" hidden="false" customHeight="false" outlineLevel="0" collapsed="false">
      <c r="A30" s="16" t="s">
        <v>647</v>
      </c>
    </row>
    <row r="31" customFormat="false" ht="15" hidden="false" customHeight="false" outlineLevel="0" collapsed="false">
      <c r="A31" s="16" t="s">
        <v>648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62"/>
    <col collapsed="false" customWidth="true" hidden="false" outlineLevel="0" max="4" min="4" style="0" width="16"/>
  </cols>
  <sheetData>
    <row r="1" customFormat="false" ht="19.7" hidden="false" customHeight="false" outlineLevel="0" collapsed="false">
      <c r="A1" s="1" t="s">
        <v>649</v>
      </c>
    </row>
    <row r="2" customFormat="false" ht="15" hidden="false" customHeight="false" outlineLevel="0" collapsed="false">
      <c r="A2" s="2" t="s">
        <v>650</v>
      </c>
    </row>
    <row r="4" customFormat="false" ht="15" hidden="false" customHeight="false" outlineLevel="0" collapsed="false">
      <c r="A4" s="3" t="s">
        <v>651</v>
      </c>
      <c r="B4" s="4" t="s">
        <v>652</v>
      </c>
      <c r="C4" s="4" t="s">
        <v>653</v>
      </c>
      <c r="D4" s="4" t="s">
        <v>654</v>
      </c>
    </row>
    <row r="5" customFormat="false" ht="15" hidden="false" customHeight="false" outlineLevel="0" collapsed="false">
      <c r="A5" s="28" t="n">
        <v>1</v>
      </c>
      <c r="B5" s="59" t="s">
        <v>655</v>
      </c>
      <c r="C5" s="60" t="s">
        <v>656</v>
      </c>
      <c r="D5" s="61" t="s">
        <v>657</v>
      </c>
    </row>
    <row r="6" customFormat="false" ht="23.85" hidden="false" customHeight="false" outlineLevel="0" collapsed="false">
      <c r="A6" s="28" t="n">
        <v>2</v>
      </c>
      <c r="B6" s="59" t="s">
        <v>658</v>
      </c>
      <c r="C6" s="60" t="s">
        <v>659</v>
      </c>
      <c r="D6" s="61" t="s">
        <v>657</v>
      </c>
    </row>
    <row r="7" customFormat="false" ht="15" hidden="false" customHeight="false" outlineLevel="0" collapsed="false">
      <c r="A7" s="28" t="n">
        <v>3</v>
      </c>
      <c r="B7" s="59" t="s">
        <v>660</v>
      </c>
      <c r="C7" s="60" t="s">
        <v>661</v>
      </c>
      <c r="D7" s="61" t="s">
        <v>657</v>
      </c>
    </row>
    <row r="8" customFormat="false" ht="15" hidden="false" customHeight="false" outlineLevel="0" collapsed="false">
      <c r="A8" s="28" t="n">
        <v>4</v>
      </c>
      <c r="B8" s="59" t="s">
        <v>662</v>
      </c>
      <c r="C8" s="60" t="s">
        <v>663</v>
      </c>
      <c r="D8" s="61" t="s">
        <v>664</v>
      </c>
    </row>
    <row r="9" customFormat="false" ht="23.85" hidden="false" customHeight="false" outlineLevel="0" collapsed="false">
      <c r="A9" s="28" t="n">
        <v>5</v>
      </c>
      <c r="B9" s="59" t="s">
        <v>665</v>
      </c>
      <c r="C9" s="60" t="s">
        <v>666</v>
      </c>
      <c r="D9" s="61" t="s">
        <v>667</v>
      </c>
    </row>
    <row r="10" customFormat="false" ht="23.85" hidden="false" customHeight="false" outlineLevel="0" collapsed="false">
      <c r="A10" s="28" t="n">
        <v>6</v>
      </c>
      <c r="B10" s="59" t="s">
        <v>668</v>
      </c>
      <c r="C10" s="60" t="s">
        <v>669</v>
      </c>
      <c r="D10" s="61" t="s">
        <v>664</v>
      </c>
    </row>
    <row r="11" customFormat="false" ht="23.85" hidden="false" customHeight="false" outlineLevel="0" collapsed="false">
      <c r="A11" s="28" t="n">
        <v>7</v>
      </c>
      <c r="B11" s="59" t="s">
        <v>670</v>
      </c>
      <c r="C11" s="60" t="s">
        <v>671</v>
      </c>
      <c r="D11" s="61" t="s">
        <v>664</v>
      </c>
    </row>
    <row r="12" customFormat="false" ht="15" hidden="false" customHeight="false" outlineLevel="0" collapsed="false">
      <c r="A12" s="28" t="n">
        <v>8</v>
      </c>
      <c r="B12" s="59" t="s">
        <v>672</v>
      </c>
      <c r="C12" s="60" t="s">
        <v>673</v>
      </c>
      <c r="D12" s="61" t="s">
        <v>664</v>
      </c>
    </row>
    <row r="13" customFormat="false" ht="15" hidden="false" customHeight="false" outlineLevel="0" collapsed="false">
      <c r="A13" s="28" t="n">
        <v>9</v>
      </c>
      <c r="B13" s="59" t="s">
        <v>674</v>
      </c>
      <c r="C13" s="60" t="s">
        <v>675</v>
      </c>
      <c r="D13" s="61" t="s">
        <v>664</v>
      </c>
    </row>
    <row r="14" customFormat="false" ht="15" hidden="false" customHeight="false" outlineLevel="0" collapsed="false">
      <c r="A14" s="28" t="n">
        <v>10</v>
      </c>
      <c r="B14" s="59" t="s">
        <v>676</v>
      </c>
      <c r="C14" s="60" t="s">
        <v>677</v>
      </c>
      <c r="D14" s="61" t="s">
        <v>664</v>
      </c>
    </row>
    <row r="15" customFormat="false" ht="15" hidden="false" customHeight="false" outlineLevel="0" collapsed="false">
      <c r="A15" s="28" t="n">
        <v>11</v>
      </c>
      <c r="B15" s="59" t="s">
        <v>678</v>
      </c>
      <c r="C15" s="60" t="s">
        <v>679</v>
      </c>
      <c r="D15" s="61" t="s">
        <v>657</v>
      </c>
    </row>
    <row r="16" customFormat="false" ht="23.85" hidden="false" customHeight="false" outlineLevel="0" collapsed="false">
      <c r="A16" s="28" t="n">
        <v>12</v>
      </c>
      <c r="B16" s="59" t="s">
        <v>680</v>
      </c>
      <c r="C16" s="60" t="s">
        <v>681</v>
      </c>
      <c r="D16" s="61" t="s">
        <v>664</v>
      </c>
    </row>
    <row r="17" customFormat="false" ht="15" hidden="false" customHeight="false" outlineLevel="0" collapsed="false">
      <c r="A17" s="28" t="n">
        <v>13</v>
      </c>
      <c r="B17" s="59" t="s">
        <v>682</v>
      </c>
      <c r="C17" s="60" t="s">
        <v>683</v>
      </c>
      <c r="D17" s="61" t="s">
        <v>664</v>
      </c>
    </row>
    <row r="18" customFormat="false" ht="15" hidden="false" customHeight="false" outlineLevel="0" collapsed="false">
      <c r="A18" s="28" t="n">
        <v>14</v>
      </c>
      <c r="B18" s="59" t="s">
        <v>684</v>
      </c>
      <c r="C18" s="60" t="s">
        <v>685</v>
      </c>
      <c r="D18" s="61" t="s">
        <v>664</v>
      </c>
    </row>
    <row r="19" customFormat="false" ht="15" hidden="false" customHeight="false" outlineLevel="0" collapsed="false">
      <c r="A19" s="28" t="n">
        <v>15</v>
      </c>
      <c r="B19" s="59" t="s">
        <v>686</v>
      </c>
      <c r="C19" s="60" t="s">
        <v>687</v>
      </c>
      <c r="D19" s="61" t="s">
        <v>657</v>
      </c>
    </row>
    <row r="20" customFormat="false" ht="15" hidden="false" customHeight="false" outlineLevel="0" collapsed="false">
      <c r="A20" s="28" t="n">
        <v>16</v>
      </c>
      <c r="B20" s="59" t="s">
        <v>688</v>
      </c>
      <c r="C20" s="60" t="s">
        <v>689</v>
      </c>
      <c r="D20" s="61" t="s">
        <v>664</v>
      </c>
    </row>
    <row r="21" customFormat="false" ht="22.35" hidden="false" customHeight="false" outlineLevel="0" collapsed="false">
      <c r="A21" s="28" t="n">
        <v>17</v>
      </c>
      <c r="B21" s="59" t="s">
        <v>690</v>
      </c>
      <c r="C21" s="60" t="s">
        <v>691</v>
      </c>
      <c r="D21" s="61" t="s">
        <v>664</v>
      </c>
    </row>
    <row r="22" customFormat="false" ht="15" hidden="false" customHeight="false" outlineLevel="0" collapsed="false">
      <c r="A22" s="28" t="n">
        <v>18</v>
      </c>
      <c r="B22" s="59" t="s">
        <v>692</v>
      </c>
      <c r="C22" s="60" t="s">
        <v>693</v>
      </c>
      <c r="D22" s="61" t="s">
        <v>664</v>
      </c>
    </row>
    <row r="23" customFormat="false" ht="23.85" hidden="false" customHeight="false" outlineLevel="0" collapsed="false">
      <c r="A23" s="28" t="n">
        <v>19</v>
      </c>
      <c r="B23" s="59" t="s">
        <v>694</v>
      </c>
      <c r="C23" s="60" t="s">
        <v>695</v>
      </c>
      <c r="D23" s="61" t="s">
        <v>657</v>
      </c>
    </row>
    <row r="24" customFormat="false" ht="23.85" hidden="false" customHeight="false" outlineLevel="0" collapsed="false">
      <c r="A24" s="28" t="n">
        <v>20</v>
      </c>
      <c r="B24" s="59" t="s">
        <v>696</v>
      </c>
      <c r="C24" s="60" t="s">
        <v>697</v>
      </c>
      <c r="D24" s="61" t="s">
        <v>664</v>
      </c>
    </row>
    <row r="25" customFormat="false" ht="15" hidden="false" customHeight="false" outlineLevel="0" collapsed="false">
      <c r="A25" s="28" t="n">
        <v>21</v>
      </c>
      <c r="B25" s="59" t="s">
        <v>698</v>
      </c>
      <c r="C25" s="60" t="s">
        <v>699</v>
      </c>
      <c r="D25" s="61" t="s">
        <v>664</v>
      </c>
    </row>
    <row r="26" customFormat="false" ht="23.85" hidden="false" customHeight="false" outlineLevel="0" collapsed="false">
      <c r="A26" s="28" t="n">
        <v>22</v>
      </c>
      <c r="B26" s="59" t="s">
        <v>700</v>
      </c>
      <c r="C26" s="60" t="s">
        <v>701</v>
      </c>
      <c r="D26" s="61" t="s">
        <v>664</v>
      </c>
    </row>
    <row r="27" customFormat="false" ht="22.35" hidden="false" customHeight="false" outlineLevel="0" collapsed="false">
      <c r="A27" s="28" t="n">
        <v>23</v>
      </c>
      <c r="B27" s="59" t="s">
        <v>702</v>
      </c>
      <c r="C27" s="60" t="s">
        <v>703</v>
      </c>
      <c r="D27" s="61" t="s">
        <v>664</v>
      </c>
    </row>
    <row r="28" customFormat="false" ht="15" hidden="false" customHeight="false" outlineLevel="0" collapsed="false">
      <c r="A28" s="28" t="n">
        <v>24</v>
      </c>
      <c r="B28" s="59" t="s">
        <v>704</v>
      </c>
      <c r="C28" s="60" t="s">
        <v>705</v>
      </c>
      <c r="D28" s="61" t="s">
        <v>664</v>
      </c>
    </row>
    <row r="29" customFormat="false" ht="15" hidden="false" customHeight="false" outlineLevel="0" collapsed="false">
      <c r="A29" s="28" t="n">
        <v>25</v>
      </c>
      <c r="B29" s="59" t="s">
        <v>706</v>
      </c>
      <c r="C29" s="60" t="s">
        <v>707</v>
      </c>
      <c r="D29" s="61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2026-10-20T09:14:09Z</dcterms:created>
  <dc:creator>openpyxl</dc:creator>
  <dc:description/>
  <dc:language>en-US</dc:language>
  <cp:lastModifiedBy/>
  <dcterms:modified xsi:type="dcterms:W3CDTF">2026-10-20T09:14:11Z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