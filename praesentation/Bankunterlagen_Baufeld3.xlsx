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nnahmen" sheetId="2" state="visible" r:id="rId4"/>
    <sheet name="Flächen und Mieten" sheetId="3" state="visible" r:id="rId5"/>
    <sheet name="Kosten und Finanzierung" sheetId="4" state="visible" r:id="rId6"/>
    <sheet name="Bauphase" sheetId="5" state="visible" r:id="rId7"/>
    <sheet name="Tilgung Jahre" sheetId="6" state="visible" r:id="rId8"/>
    <sheet name="Tilgungsplan" sheetId="7" state="visible" r:id="rId9"/>
    <sheet name="Ertrag und Cashflow" sheetId="8" state="visible" r:id="rId10"/>
    <sheet name="Gastro Betrieb" sheetId="9" state="visible" r:id="rId11"/>
    <sheet name="Ertragswert" sheetId="10" state="visible" r:id="rId12"/>
    <sheet name="Prognose" sheetId="11" state="visible" r:id="rId13"/>
    <sheet name="Sensitivität" sheetId="12" state="visible" r:id="rId14"/>
    <sheet name="Airbnb Prüfung" sheetId="13" state="visible" r:id="rId15"/>
    <sheet name="Bankunterlagen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<sst xmlns="http://schemas.openxmlformats.org/spreadsheetml/2006/main" count="610" uniqueCount="483">
  <si>
    <t xml:space="preserve">Neue Mitte Werlte, Baufeld 3: Bankunterlagen</t>
  </si>
  <si>
    <t xml:space="preserve">Gastro im ganzen EG (ca. 460 m²) und 8 Wohnungen auf 1. OG und Staffelgeschoss in Holzbau. Bauherr: Bessam Hasso. Stand Oktober 2026.</t>
  </si>
  <si>
    <t xml:space="preserve">Kennzahl</t>
  </si>
  <si>
    <t xml:space="preserve">Wert</t>
  </si>
  <si>
    <t xml:space="preserve">Erläuterung</t>
  </si>
  <si>
    <t xml:space="preserve">Projekt</t>
  </si>
  <si>
    <t xml:space="preserve">Grundstück (m²)</t>
  </si>
  <si>
    <t xml:space="preserve">Baufeld 3, Neue Mitte Werlte</t>
  </si>
  <si>
    <t xml:space="preserve">Grundfläche Gebäude (m²)</t>
  </si>
  <si>
    <t xml:space="preserve">GRZ 0,6 erlaubt max. 576 m²</t>
  </si>
  <si>
    <t xml:space="preserve">Bruttogrundfläche gesamt (m²)</t>
  </si>
  <si>
    <t xml:space="preserve">EG 540, 1. OG 540, Staffel 460</t>
  </si>
  <si>
    <t xml:space="preserve">Wohneinheiten</t>
  </si>
  <si>
    <t xml:space="preserve">5 im 1. OG, 3 im Staffelgeschoss (Holzbau)</t>
  </si>
  <si>
    <t xml:space="preserve">Wohnfläche gesamt (m²)</t>
  </si>
  <si>
    <t xml:space="preserve">Gastrofläche (m²)</t>
  </si>
  <si>
    <t xml:space="preserve">ca. 150 Plätze innen, ca. 40 Terrasse</t>
  </si>
  <si>
    <t xml:space="preserve">Kosten und Finanzierung</t>
  </si>
  <si>
    <t xml:space="preserve">Gesamtkosten</t>
  </si>
  <si>
    <t xml:space="preserve">inkl. Finanzierungskosten der Bau- und Anlaufzeit</t>
  </si>
  <si>
    <t xml:space="preserve">Darlehen gesamt (100 % Fremdkapital)</t>
  </si>
  <si>
    <t xml:space="preserve">kein Eigenkapital</t>
  </si>
  <si>
    <t xml:space="preserve">davon KfW 297/298/299</t>
  </si>
  <si>
    <t xml:space="preserve">zinsverbilligt</t>
  </si>
  <si>
    <t xml:space="preserve">Anteil KfW</t>
  </si>
  <si>
    <t xml:space="preserve">Mischzins</t>
  </si>
  <si>
    <t xml:space="preserve">KfW 2,5 % / 3,0 %, Hausbank 4,0 % (Annahmen)</t>
  </si>
  <si>
    <t xml:space="preserve">Kapitaldienst pro Monat (Anfangstilgung 1 %)</t>
  </si>
  <si>
    <t xml:space="preserve">nach 12 Monaten tilgungsfreier Anlaufzeit</t>
  </si>
  <si>
    <t xml:space="preserve">Restschuld nach 10 Jahren Zinsbindung</t>
  </si>
  <si>
    <t xml:space="preserve">Ertrag und Wert</t>
  </si>
  <si>
    <t xml:space="preserve">Nettoertrag Immobilie pro Monat (Miete + Pacht − Rücklagen)</t>
  </si>
  <si>
    <t xml:space="preserve">Betriebsergebnis Gastro nach Pacht pro Monat</t>
  </si>
  <si>
    <t xml:space="preserve">bei 50.000 € Umsatz, ohne Lohn des Bauherrn</t>
  </si>
  <si>
    <t xml:space="preserve">Ergebnis pro Monat nach Kapitaldienst</t>
  </si>
  <si>
    <t xml:space="preserve">Kapitaldienstdeckung gesamt (DSCR)</t>
  </si>
  <si>
    <t xml:space="preserve">Bank verlangt meist mindestens 1,2</t>
  </si>
  <si>
    <t xml:space="preserve">Kapitaldienstdeckung nur Immobilie</t>
  </si>
  <si>
    <t xml:space="preserve">ohne Gastro-Gewinn</t>
  </si>
  <si>
    <t xml:space="preserve">Ertragswert</t>
  </si>
  <si>
    <t xml:space="preserve">vereinfachtes Ertragswertverfahren</t>
  </si>
  <si>
    <t xml:space="preserve">Beleihungswert nach Abschlag</t>
  </si>
  <si>
    <t xml:space="preserve">Beleihungsauslauf</t>
  </si>
  <si>
    <t xml:space="preserve">Darlehen / Beleihungswert</t>
  </si>
  <si>
    <t xml:space="preserve">Airbnb für 2 Apartments</t>
  </si>
  <si>
    <t xml:space="preserve">Alle Beträge sind Planungsannahmen. KfW-Zinsen und Rahmen sind Stand Ratgeber Oktober 2026 und müssen bei Hausbank und KfW bestätigt werden.</t>
  </si>
  <si>
    <t xml:space="preserve">Annahmen</t>
  </si>
  <si>
    <t xml:space="preserve">Blaue Zellen sind Eingaben, alle anderen Blätter rechnen daraus. Quelle 'Bauherr' = Vorgabe von Bessam Hasso, 'Annahme' = Planungsannahme ohne Beleg.</t>
  </si>
  <si>
    <t xml:space="preserve">Annahme</t>
  </si>
  <si>
    <t xml:space="preserve">Quelle / Hinweis</t>
  </si>
  <si>
    <t xml:space="preserve">Grundstück</t>
  </si>
  <si>
    <t xml:space="preserve">Grundstücksfläche (m²)</t>
  </si>
  <si>
    <t xml:space="preserve">Konzeptheft Neue Mitte Werlte, Baufeld 3</t>
  </si>
  <si>
    <t xml:space="preserve">Kaufpreis je m² (€)</t>
  </si>
  <si>
    <t xml:space="preserve">Bauherr / Stadt Werlte</t>
  </si>
  <si>
    <t xml:space="preserve">Grunderwerbsteuer</t>
  </si>
  <si>
    <t xml:space="preserve">Niedersachsen 5,0 %</t>
  </si>
  <si>
    <t xml:space="preserve">Notar und Grundbuch</t>
  </si>
  <si>
    <t xml:space="preserve">Bauwerk</t>
  </si>
  <si>
    <t xml:space="preserve">BGF Erdgeschoss (m²)</t>
  </si>
  <si>
    <t xml:space="preserve">Grundfläche 540 m², GRZ 0,6 erlaubt max. 576 m²</t>
  </si>
  <si>
    <t xml:space="preserve">BGF 1. Obergeschoss (m²)</t>
  </si>
  <si>
    <t xml:space="preserve">zweites Vollgeschoss</t>
  </si>
  <si>
    <t xml:space="preserve">BGF Staffelgeschoss in Holzbau (m²)</t>
  </si>
  <si>
    <t xml:space="preserve">0,8 m rundum zurückgesetzt</t>
  </si>
  <si>
    <t xml:space="preserve">Baukosten je m² BGF (€)</t>
  </si>
  <si>
    <t xml:space="preserve">Bauherr (Bekanntenpreis), durch Angebote zu belegen</t>
  </si>
  <si>
    <t xml:space="preserve">Holzbau günstiger als Massivbau (€/m²)</t>
  </si>
  <si>
    <t xml:space="preserve">Annahme, Angebot der Zimmerei nötig</t>
  </si>
  <si>
    <t xml:space="preserve">Umlaufende Dachterrasse (m²)</t>
  </si>
  <si>
    <t xml:space="preserve">schmal, ca. 0,8 m, zählt nicht zur BGF</t>
  </si>
  <si>
    <t xml:space="preserve">Dachterrasse Preis (€/m²)</t>
  </si>
  <si>
    <t xml:space="preserve">Baunebenkosten</t>
  </si>
  <si>
    <t xml:space="preserve">Architekt, Statik, Gebühren; Annahme</t>
  </si>
  <si>
    <t xml:space="preserve">Mehrkosten Effizienzhaus 40 und QNG</t>
  </si>
  <si>
    <t xml:space="preserve">Annahme, auf Bau inkl. Baunebenkosten; Architekt muss bestätigen</t>
  </si>
  <si>
    <t xml:space="preserve">Gastro-Ausbau (€)</t>
  </si>
  <si>
    <t xml:space="preserve">Bauherr; für 460 m² knapp, Angebote nötig</t>
  </si>
  <si>
    <t xml:space="preserve">Flächen und Nutzung</t>
  </si>
  <si>
    <t xml:space="preserve">Gastrofläche im EG (m²)</t>
  </si>
  <si>
    <t xml:space="preserve">EG abzüglich Treppenhaus, Aufzug, Wohn-Eingang</t>
  </si>
  <si>
    <t xml:space="preserve">Nettogrundfläche Anteil der Gastrofläche</t>
  </si>
  <si>
    <t xml:space="preserve">Annahme, für KfW 299</t>
  </si>
  <si>
    <t xml:space="preserve">Wohnfläche 1. OG (m²)</t>
  </si>
  <si>
    <t xml:space="preserve">5 Wohnungen</t>
  </si>
  <si>
    <t xml:space="preserve">Wohnungen im 1. OG</t>
  </si>
  <si>
    <t xml:space="preserve">Bauherr</t>
  </si>
  <si>
    <t xml:space="preserve">Wohnfläche Staffelgeschoss (m²)</t>
  </si>
  <si>
    <t xml:space="preserve">3 Penthouses</t>
  </si>
  <si>
    <t xml:space="preserve">Wohnungen im Staffelgeschoss</t>
  </si>
  <si>
    <t xml:space="preserve">davon vom Bauherrn selbst genutzt (Anzahl)</t>
  </si>
  <si>
    <t xml:space="preserve">0 = alle vermietet. Selbstnutzung: KfW 297 statt 298, Miete entfällt</t>
  </si>
  <si>
    <t xml:space="preserve">Einnahmen und Gastro</t>
  </si>
  <si>
    <t xml:space="preserve">Kaltmiete Wohnen (€/m² Wohnfläche)</t>
  </si>
  <si>
    <t xml:space="preserve">Bauherr: 950 € für 85 m²; Portale Neubau Werlte ca. 10,7–11,0 €/m²</t>
  </si>
  <si>
    <t xml:space="preserve">Pacht Gastro (€/m²)</t>
  </si>
  <si>
    <t xml:space="preserve">Annahme ohne Marktdaten</t>
  </si>
  <si>
    <t xml:space="preserve">Rücklagen (Anteil an Miete und Pacht)</t>
  </si>
  <si>
    <t xml:space="preserve">Hausverwaltung, Instandhaltung, Leerstand; Nebenkosten werden umgelegt</t>
  </si>
  <si>
    <t xml:space="preserve">Gastro-Umsatz pro Monat (€)</t>
  </si>
  <si>
    <t xml:space="preserve">Bauherr, netto; vorsichtig für 460 m²</t>
  </si>
  <si>
    <t xml:space="preserve">Gastro-Marge vor Pacht</t>
  </si>
  <si>
    <t xml:space="preserve">Branchen-Richtwert</t>
  </si>
  <si>
    <t xml:space="preserve">Lohn des Bauherrn pro Monat (€)</t>
  </si>
  <si>
    <t xml:space="preserve">Bauherr: wird vorerst nicht gerechnet</t>
  </si>
  <si>
    <t xml:space="preserve">Finanzierung (100 % Fremdkapital, kein Eigenkapital)</t>
  </si>
  <si>
    <t xml:space="preserve">KfW 297/298: Kreditrahmen je Wohneinheit (€)</t>
  </si>
  <si>
    <t xml:space="preserve">mit QNG-Zertifikat, ohne QNG 100.000 € (Stand Ratgeber Okt. 2026)</t>
  </si>
  <si>
    <t xml:space="preserve">KfW 299: Kreditrahmen je m² Nettogrundfläche (€)</t>
  </si>
  <si>
    <t xml:space="preserve">mit QNG-PLUS/PREMIUM, ohne QNG 1.500 € (Stand Ratgeber Okt. 2026)</t>
  </si>
  <si>
    <t xml:space="preserve">Zins KfW 297 und 298 (effektiv, 10 Jahre fest)</t>
  </si>
  <si>
    <t xml:space="preserve">Annahme: Ratgeber nennen 0,6 % bis 3,05 %. Bei Hausbank/KfW bestätigen</t>
  </si>
  <si>
    <t xml:space="preserve">Zins KfW 299 (effektiv, 10 Jahre fest)</t>
  </si>
  <si>
    <t xml:space="preserve">Annahme, Nichtwohngebäude teurer als Wohnen</t>
  </si>
  <si>
    <t xml:space="preserve">Zins Hausbank (Restdarlehen, 10 Jahre fest)</t>
  </si>
  <si>
    <t xml:space="preserve">Annahme, Stand Bauzinsen Sept./Okt. 2026</t>
  </si>
  <si>
    <t xml:space="preserve">Anfangstilgung p. a.</t>
  </si>
  <si>
    <t xml:space="preserve">Bauherr; Restschuld wird nach der Zinsbindung angeschlossen</t>
  </si>
  <si>
    <t xml:space="preserve">Bauzeit (Monate)</t>
  </si>
  <si>
    <t xml:space="preserve">feste Tabelle im Blatt Bauphase (15 Monate)</t>
  </si>
  <si>
    <t xml:space="preserve">Tilgungsfreie Anlaufzeit nach Bau (Monate)</t>
  </si>
  <si>
    <t xml:space="preserve">feste Tabelle im Blatt Bauphase (12 Monate), mit Bank zu verhandeln</t>
  </si>
  <si>
    <t xml:space="preserve">Bereitstellungszins p. a.</t>
  </si>
  <si>
    <t xml:space="preserve">ab Monat 7 auf noch nicht abgerufene Bausumme</t>
  </si>
  <si>
    <t xml:space="preserve">Bereitstellungszins ab Monat</t>
  </si>
  <si>
    <t xml:space="preserve">Wertermittlung (Ertragswertverfahren nach ImmoWertV)</t>
  </si>
  <si>
    <t xml:space="preserve">Liegenschaftszins</t>
  </si>
  <si>
    <t xml:space="preserve">Annahme für gemischt genutztes Gebäude im ländlichen Raum</t>
  </si>
  <si>
    <t xml:space="preserve">Restnutzungsdauer (Jahre)</t>
  </si>
  <si>
    <t xml:space="preserve">Neubau, Annahme</t>
  </si>
  <si>
    <t xml:space="preserve">Verwaltungskosten Wohnen je Wohneinheit und Jahr (€)</t>
  </si>
  <si>
    <t xml:space="preserve">Annahme in Anlehnung an ImmoWertV-Ansätze</t>
  </si>
  <si>
    <t xml:space="preserve">Instandhaltung Wohnen (€/m² Wohnfläche und Jahr)</t>
  </si>
  <si>
    <t xml:space="preserve">Annahme Neubau</t>
  </si>
  <si>
    <t xml:space="preserve">Mietausfallwagnis Wohnen</t>
  </si>
  <si>
    <t xml:space="preserve">Verwaltungskosten Gewerbe (Anteil am Rohertrag)</t>
  </si>
  <si>
    <t xml:space="preserve">Instandhaltung Gewerbe (€/m² und Jahr)</t>
  </si>
  <si>
    <t xml:space="preserve">Mietausfallwagnis Gewerbe</t>
  </si>
  <si>
    <t xml:space="preserve">Annahme, Gastro als Mieter riskanter</t>
  </si>
  <si>
    <t xml:space="preserve">Sicherheitsabschlag Beleihungswert</t>
  </si>
  <si>
    <t xml:space="preserve">Annahme der Bank, üblich 10–20 %</t>
  </si>
  <si>
    <t xml:space="preserve">Prognose</t>
  </si>
  <si>
    <t xml:space="preserve">Mietsteigerung pro Jahr</t>
  </si>
  <si>
    <t xml:space="preserve">Umsatzsteigerung Gastro pro Jahr</t>
  </si>
  <si>
    <t xml:space="preserve">Gelb hinterlegt: wichtigste Stellschrauben für die Bankverhandlung.</t>
  </si>
  <si>
    <t xml:space="preserve">Flächenprogramm und Mietaufstellung</t>
  </si>
  <si>
    <t xml:space="preserve">Gastro im ganzen EG, 8 Wohnungen auf 1. OG und Staffelgeschoss (540 m² Grundfläche).</t>
  </si>
  <si>
    <t xml:space="preserve">Geschoss</t>
  </si>
  <si>
    <t xml:space="preserve">BGF (m²)</t>
  </si>
  <si>
    <t xml:space="preserve">Nutzung</t>
  </si>
  <si>
    <t xml:space="preserve">Einheiten</t>
  </si>
  <si>
    <t xml:space="preserve">Fläche (m²)</t>
  </si>
  <si>
    <t xml:space="preserve">Erdgeschoss</t>
  </si>
  <si>
    <t xml:space="preserve">Gastro</t>
  </si>
  <si>
    <t xml:space="preserve">1. Obergeschoss</t>
  </si>
  <si>
    <t xml:space="preserve">Wohnen</t>
  </si>
  <si>
    <t xml:space="preserve">Staffelgeschoss (Holzbau)</t>
  </si>
  <si>
    <t xml:space="preserve">Summe</t>
  </si>
  <si>
    <t xml:space="preserve">Wohneinheit</t>
  </si>
  <si>
    <t xml:space="preserve">Kaltmiete / m²</t>
  </si>
  <si>
    <t xml:space="preserve">Kaltmiete / Monat</t>
  </si>
  <si>
    <t xml:space="preserve">Kaltmiete / Jahr</t>
  </si>
  <si>
    <t xml:space="preserve">WE 1</t>
  </si>
  <si>
    <t xml:space="preserve">1. OG</t>
  </si>
  <si>
    <t xml:space="preserve">WE 2</t>
  </si>
  <si>
    <t xml:space="preserve">WE 3</t>
  </si>
  <si>
    <t xml:space="preserve">WE 4</t>
  </si>
  <si>
    <t xml:space="preserve">WE 5</t>
  </si>
  <si>
    <t xml:space="preserve">WE 6</t>
  </si>
  <si>
    <t xml:space="preserve">Staffel</t>
  </si>
  <si>
    <t xml:space="preserve">WE 7</t>
  </si>
  <si>
    <t xml:space="preserve">WE 8</t>
  </si>
  <si>
    <t xml:space="preserve">Summe Wohnen (alle Wohnungen, marktüblich)</t>
  </si>
  <si>
    <t xml:space="preserve">davon vermietet (Einnahmen)</t>
  </si>
  <si>
    <t xml:space="preserve">Gastro-Pacht (Gastro zahlt an das Haus)</t>
  </si>
  <si>
    <t xml:space="preserve">Rohertrag gesamt (Wohnen vermietet + Pacht)</t>
  </si>
  <si>
    <t xml:space="preserve">Nebenkosten (Grundsteuer, Versicherung, Betriebskosten) werden auf die Mieter umgelegt und sind hier nicht gerechnet. Mietpreis ist Annahme des Bauherrn.</t>
  </si>
  <si>
    <t xml:space="preserve">Kosten und Finanzierungsplan</t>
  </si>
  <si>
    <t xml:space="preserve">Mittelverwendung und Mittelherkunft. 100 % Fremdfinanzierung, kein Eigenkapital.</t>
  </si>
  <si>
    <t xml:space="preserve">Mittelverwendung (Kosten)</t>
  </si>
  <si>
    <t xml:space="preserve">Betrag</t>
  </si>
  <si>
    <t xml:space="preserve">Anteil</t>
  </si>
  <si>
    <t xml:space="preserve">Rechnung</t>
  </si>
  <si>
    <t xml:space="preserve">Grundstück (Kaufpreis)</t>
  </si>
  <si>
    <t xml:space="preserve">m² × Preis</t>
  </si>
  <si>
    <t xml:space="preserve">Grundstück gesamt</t>
  </si>
  <si>
    <t xml:space="preserve">Bau, Massivbau (BGF × Baukosten)</t>
  </si>
  <si>
    <t xml:space="preserve">1.540 m² × 2.200 €</t>
  </si>
  <si>
    <t xml:space="preserve">Abschlag Holzbau Staffelgeschoss</t>
  </si>
  <si>
    <t xml:space="preserve">460 m² × 400 €</t>
  </si>
  <si>
    <t xml:space="preserve">Dachterrasse rundum</t>
  </si>
  <si>
    <t xml:space="preserve">72 m² × 450 €</t>
  </si>
  <si>
    <t xml:space="preserve">Bau gesamt</t>
  </si>
  <si>
    <t xml:space="preserve">15 % vom Bau</t>
  </si>
  <si>
    <t xml:space="preserve">Mehrkosten Effizienzhaus 40 und QNG-Nachweis</t>
  </si>
  <si>
    <t xml:space="preserve">3 % auf Bau inkl. Baunebenkosten</t>
  </si>
  <si>
    <t xml:space="preserve">Gastro-Ausbau (Küche, Bar, Möbel, Technik)</t>
  </si>
  <si>
    <t xml:space="preserve">Annahme Bauherr</t>
  </si>
  <si>
    <t xml:space="preserve">Investitionskosten ohne Finanzierung</t>
  </si>
  <si>
    <t xml:space="preserve">Finanzierungskosten (Bauzeit, Bereitstellung, Anlaufzeit)</t>
  </si>
  <si>
    <t xml:space="preserve">aus Blatt Bauphase</t>
  </si>
  <si>
    <t xml:space="preserve">Gesamtkosten des Vorhabens</t>
  </si>
  <si>
    <t xml:space="preserve">Kosten je m² BGF</t>
  </si>
  <si>
    <t xml:space="preserve">Kosten je Wohneinheit inkl. Anteil Gastro</t>
  </si>
  <si>
    <t xml:space="preserve">Mittelherkunft (Finanzierung)</t>
  </si>
  <si>
    <t xml:space="preserve">Betrag bei Rate-Start</t>
  </si>
  <si>
    <t xml:space="preserve">Zins / Programm</t>
  </si>
  <si>
    <t xml:space="preserve">KfW 297 Klimafreundlicher Neubau (selbst genutzte Wohnungen)</t>
  </si>
  <si>
    <t xml:space="preserve">KfW 298 Klimafreundlicher Neubau (vermietete Wohnungen)</t>
  </si>
  <si>
    <t xml:space="preserve">KfW 299 Klimafreundlicher Neubau (Nichtwohngebäude, Gastro)</t>
  </si>
  <si>
    <t xml:space="preserve">Hausbank-Darlehen (Restfinanzierung inkl. Zinsen der Bauzeit)</t>
  </si>
  <si>
    <t xml:space="preserve">Eigenkapital</t>
  </si>
  <si>
    <t xml:space="preserve">Summe Finanzierung</t>
  </si>
  <si>
    <t xml:space="preserve">Anteil KfW-Kredite an der Finanzierung</t>
  </si>
  <si>
    <t xml:space="preserve">Mischzins aller Darlehen</t>
  </si>
  <si>
    <t xml:space="preserve">KfW-Rahmen laut Programm (Stand Ratgeber Okt. 2026, bei Hausbank und KfW zu bestätigen):</t>
  </si>
  <si>
    <t xml:space="preserve">KfW 297/298: Rahmen Wohnen (Wohneinheiten × 150.000 €)</t>
  </si>
  <si>
    <t xml:space="preserve">KfW 299: Rahmen Gastro (Nettogrundfläche × 2.000 €)</t>
  </si>
  <si>
    <t xml:space="preserve">KfW-Rahmen gesamt</t>
  </si>
  <si>
    <t xml:space="preserve">Antrag nur mit Effizienzhaus 40, QNG-Zertifikat, Heizung ohne Öl, Gas und Biomasse, vor Baubeginn über die Hausbank.</t>
  </si>
  <si>
    <t xml:space="preserve">Bauphase und Anlaufzeit: Abrufe, Zinsen, Kreditstand</t>
  </si>
  <si>
    <t xml:space="preserve">Monat 0 = Grundstück. Monate 1–15 Bau. Monate 16–27 tilgungsfreie Anlaufzeit. KfW-Darlehen werden anteilig zu den Ausgaben abgerufen, die Hausbank zahlt zusätzlich alle Zinsen.</t>
  </si>
  <si>
    <t xml:space="preserve">Anteil KfW Wohnen an den Ausgaben</t>
  </si>
  <si>
    <t xml:space="preserve">Anteil KfW Gastro</t>
  </si>
  <si>
    <t xml:space="preserve">Anteil Hausbank</t>
  </si>
  <si>
    <t xml:space="preserve">Monat</t>
  </si>
  <si>
    <t xml:space="preserve">Phase</t>
  </si>
  <si>
    <t xml:space="preserve">Ausgaben (Grundstück, Bau)</t>
  </si>
  <si>
    <t xml:space="preserve">Offene Bausumme</t>
  </si>
  <si>
    <t xml:space="preserve">Abruf KfW Wohnen</t>
  </si>
  <si>
    <t xml:space="preserve">Abruf KfW Gastro</t>
  </si>
  <si>
    <t xml:space="preserve">Zinsen KfW Wohnen</t>
  </si>
  <si>
    <t xml:space="preserve">Zinsen KfW Gastro</t>
  </si>
  <si>
    <t xml:space="preserve">Zinsen Hausbank</t>
  </si>
  <si>
    <t xml:space="preserve">Bereitstellungs-zins</t>
  </si>
  <si>
    <t xml:space="preserve">Abruf Hausbank</t>
  </si>
  <si>
    <t xml:space="preserve">Stand KfW Wohnen</t>
  </si>
  <si>
    <t xml:space="preserve">Stand KfW Gastro</t>
  </si>
  <si>
    <t xml:space="preserve">Stand Hausbank</t>
  </si>
  <si>
    <t xml:space="preserve">Bau</t>
  </si>
  <si>
    <t xml:space="preserve">Anlaufzeit</t>
  </si>
  <si>
    <t xml:space="preserve">Rate-Start</t>
  </si>
  <si>
    <t xml:space="preserve">Summen</t>
  </si>
  <si>
    <t xml:space="preserve">Finanzierungskosten gesamt (Zinsen und Bereitstellung):</t>
  </si>
  <si>
    <t xml:space="preserve">Kontrolle: Stand Rate-Start minus Ausgaben minus Finanzierungskosten (muss 0 sein)</t>
  </si>
  <si>
    <t xml:space="preserve">Abzahlungsplan nach Jahren</t>
  </si>
  <si>
    <t xml:space="preserve">Zusammenfassung des monatlichen Tilgungsplans. Zinsbindung 10 Jahre, danach gleicher Zins angenommen.</t>
  </si>
  <si>
    <t xml:space="preserve">Jahr</t>
  </si>
  <si>
    <t xml:space="preserve">Zinsen</t>
  </si>
  <si>
    <t xml:space="preserve">Tilgung</t>
  </si>
  <si>
    <t xml:space="preserve">Kapitaldienst (Rate)</t>
  </si>
  <si>
    <t xml:space="preserve">Restschuld Jahresende</t>
  </si>
  <si>
    <t xml:space="preserve">davon KfW</t>
  </si>
  <si>
    <t xml:space="preserve">Zinsbindung</t>
  </si>
  <si>
    <t xml:space="preserve">bis Jahr 10</t>
  </si>
  <si>
    <t xml:space="preserve">Anschluss</t>
  </si>
  <si>
    <t xml:space="preserve">Abzahlungsplan (Tilgungsplan) monatlich, 35 Jahre</t>
  </si>
  <si>
    <t xml:space="preserve">Annuitätendarlehen: Rate = Darlehen × (Zins + Anfangstilgung) / 12. Nach 10 Jahren Zinsbindung wird der gleiche Zins angenommen.</t>
  </si>
  <si>
    <t xml:space="preserve">KfW Wohnen</t>
  </si>
  <si>
    <t xml:space="preserve">KfW Gastro</t>
  </si>
  <si>
    <t xml:space="preserve">Hausbank</t>
  </si>
  <si>
    <t xml:space="preserve">Rate pro Monat</t>
  </si>
  <si>
    <t xml:space="preserve">Zins KfW Wohnen</t>
  </si>
  <si>
    <t xml:space="preserve">Tilgung KfW Wohnen</t>
  </si>
  <si>
    <t xml:space="preserve">Rest KfW Wohnen</t>
  </si>
  <si>
    <t xml:space="preserve">Zins KfW Gastro</t>
  </si>
  <si>
    <t xml:space="preserve">Tilgung KfW Gastro</t>
  </si>
  <si>
    <t xml:space="preserve">Rest KfW Gastro</t>
  </si>
  <si>
    <t xml:space="preserve">Zins Hausbank</t>
  </si>
  <si>
    <t xml:space="preserve">Tilgung Hausbank</t>
  </si>
  <si>
    <t xml:space="preserve">Rest Hausbank</t>
  </si>
  <si>
    <t xml:space="preserve">Zinsen gesamt</t>
  </si>
  <si>
    <t xml:space="preserve">Tilgung gesamt</t>
  </si>
  <si>
    <t xml:space="preserve">Rate gesamt</t>
  </si>
  <si>
    <t xml:space="preserve">Restschuld gesamt</t>
  </si>
  <si>
    <t xml:space="preserve">Ertrag und Kapitaldienst (erstes Jahr nach der Anlaufzeit)</t>
  </si>
  <si>
    <t xml:space="preserve">Für die Bank: reicht der Ertrag für Zinsen und Tilgung? Kapitaldienstdeckung (DSCR) = Ertrag vor Kapitaldienst / Kapitaldienst.</t>
  </si>
  <si>
    <t xml:space="preserve">Position</t>
  </si>
  <si>
    <t xml:space="preserve">pro Monat</t>
  </si>
  <si>
    <t xml:space="preserve">pro Jahr</t>
  </si>
  <si>
    <t xml:space="preserve">Hinweis</t>
  </si>
  <si>
    <t xml:space="preserve">Kaltmiete Wohnen (vermietete Wohnungen)</t>
  </si>
  <si>
    <t xml:space="preserve">Pacht Gastro</t>
  </si>
  <si>
    <t xml:space="preserve">Gastro zahlt an das Haus</t>
  </si>
  <si>
    <t xml:space="preserve">Rücklagen (Verwaltung, Instandhaltung, Leerstand)</t>
  </si>
  <si>
    <t xml:space="preserve">10 % von Miete und Pacht</t>
  </si>
  <si>
    <t xml:space="preserve">Nettoertrag Immobilie</t>
  </si>
  <si>
    <t xml:space="preserve">Betriebsergebnis Gastro nach Pacht</t>
  </si>
  <si>
    <t xml:space="preserve">Betreiber = Bauherr, ohne Lohn</t>
  </si>
  <si>
    <t xml:space="preserve">Nettoertrag vor Kapitaldienst</t>
  </si>
  <si>
    <t xml:space="preserve">Kapitaldienst (Zinsen und Tilgung aller Darlehen)</t>
  </si>
  <si>
    <t xml:space="preserve">ohne Lohn des Bauherrn</t>
  </si>
  <si>
    <t xml:space="preserve">Kapitaldienstdeckung nur Immobilie (Miete und Pacht)</t>
  </si>
  <si>
    <t xml:space="preserve">ohne Gastro-Gewinn, Pacht gesichert durch Pachtvertrag</t>
  </si>
  <si>
    <t xml:space="preserve">Zinsdeckung (Ertrag vor Kapitaldienst / Zinsen)</t>
  </si>
  <si>
    <t xml:space="preserve">Anfangsrendite auf Gesamtkosten (Nettoertrag Immobilie p. a.)</t>
  </si>
  <si>
    <t xml:space="preserve">Break-even Gastro-Umsatz (Haus insgesamt Ergebnis = 0)</t>
  </si>
  <si>
    <t xml:space="preserve">Umsatz, ab dem Zinsen und Tilgung aller Darlehen bezahlt sind</t>
  </si>
  <si>
    <t xml:space="preserve">Gastro-Betrieb: Umsatz, Kosten, Ergebnis pro Monat</t>
  </si>
  <si>
    <t xml:space="preserve">Richtwerte aus der Branche, keine Werte aus Werlte. Lohn des Bauherrn ist nicht gerechnet.</t>
  </si>
  <si>
    <t xml:space="preserve">Posten</t>
  </si>
  <si>
    <t xml:space="preserve">Betrag / Monat</t>
  </si>
  <si>
    <t xml:space="preserve">Umsatz (netto)</t>
  </si>
  <si>
    <t xml:space="preserve">Wareneinsatz (Einkauf Essen und Getränke)</t>
  </si>
  <si>
    <t xml:space="preserve">Personal (ohne Lohn des Bauherrn)</t>
  </si>
  <si>
    <t xml:space="preserve">Energie, Wasser, Müll</t>
  </si>
  <si>
    <t xml:space="preserve">Reinigung, Wäsche, Verbrauchsmaterial</t>
  </si>
  <si>
    <t xml:space="preserve">Werbung und Marketing</t>
  </si>
  <si>
    <t xml:space="preserve">Reparaturen, Wartung, Kassensystem</t>
  </si>
  <si>
    <t xml:space="preserve">Sonstiges</t>
  </si>
  <si>
    <t xml:space="preserve">Versicherungen, GEMA, Gebühren</t>
  </si>
  <si>
    <t xml:space="preserve">Steuerberater, Buchhaltung</t>
  </si>
  <si>
    <t xml:space="preserve">Summe Betriebskosten ohne Pacht</t>
  </si>
  <si>
    <t xml:space="preserve">Gewinn vor Pacht</t>
  </si>
  <si>
    <t xml:space="preserve">Marge laut Annahmen muss mit 30,5 % übereinstimmen</t>
  </si>
  <si>
    <t xml:space="preserve">Pacht an das Haus</t>
  </si>
  <si>
    <t xml:space="preserve">Lohn des Bauherrn</t>
  </si>
  <si>
    <t xml:space="preserve">Betriebsergebnis nach Pacht</t>
  </si>
  <si>
    <t xml:space="preserve">Break-even-Umsatz des Betriebs (Ergebnis nach Pacht = 0)</t>
  </si>
  <si>
    <t xml:space="preserve">Umsatz pro Monat</t>
  </si>
  <si>
    <t xml:space="preserve">Gewinn nach Pacht</t>
  </si>
  <si>
    <t xml:space="preserve">Bei sehr niedrigem Umsatz drücken Fixkosten stärker: die Rechnung ist dort zu günstig.</t>
  </si>
  <si>
    <t xml:space="preserve">Ertragswert und Beleihung</t>
  </si>
  <si>
    <t xml:space="preserve">Ertragswertverfahren nach ImmoWertV (vereinfacht) mit Annahmen. Ein Gutachter der Bank ermittelt den verbindlichen Beleihungswert.</t>
  </si>
  <si>
    <t xml:space="preserve">Ertragswertberechnung</t>
  </si>
  <si>
    <t xml:space="preserve">Rohertrag Wohnen pro Jahr (alle Wohnungen, marktüblich)</t>
  </si>
  <si>
    <t xml:space="preserve">Rohertrag Gewerbe (Pacht Gastro) pro Jahr</t>
  </si>
  <si>
    <t xml:space="preserve">Rohertrag gesamt</t>
  </si>
  <si>
    <t xml:space="preserve">Verwaltungskosten Wohnen</t>
  </si>
  <si>
    <t xml:space="preserve">Wohneinheiten × Satz</t>
  </si>
  <si>
    <t xml:space="preserve">Instandhaltung Wohnen</t>
  </si>
  <si>
    <t xml:space="preserve">Wohnfläche × Satz</t>
  </si>
  <si>
    <t xml:space="preserve">Verwaltungskosten Gewerbe</t>
  </si>
  <si>
    <t xml:space="preserve">Instandhaltung Gewerbe</t>
  </si>
  <si>
    <t xml:space="preserve">Bewirtschaftungskosten gesamt</t>
  </si>
  <si>
    <t xml:space="preserve">Reinertrag des Grundstücks</t>
  </si>
  <si>
    <t xml:space="preserve">Bodenwert (Grundstück ohne Nebenkosten)</t>
  </si>
  <si>
    <t xml:space="preserve">960 m² × 230 €</t>
  </si>
  <si>
    <t xml:space="preserve">Bodenwertverzinsung</t>
  </si>
  <si>
    <t xml:space="preserve">Bodenwert × Liegenschaftszins</t>
  </si>
  <si>
    <t xml:space="preserve">Reinertragsanteil der Gebäude</t>
  </si>
  <si>
    <t xml:space="preserve">Vervielfältiger</t>
  </si>
  <si>
    <t xml:space="preserve">Liegenschaftszins und Restnutzungsdauer</t>
  </si>
  <si>
    <t xml:space="preserve">Ertragswert der Gebäude</t>
  </si>
  <si>
    <t xml:space="preserve">Ertragswert (Gebäude plus Bodenwert)</t>
  </si>
  <si>
    <t xml:space="preserve">Beleihung</t>
  </si>
  <si>
    <t xml:space="preserve">Sachwert (Bodenwert plus Herstellungskosten Gebäude)</t>
  </si>
  <si>
    <t xml:space="preserve">ohne Gastro-Einrichtung</t>
  </si>
  <si>
    <t xml:space="preserve">Marktwert-Schätzung (niedrigerer Wert)</t>
  </si>
  <si>
    <t xml:space="preserve">bei Ertragsimmobilien zählt der Ertragswert</t>
  </si>
  <si>
    <t xml:space="preserve">Beleihungswert nach Sicherheitsabschlag</t>
  </si>
  <si>
    <t xml:space="preserve">Abschlag der Bank</t>
  </si>
  <si>
    <t xml:space="preserve">Darlehensbedarf (100 % Fremdfinanzierung)</t>
  </si>
  <si>
    <t xml:space="preserve">Beleihungsauslauf (Darlehen / Beleihungswert)</t>
  </si>
  <si>
    <t xml:space="preserve">Banken verlangen meist unter 80–90 %</t>
  </si>
  <si>
    <t xml:space="preserve">Beleihungsauslauf KfW-Darlehen allein</t>
  </si>
  <si>
    <t xml:space="preserve">Ertragswert minus Gesamtkosten</t>
  </si>
  <si>
    <t xml:space="preserve">Wertlücke, die über Zusatzsicherheiten oder Eigenkapital zu decken ist</t>
  </si>
  <si>
    <t xml:space="preserve">Fehlendes Eigenkapital/Sicherheit für Auslauf 80 %</t>
  </si>
  <si>
    <t xml:space="preserve">Rechnerischer Betrag über der 80-%-Grenze</t>
  </si>
  <si>
    <t xml:space="preserve">Kaufpreisfaktor (Ertragswert / Rohertrag)</t>
  </si>
  <si>
    <t xml:space="preserve">Vervielfältiger auf die Jahresmiete</t>
  </si>
  <si>
    <t xml:space="preserve">Kosten-Faktor (Gesamtkosten / Rohertrag)</t>
  </si>
  <si>
    <t xml:space="preserve">Die Gastro wird hier nur mit der Pacht bewertet. Der Gewinn des Betriebs (Bauherr) und die Hilfe durch Bürgschaft, Eigenkapital oder weitere Grundstücke sind Verhandlungsgegenstand mit der Bank.</t>
  </si>
  <si>
    <t xml:space="preserve">Prognose über 10 Jahre</t>
  </si>
  <si>
    <t xml:space="preserve">Miete, Pacht und Umsatz steigen, der Kapitaldienst bleibt konstant (Annuität). Restschuld nach Tilgungsplan.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</si>
  <si>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</si>
  <si>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</si>
  <si>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</si>
  <si>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</si>
  <si>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</si>
  <si>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</si>
  <si>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</si>
  <si>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</si>
  <si>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</si>
  <si>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</si>
  <si>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Kaltmiete Wohnen</t>
  </si>
  <si>
    <t xml:space="preserve">Rücklagen</t>
  </si>
  <si>
    <t xml:space="preserve">Kapitaldienst</t>
  </si>
  <si>
    <t xml:space="preserve">Ergebnis nach Kapitaldienst</t>
  </si>
  <si>
    <t xml:space="preserve">Kapitaldienstdeckung (DSCR)</t>
  </si>
  <si>
    <t xml:space="preserve">Gastro-Gewinn vor Pacht mit der Umsatzsteigerung fortgeschrieben, Lohn des Bauherrn nicht gerechnet.</t>
  </si>
  <si>
    <t xml:space="preserve">Belastungstest: Was passiert, wenn es schlechter läuft?</t>
  </si>
  <si>
    <t xml:space="preserve">Veränderung des Ergebnisses pro Monat und der Kapitaldienstdeckung gegenüber dem Plan.</t>
  </si>
  <si>
    <t xml:space="preserve">Szenario</t>
  </si>
  <si>
    <t xml:space="preserve">Ergebnis / Monat</t>
  </si>
  <si>
    <t xml:space="preserve">DSCR</t>
  </si>
  <si>
    <t xml:space="preserve">Änderung zum Plan</t>
  </si>
  <si>
    <t xml:space="preserve">Plan</t>
  </si>
  <si>
    <t xml:space="preserve">Anschlusszins nach 10 Jahren +1 Prozentpunkt (auf Restschuld)</t>
  </si>
  <si>
    <t xml:space="preserve">Mieten Wohnen −10 %</t>
  </si>
  <si>
    <t xml:space="preserve">Gastro-Umsatz −20 %</t>
  </si>
  <si>
    <t xml:space="preserve">Gastro-Umsatz −40 %</t>
  </si>
  <si>
    <t xml:space="preserve">Baukosten +10 % (Kredit steigt entsprechend)</t>
  </si>
  <si>
    <t xml:space="preserve">Gastro fällt ganz aus (keine Pacht, kein Betriebsergebnis)</t>
  </si>
  <si>
    <t xml:space="preserve">Vereinfachte Rechnung, Hausbank prüft mit eigenen Annahmen.</t>
  </si>
  <si>
    <t xml:space="preserve">Prüfung: 2 Wohnungen als Airbnb-Apartments</t>
  </si>
  <si>
    <t xml:space="preserve">Lohnt sich Kurzzeitvermietung gegenüber langfristiger Vermietung? Zwei Apartments, Möblierung im Kredit (Hausbank-Zins + Tilgung).</t>
  </si>
  <si>
    <t xml:space="preserve">Eingaben</t>
  </si>
  <si>
    <t xml:space="preserve">Auslastung Airbnb</t>
  </si>
  <si>
    <t xml:space="preserve">Annahme; Emsland laut Quelle ca. 37 % (2016/17)</t>
  </si>
  <si>
    <t xml:space="preserve">Möblierung je m² (€)</t>
  </si>
  <si>
    <t xml:space="preserve">Möbel, Küche, Wäsche, Technik; Annahme</t>
  </si>
  <si>
    <t xml:space="preserve">Kostenquote vom Umsatz (Plattform, Reinigung, Nebenkosten, Material, Versicherung, Rücklage)</t>
  </si>
  <si>
    <t xml:space="preserve">15 + 20 + 8 + 2 + 3 + 8 %</t>
  </si>
  <si>
    <t xml:space="preserve">Mindest-Mehrertrag je Monat für den Mehraufwand (€)</t>
  </si>
  <si>
    <t xml:space="preserve">Annahme: Gäste, Schlüssel, Preise kosten Zeit</t>
  </si>
  <si>
    <t xml:space="preserve">Apartmentgröße (2 Apartments)</t>
  </si>
  <si>
    <t xml:space="preserve">45 m²</t>
  </si>
  <si>
    <t xml:space="preserve">60 m²</t>
  </si>
  <si>
    <t xml:space="preserve">83 m²</t>
  </si>
  <si>
    <t xml:space="preserve">Wohnfläche je Apartment (m²)</t>
  </si>
  <si>
    <t xml:space="preserve">Gäste</t>
  </si>
  <si>
    <t xml:space="preserve">Preis pro Nacht (€)</t>
  </si>
  <si>
    <t xml:space="preserve">Annahme: kleinere Apartments erzielen mehr Umsatz je m²</t>
  </si>
  <si>
    <t xml:space="preserve">Umsatz pro Apartment und Monat</t>
  </si>
  <si>
    <t xml:space="preserve">Netto Airbnb pro Apartment und Monat</t>
  </si>
  <si>
    <t xml:space="preserve">Netto langfristige Miete pro Apartment und Monat</t>
  </si>
  <si>
    <t xml:space="preserve">nach Rücklagen von 10 %, Miete aus 11,18 €/m²</t>
  </si>
  <si>
    <t xml:space="preserve">Möblierung (€)</t>
  </si>
  <si>
    <t xml:space="preserve">Kapitaldienst der Möblierung pro Monat</t>
  </si>
  <si>
    <t xml:space="preserve">Mehrertrag Airbnb je Apartment pro Monat</t>
  </si>
  <si>
    <t xml:space="preserve">Mehrertrag für 2 Apartments pro Monat</t>
  </si>
  <si>
    <t xml:space="preserve">Ergebnis</t>
  </si>
  <si>
    <t xml:space="preserve">Fazit</t>
  </si>
  <si>
    <t xml:space="preserve">Die Möblierung erhöht den Kredit, Kurzzeitvermietung braucht dazu Aufwand, Reinigung, Gästekommunikation und bei mehr als 12 Betten Sonderbau-Brandschutz.</t>
  </si>
  <si>
    <t xml:space="preserve">Unterlagen für die Bank (Checkliste)</t>
  </si>
  <si>
    <t xml:space="preserve">Was die Hausbank für Finanzierung und KfW-Antrag typischerweise braucht. Status bitte pflegen.</t>
  </si>
  <si>
    <t xml:space="preserve">Nr.</t>
  </si>
  <si>
    <t xml:space="preserve">Unterlage</t>
  </si>
  <si>
    <t xml:space="preserve">Inhalt / Hinweis</t>
  </si>
  <si>
    <t xml:space="preserve">Status</t>
  </si>
  <si>
    <t xml:space="preserve">Projekt: Businessplan (Word) und Präsentation</t>
  </si>
  <si>
    <t xml:space="preserve">Vorhaben, Konzept, Zahlen, Risiken. Liegt vor.</t>
  </si>
  <si>
    <t xml:space="preserve">vorhanden</t>
  </si>
  <si>
    <t xml:space="preserve">Projekt: Rechenmodell mit Finanzierungs- und Tilgungsplan</t>
  </si>
  <si>
    <t xml:space="preserve">Diese Excel-Datei.</t>
  </si>
  <si>
    <t xml:space="preserve">Projekt: Gastro-Konzept mit Gestaltung</t>
  </si>
  <si>
    <t xml:space="preserve">Konzept, Grundriss, Speisekarte, Umsatzaufbau.</t>
  </si>
  <si>
    <t xml:space="preserve">Projekt: Lageplan, Flurkarte, Grundbuchauszug</t>
  </si>
  <si>
    <t xml:space="preserve">Baufeld 3, ca. 960 m². Grundbuchauszug nach Kaufvertrag.</t>
  </si>
  <si>
    <t xml:space="preserve">offen</t>
  </si>
  <si>
    <t xml:space="preserve">Projekt: Bebauungsplan Nr. 123, 1. Änderung und Konzeptheft</t>
  </si>
  <si>
    <t xml:space="preserve">Festsetzungen, städtebaulicher Vertrag. Entwurf Stand 25.08.2026.</t>
  </si>
  <si>
    <t xml:space="preserve">teilweise</t>
  </si>
  <si>
    <t xml:space="preserve">Projekt: Grundstückskaufvertrag oder Reservierung der Stadt</t>
  </si>
  <si>
    <t xml:space="preserve">Preis 230 €/m², Zuschnitt, Baureife.</t>
  </si>
  <si>
    <t xml:space="preserve">Bau: Entwurfspläne, Flächen- und Wohnflächenberechnung</t>
  </si>
  <si>
    <t xml:space="preserve">Grundrisse, Schnitte, Ansichten vom Architekten.</t>
  </si>
  <si>
    <t xml:space="preserve">Bau: Baubeschreibung</t>
  </si>
  <si>
    <t xml:space="preserve">Konstruktion, Energiestandard, Heizung.</t>
  </si>
  <si>
    <t xml:space="preserve">Bau: Bauvoranfrage oder Baugenehmigung</t>
  </si>
  <si>
    <t xml:space="preserve">Zulässigkeit 540 m², Staffelgeschoss, Flachdach, Höhe, Stellplätze.</t>
  </si>
  <si>
    <t xml:space="preserve">Bau: Kostenberechnung nach DIN 276 und Angebote</t>
  </si>
  <si>
    <t xml:space="preserve">Bauunternehmen und Zimmerei, Festpreis je m².</t>
  </si>
  <si>
    <t xml:space="preserve">Bau: Bauzeitenplan</t>
  </si>
  <si>
    <t xml:space="preserve">Baubeginn Mitte 2027, 15 Monate Bauzeit.</t>
  </si>
  <si>
    <t xml:space="preserve">KfW: Bestätigung Energieeffizienz-Experte (Effizienzhaus 40)</t>
  </si>
  <si>
    <t xml:space="preserve">Antrag KfW 297/298 und 299 über die Hausbank vor Baubeginn.</t>
  </si>
  <si>
    <t xml:space="preserve">KfW: QNG-Zertifizierung (Konzept und Zertifizierer)</t>
  </si>
  <si>
    <t xml:space="preserve">Für den vollen Kreditrahmen erforderlich.</t>
  </si>
  <si>
    <t xml:space="preserve">KfW: Heizkonzept ohne Öl, Gas und Biomasse</t>
  </si>
  <si>
    <t xml:space="preserve">Wärmepumpe oder Fernwärme.</t>
  </si>
  <si>
    <t xml:space="preserve">Einnahmen: Mietaufstellung und Mietkalkulation</t>
  </si>
  <si>
    <t xml:space="preserve">8 Wohnungen, Flächen, Miete je m².</t>
  </si>
  <si>
    <t xml:space="preserve">Einnahmen: Pachtvertrag Gastro (Entwurf)</t>
  </si>
  <si>
    <t xml:space="preserve">Laufzeit, Pacht 12 €/m², Staffel, Sicherheiten.</t>
  </si>
  <si>
    <t xml:space="preserve">Einnahmen: Vorvermietungsabsichten</t>
  </si>
  <si>
    <t xml:space="preserve">Interessenten für Wohnungen und Gastro.</t>
  </si>
  <si>
    <t xml:space="preserve">Betrieb: Gastro-Kalkulation mit Wareneinsatz, Personal, Umsatz</t>
  </si>
  <si>
    <t xml:space="preserve">Blatt 'Gastro Betrieb'.</t>
  </si>
  <si>
    <t xml:space="preserve">Betrieb: Nachweis Gastro-Erfahrung, Lebenslauf, Konzession</t>
  </si>
  <si>
    <t xml:space="preserve">Gaststättenerlaubnis, Hygiene, Qualifikation.</t>
  </si>
  <si>
    <t xml:space="preserve">Person: Selbstauskunft und Vermögensübersicht</t>
  </si>
  <si>
    <t xml:space="preserve">Einkommen, Verbindlichkeiten, Vermögen.</t>
  </si>
  <si>
    <t xml:space="preserve">Person: Einkommensnachweise, Steuerbescheide, BWA, Schufa</t>
  </si>
  <si>
    <t xml:space="preserve">letzte drei Jahre.</t>
  </si>
  <si>
    <t xml:space="preserve">Person: Nachweis weiterer Sicherheiten</t>
  </si>
  <si>
    <t xml:space="preserve">Bürgschaften, Grundschulden auf weitere Immobilien, bestehende Objekte (letzte zwei Jahre gekauft).</t>
  </si>
  <si>
    <t xml:space="preserve">Sicherheit: Wertermittlung / Beleihungswert</t>
  </si>
  <si>
    <t xml:space="preserve">Gutachten der Bank, Rechenbeispiel im Blatt 'Ertragswert'.</t>
  </si>
  <si>
    <t xml:space="preserve">Sicherheit: Versicherungen</t>
  </si>
  <si>
    <t xml:space="preserve">Bauleistung, Bauherrenhaftpflicht, Gebäude.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</si>
</sst>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&quot; €&quot;;\-#,##0&quot; €&quot;;\–"/>
    <numFmt numFmtId="167" formatCode="0.0%"/>
    <numFmt numFmtId="168" formatCode="0.00%"/>
    <numFmt numFmtId="169" formatCode="\+#,##0&quot; €&quot;;\-#,##0&quot; €&quot;;\–"/>
    <numFmt numFmtId="170" formatCode="0.00\x"/>
    <numFmt numFmtId="171" formatCode="#,##0.00&quot; €&quot;;\-#,##0.00&quot; €&quot;;\–"/>
    <numFmt numFmtId="172" formatCode="0.0"/>
    <numFmt numFmtId="173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A3E"/>
      <name val="Arial"/>
      <family val="0"/>
      <charset val="1"/>
    </font>
    <font>
      <sz val="10"/>
      <color rgb="FF5B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4A3E"/>
        <bgColor rgb="FF333300"/>
      </patternFill>
    </fill>
    <fill>
      <patternFill patternType="solid">
        <fgColor rgb="FFE3E8E5"/>
        <bgColor rgb="FFD9D9D9"/>
      </patternFill>
    </fill>
    <fill>
      <patternFill patternType="solid">
        <fgColor rgb="FFFFF2CC"/>
        <bgColor rgb="FFE3E8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8E5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B6770"/>
      <rgbColor rgb="FFC49A45"/>
      <rgbColor rgb="FF003366"/>
      <rgbColor rgb="FF339966"/>
      <rgbColor rgb="FF003300"/>
      <rgbColor rgb="FF333300"/>
      <rgbColor rgb="FF993300"/>
      <rgbColor rgb="FF993366"/>
      <rgbColor rgb="FF333399"/>
      <rgbColor rgb="FF2F4A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Restschuld nach Jahren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'Tilgung Jahre'!E4</c:f>
              <c:strCache>
                <c:ptCount val="1"/>
                <c:pt idx="0">
                  <c:v>Restschuld Jahresende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'Tilgung Jahre'!$A$5:$A$39</c:f>
              <c:strCache>
                <c:ptCount val="3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</c:strCache>
            </c:strRef>
          </c:cat>
          <c:val>
            <c:numRef>
              <c:f>'Tilgung Jahre'!$E$5:$E$39</c:f>
              <c:numCache>
                <c:formatCode>#,##0" €";\-#,##0" €";\–</c:formatCode>
                <c:ptCount val="35"/>
                <c:pt idx="0">
                  <c:v>4445217.33674113</c:v>
                </c:pt>
                <c:pt idx="1">
                  <c:v>4398007.76979415</c:v>
                </c:pt>
                <c:pt idx="2">
                  <c:v>4349151.48809641</c:v>
                </c:pt>
                <c:pt idx="3">
                  <c:v>4298588.83118718</c:v>
                </c:pt>
                <c:pt idx="4">
                  <c:v>4246257.90897638</c:v>
                </c:pt>
                <c:pt idx="5">
                  <c:v>4192094.51639001</c:v>
                </c:pt>
                <c:pt idx="6">
                  <c:v>4136032.04468879</c:v>
                </c:pt>
                <c:pt idx="7">
                  <c:v>4078001.38932897</c:v>
                </c:pt>
                <c:pt idx="8">
                  <c:v>4017930.85422848</c:v>
                </c:pt>
                <c:pt idx="9">
                  <c:v>3955746.0522965</c:v>
                </c:pt>
                <c:pt idx="10">
                  <c:v>3891369.80207886</c:v>
                </c:pt>
                <c:pt idx="11">
                  <c:v>3824722.02036544</c:v>
                </c:pt>
                <c:pt idx="12">
                  <c:v>3755719.61060013</c:v>
                </c:pt>
                <c:pt idx="13">
                  <c:v>3684276.34692714</c:v>
                </c:pt>
                <c:pt idx="14">
                  <c:v>3610302.75370092</c:v>
                </c:pt>
                <c:pt idx="15">
                  <c:v>3533705.9802802</c:v>
                </c:pt>
                <c:pt idx="16">
                  <c:v>3454389.67091936</c:v>
                </c:pt>
                <c:pt idx="17">
                  <c:v>3372253.82956278</c:v>
                </c:pt>
                <c:pt idx="18">
                  <c:v>3287194.67934037</c:v>
                </c:pt>
                <c:pt idx="19">
                  <c:v>3199104.51655407</c:v>
                </c:pt>
                <c:pt idx="20">
                  <c:v>3107871.55893699</c:v>
                </c:pt>
                <c:pt idx="21">
                  <c:v>3013379.78795789</c:v>
                </c:pt>
                <c:pt idx="22">
                  <c:v>2915508.78493483</c:v>
                </c:pt>
                <c:pt idx="23">
                  <c:v>2814133.56071226</c:v>
                </c:pt>
                <c:pt idx="24">
                  <c:v>2709124.37864593</c:v>
                </c:pt>
                <c:pt idx="25">
                  <c:v>2600346.57063</c:v>
                </c:pt>
                <c:pt idx="26">
                  <c:v>2487660.34588981</c:v>
                </c:pt>
                <c:pt idx="27">
                  <c:v>2370920.59225295</c:v>
                </c:pt>
                <c:pt idx="28">
                  <c:v>2249976.66959957</c:v>
                </c:pt>
                <c:pt idx="29">
                  <c:v>2124672.19518114</c:v>
                </c:pt>
                <c:pt idx="30">
                  <c:v>1994844.82048408</c:v>
                </c:pt>
                <c:pt idx="31">
                  <c:v>1860325.99930208</c:v>
                </c:pt>
                <c:pt idx="32">
                  <c:v>1720940.74666723</c:v>
                </c:pt>
                <c:pt idx="33">
                  <c:v>1576507.38827607</c:v>
                </c:pt>
                <c:pt idx="34">
                  <c:v>1426837.30003229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255086"/>
        <c:axId val="8939241"/>
      </c:lineChart>
      <c:catAx>
        <c:axId val="592550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Jahr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9241"/>
        <c:crosses val="autoZero"/>
        <c:auto val="1"/>
        <c:lblAlgn val="ctr"/>
        <c:lblOffset val="100"/>
        <c:noMultiLvlLbl val="0"/>
      </c:catAx>
      <c:valAx>
        <c:axId val="89392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-#,##0&quot; €&quot;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550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364680</xdr:colOff>
      <xdr:row>16</xdr:row>
      <xdr:rowOff>153000</xdr:rowOff>
    </xdr:to>
    <xdr:graphicFrame>
      <xdr:nvGraphicFramePr>
        <xdr:cNvPr id="0" name="Chart 1"/>
        <xdr:cNvGraphicFramePr/>
      </xdr:nvGraphicFramePr>
      <xdr:xfrm>
        <a:off x="80830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/>
      <c r="C5" s="6"/>
    </row>
    <row r="6" customFormat="false" ht="15" hidden="false" customHeight="false" outlineLevel="0" collapsed="false">
      <c r="A6" s="7" t="s">
        <v>6</v>
      </c>
      <c r="B6" s="8" t="n">
        <f aca="false">Annahmen!$B$5</f>
        <v>960</v>
      </c>
      <c r="C6" s="9" t="s">
        <v>7</v>
      </c>
    </row>
    <row r="7" customFormat="false" ht="15" hidden="false" customHeight="false" outlineLevel="0" collapsed="false">
      <c r="A7" s="7" t="s">
        <v>8</v>
      </c>
      <c r="B7" s="8" t="n">
        <f aca="false">Annahmen!$B$10</f>
        <v>540</v>
      </c>
      <c r="C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'Flächen und Mieten'!B8</f>
        <v>1540</v>
      </c>
      <c r="C8" s="9" t="s">
        <v>11</v>
      </c>
    </row>
    <row r="9" customFormat="false" ht="15" hidden="false" customHeight="false" outlineLevel="0" collapsed="false">
      <c r="A9" s="7" t="s">
        <v>12</v>
      </c>
      <c r="B9" s="8" t="n">
        <f aca="false">'Flächen und Mieten'!D8</f>
        <v>8</v>
      </c>
      <c r="C9" s="9" t="s">
        <v>13</v>
      </c>
    </row>
    <row r="10" customFormat="false" ht="15" hidden="false" customHeight="false" outlineLevel="0" collapsed="false">
      <c r="A10" s="7" t="s">
        <v>14</v>
      </c>
      <c r="B10" s="8" t="n">
        <f aca="false">'Flächen und Mieten'!E8</f>
        <v>725</v>
      </c>
      <c r="C10" s="9"/>
    </row>
    <row r="11" customFormat="false" ht="15" hidden="false" customHeight="false" outlineLevel="0" collapsed="false">
      <c r="A11" s="7" t="s">
        <v>15</v>
      </c>
      <c r="B11" s="8" t="n">
        <f aca="false">Annahmen!$B$21</f>
        <v>460</v>
      </c>
      <c r="C11" s="9" t="s">
        <v>16</v>
      </c>
    </row>
    <row r="12" customFormat="false" ht="15" hidden="false" customHeight="false" outlineLevel="0" collapsed="false">
      <c r="A12" s="5" t="s">
        <v>17</v>
      </c>
      <c r="B12" s="6"/>
      <c r="C12" s="6"/>
    </row>
    <row r="13" customFormat="false" ht="15" hidden="false" customHeight="false" outlineLevel="0" collapsed="false">
      <c r="A13" s="7" t="s">
        <v>18</v>
      </c>
      <c r="B13" s="10" t="n">
        <f aca="false">'Kosten und Finanzierung'!B18</f>
        <v>4490837.70192315</v>
      </c>
      <c r="C13" s="9" t="s">
        <v>19</v>
      </c>
    </row>
    <row r="14" customFormat="false" ht="15" hidden="false" customHeight="false" outlineLevel="0" collapsed="false">
      <c r="A14" s="7" t="s">
        <v>20</v>
      </c>
      <c r="B14" s="10" t="n">
        <f aca="false">'Kosten und Finanzierung'!B29</f>
        <v>4490837.70192315</v>
      </c>
      <c r="C14" s="9" t="s">
        <v>21</v>
      </c>
    </row>
    <row r="15" customFormat="false" ht="15" hidden="false" customHeight="false" outlineLevel="0" collapsed="false">
      <c r="A15" s="7" t="s">
        <v>22</v>
      </c>
      <c r="B15" s="10" t="n">
        <f aca="false">SUM('Kosten und Finanzierung'!B24:B26)</f>
        <v>1982000</v>
      </c>
      <c r="C15" s="9" t="s">
        <v>23</v>
      </c>
    </row>
    <row r="16" customFormat="false" ht="15" hidden="false" customHeight="false" outlineLevel="0" collapsed="false">
      <c r="A16" s="7" t="s">
        <v>24</v>
      </c>
      <c r="B16" s="11" t="n">
        <f aca="false">'Kosten und Finanzierung'!B30</f>
        <v>0.441343048124681</v>
      </c>
      <c r="C16" s="9"/>
    </row>
    <row r="17" customFormat="false" ht="15" hidden="false" customHeight="false" outlineLevel="0" collapsed="false">
      <c r="A17" s="7" t="s">
        <v>25</v>
      </c>
      <c r="B17" s="12" t="n">
        <f aca="false">'Kosten und Finanzierung'!B31</f>
        <v>0.034250515891736</v>
      </c>
      <c r="C17" s="9" t="s">
        <v>26</v>
      </c>
    </row>
    <row r="18" customFormat="false" ht="15" hidden="false" customHeight="false" outlineLevel="0" collapsed="false">
      <c r="A18" s="7" t="s">
        <v>27</v>
      </c>
      <c r="B18" s="10" t="n">
        <f aca="false">Tilgungsplan!N3</f>
        <v>16560.1570913465</v>
      </c>
      <c r="C18" s="9" t="s">
        <v>28</v>
      </c>
    </row>
    <row r="19" customFormat="false" ht="15" hidden="false" customHeight="false" outlineLevel="0" collapsed="false">
      <c r="A19" s="7" t="s">
        <v>29</v>
      </c>
      <c r="B19" s="10" t="n">
        <f aca="false">'Tilgung Jahre'!E14</f>
        <v>3955746.0522965</v>
      </c>
      <c r="C19" s="9"/>
    </row>
    <row r="20" customFormat="false" ht="15" hidden="false" customHeight="false" outlineLevel="0" collapsed="false">
      <c r="A20" s="5" t="s">
        <v>30</v>
      </c>
      <c r="B20" s="6"/>
      <c r="C20" s="6"/>
    </row>
    <row r="21" customFormat="false" ht="15" hidden="false" customHeight="false" outlineLevel="0" collapsed="false">
      <c r="A21" s="7" t="s">
        <v>31</v>
      </c>
      <c r="B21" s="10" t="n">
        <f aca="false">'Ertrag und Cashflow'!B8</f>
        <v>12260.6470588235</v>
      </c>
      <c r="C21" s="9"/>
    </row>
    <row r="22" customFormat="false" ht="15" hidden="false" customHeight="false" outlineLevel="0" collapsed="false">
      <c r="A22" s="7" t="s">
        <v>32</v>
      </c>
      <c r="B22" s="10" t="n">
        <f aca="false">'Ertrag und Cashflow'!B9</f>
        <v>9730</v>
      </c>
      <c r="C22" s="9" t="s">
        <v>33</v>
      </c>
    </row>
    <row r="23" customFormat="false" ht="15" hidden="false" customHeight="false" outlineLevel="0" collapsed="false">
      <c r="A23" s="7" t="s">
        <v>34</v>
      </c>
      <c r="B23" s="13" t="n">
        <f aca="false">'Ertrag und Cashflow'!B12</f>
        <v>5430.48996747706</v>
      </c>
      <c r="C23" s="9"/>
    </row>
    <row r="24" customFormat="false" ht="15" hidden="false" customHeight="false" outlineLevel="0" collapsed="false">
      <c r="A24" s="7" t="s">
        <v>35</v>
      </c>
      <c r="B24" s="14" t="n">
        <f aca="false">'Ertrag und Cashflow'!B14</f>
        <v>1.32792502737276</v>
      </c>
      <c r="C24" s="9" t="s">
        <v>36</v>
      </c>
    </row>
    <row r="25" customFormat="false" ht="15" hidden="false" customHeight="false" outlineLevel="0" collapsed="false">
      <c r="A25" s="7" t="s">
        <v>37</v>
      </c>
      <c r="B25" s="14" t="n">
        <f aca="false">'Ertrag und Cashflow'!B15</f>
        <v>0.740370214557345</v>
      </c>
      <c r="C25" s="9" t="s">
        <v>38</v>
      </c>
    </row>
    <row r="26" customFormat="false" ht="15" hidden="false" customHeight="false" outlineLevel="0" collapsed="false">
      <c r="A26" s="7" t="s">
        <v>39</v>
      </c>
      <c r="B26" s="10" t="n">
        <f aca="false">Ertragswert!B21</f>
        <v>3060908.2294973</v>
      </c>
      <c r="C26" s="9" t="s">
        <v>40</v>
      </c>
    </row>
    <row r="27" customFormat="false" ht="15" hidden="false" customHeight="false" outlineLevel="0" collapsed="false">
      <c r="A27" s="7" t="s">
        <v>41</v>
      </c>
      <c r="B27" s="10" t="n">
        <f aca="false">Ertragswert!B28</f>
        <v>2754817.40654757</v>
      </c>
      <c r="C27" s="9"/>
    </row>
    <row r="28" customFormat="false" ht="15" hidden="false" customHeight="false" outlineLevel="0" collapsed="false">
      <c r="A28" s="7" t="s">
        <v>42</v>
      </c>
      <c r="B28" s="11" t="n">
        <f aca="false">Ertragswert!B31</f>
        <v>1.63017617474373</v>
      </c>
      <c r="C28" s="9" t="s">
        <v>43</v>
      </c>
    </row>
    <row r="29" customFormat="false" ht="43.5" hidden="false" customHeight="true" outlineLevel="0" collapsed="false">
      <c r="A29" s="7" t="s">
        <v>44</v>
      </c>
      <c r="B29" s="15" t="str">
        <f aca="false">'Airbnb Prüfung'!A23</f>
        <v>Kein Apartment erreicht den Mindest-Mehrertrag von 300 € pro Monat. Langfristige Vermietung ist besser, Airbnb bleibt aus dem Konzept.</v>
      </c>
      <c r="C29" s="15"/>
    </row>
    <row r="31" customFormat="false" ht="15" hidden="false" customHeight="false" outlineLevel="0" collapsed="false">
      <c r="A31" s="16" t="s">
        <v>45</v>
      </c>
    </row>
  </sheetData>
  <mergeCells count="1">
    <mergeCell ref="B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17" t="s">
        <v>48</v>
      </c>
      <c r="B3" s="17" t="s">
        <v>3</v>
      </c>
      <c r="C3" s="17" t="s">
        <v>49</v>
      </c>
    </row>
    <row r="4" customFormat="false" ht="15" hidden="false" customHeight="false" outlineLevel="0" collapsed="false">
      <c r="A4" s="5" t="s">
        <v>50</v>
      </c>
      <c r="B4" s="6"/>
      <c r="C4" s="6"/>
    </row>
    <row r="5" customFormat="false" ht="15" hidden="false" customHeight="false" outlineLevel="0" collapsed="false">
      <c r="A5" s="7" t="s">
        <v>51</v>
      </c>
      <c r="B5" s="18" t="n">
        <v>960</v>
      </c>
      <c r="C5" s="9" t="s">
        <v>52</v>
      </c>
    </row>
    <row r="6" customFormat="false" ht="15" hidden="false" customHeight="false" outlineLevel="0" collapsed="false">
      <c r="A6" s="7" t="s">
        <v>53</v>
      </c>
      <c r="B6" s="19" t="n">
        <v>230</v>
      </c>
      <c r="C6" s="9" t="s">
        <v>54</v>
      </c>
    </row>
    <row r="7" customFormat="false" ht="15" hidden="false" customHeight="false" outlineLevel="0" collapsed="false">
      <c r="A7" s="7" t="s">
        <v>55</v>
      </c>
      <c r="B7" s="20" t="n">
        <v>0.05</v>
      </c>
      <c r="C7" s="9" t="s">
        <v>56</v>
      </c>
    </row>
    <row r="8" customFormat="false" ht="15" hidden="false" customHeight="false" outlineLevel="0" collapsed="false">
      <c r="A8" s="7" t="s">
        <v>57</v>
      </c>
      <c r="B8" s="20" t="n">
        <v>0.02</v>
      </c>
      <c r="C8" s="9" t="s">
        <v>48</v>
      </c>
    </row>
    <row r="9" customFormat="false" ht="15" hidden="false" customHeight="false" outlineLevel="0" collapsed="false">
      <c r="A9" s="5" t="s">
        <v>58</v>
      </c>
      <c r="B9" s="6"/>
      <c r="C9" s="6"/>
    </row>
    <row r="10" customFormat="false" ht="15" hidden="false" customHeight="false" outlineLevel="0" collapsed="false">
      <c r="A10" s="7" t="s">
        <v>59</v>
      </c>
      <c r="B10" s="18" t="n">
        <v>540</v>
      </c>
      <c r="C10" s="9" t="s">
        <v>60</v>
      </c>
    </row>
    <row r="11" customFormat="false" ht="15" hidden="false" customHeight="false" outlineLevel="0" collapsed="false">
      <c r="A11" s="7" t="s">
        <v>61</v>
      </c>
      <c r="B11" s="18" t="n">
        <v>540</v>
      </c>
      <c r="C11" s="9" t="s">
        <v>62</v>
      </c>
    </row>
    <row r="12" customFormat="false" ht="15" hidden="false" customHeight="false" outlineLevel="0" collapsed="false">
      <c r="A12" s="7" t="s">
        <v>63</v>
      </c>
      <c r="B12" s="18" t="n">
        <v>460</v>
      </c>
      <c r="C12" s="9" t="s">
        <v>64</v>
      </c>
    </row>
    <row r="13" customFormat="false" ht="15" hidden="false" customHeight="false" outlineLevel="0" collapsed="false">
      <c r="A13" s="7" t="s">
        <v>65</v>
      </c>
      <c r="B13" s="19" t="n">
        <v>2200</v>
      </c>
      <c r="C13" s="9" t="s">
        <v>66</v>
      </c>
    </row>
    <row r="14" customFormat="false" ht="15" hidden="false" customHeight="false" outlineLevel="0" collapsed="false">
      <c r="A14" s="7" t="s">
        <v>67</v>
      </c>
      <c r="B14" s="19" t="n">
        <v>400</v>
      </c>
      <c r="C14" s="9" t="s">
        <v>68</v>
      </c>
    </row>
    <row r="15" customFormat="false" ht="15" hidden="false" customHeight="false" outlineLevel="0" collapsed="false">
      <c r="A15" s="7" t="s">
        <v>69</v>
      </c>
      <c r="B15" s="18" t="n">
        <v>72</v>
      </c>
      <c r="C15" s="9" t="s">
        <v>70</v>
      </c>
    </row>
    <row r="16" customFormat="false" ht="15" hidden="false" customHeight="false" outlineLevel="0" collapsed="false">
      <c r="A16" s="7" t="s">
        <v>71</v>
      </c>
      <c r="B16" s="19" t="n">
        <v>450</v>
      </c>
      <c r="C16" s="9" t="s">
        <v>48</v>
      </c>
    </row>
    <row r="17" customFormat="false" ht="15" hidden="false" customHeight="false" outlineLevel="0" collapsed="false">
      <c r="A17" s="7" t="s">
        <v>72</v>
      </c>
      <c r="B17" s="20" t="n">
        <v>0.15</v>
      </c>
      <c r="C17" s="9" t="s">
        <v>73</v>
      </c>
    </row>
    <row r="18" customFormat="false" ht="15" hidden="false" customHeight="false" outlineLevel="0" collapsed="false">
      <c r="A18" s="7" t="s">
        <v>74</v>
      </c>
      <c r="B18" s="20" t="n">
        <v>0.03</v>
      </c>
      <c r="C18" s="9" t="s">
        <v>75</v>
      </c>
    </row>
    <row r="19" customFormat="false" ht="15" hidden="false" customHeight="false" outlineLevel="0" collapsed="false">
      <c r="A19" s="7" t="s">
        <v>76</v>
      </c>
      <c r="B19" s="21" t="n">
        <v>150000</v>
      </c>
      <c r="C19" s="9" t="s">
        <v>77</v>
      </c>
    </row>
    <row r="20" customFormat="false" ht="15" hidden="false" customHeight="false" outlineLevel="0" collapsed="false">
      <c r="A20" s="5" t="s">
        <v>78</v>
      </c>
      <c r="B20" s="6"/>
      <c r="C20" s="6"/>
    </row>
    <row r="21" customFormat="false" ht="15" hidden="false" customHeight="false" outlineLevel="0" collapsed="false">
      <c r="A21" s="7" t="s">
        <v>79</v>
      </c>
      <c r="B21" s="18" t="n">
        <v>460</v>
      </c>
      <c r="C21" s="9" t="s">
        <v>80</v>
      </c>
    </row>
    <row r="22" customFormat="false" ht="15" hidden="false" customHeight="false" outlineLevel="0" collapsed="false">
      <c r="A22" s="7" t="s">
        <v>81</v>
      </c>
      <c r="B22" s="20" t="n">
        <v>0.85</v>
      </c>
      <c r="C22" s="9" t="s">
        <v>82</v>
      </c>
    </row>
    <row r="23" customFormat="false" ht="15" hidden="false" customHeight="false" outlineLevel="0" collapsed="false">
      <c r="A23" s="7" t="s">
        <v>83</v>
      </c>
      <c r="B23" s="18" t="n">
        <v>415</v>
      </c>
      <c r="C23" s="9" t="s">
        <v>84</v>
      </c>
    </row>
    <row r="24" customFormat="false" ht="15" hidden="false" customHeight="false" outlineLevel="0" collapsed="false">
      <c r="A24" s="7" t="s">
        <v>85</v>
      </c>
      <c r="B24" s="18" t="n">
        <v>5</v>
      </c>
      <c r="C24" s="9" t="s">
        <v>86</v>
      </c>
    </row>
    <row r="25" customFormat="false" ht="15" hidden="false" customHeight="false" outlineLevel="0" collapsed="false">
      <c r="A25" s="7" t="s">
        <v>87</v>
      </c>
      <c r="B25" s="18" t="n">
        <v>310</v>
      </c>
      <c r="C25" s="9" t="s">
        <v>88</v>
      </c>
    </row>
    <row r="26" customFormat="false" ht="15" hidden="false" customHeight="false" outlineLevel="0" collapsed="false">
      <c r="A26" s="7" t="s">
        <v>89</v>
      </c>
      <c r="B26" s="18" t="n">
        <v>3</v>
      </c>
      <c r="C26" s="9" t="s">
        <v>86</v>
      </c>
    </row>
    <row r="27" customFormat="false" ht="15" hidden="false" customHeight="false" outlineLevel="0" collapsed="false">
      <c r="A27" s="7" t="s">
        <v>90</v>
      </c>
      <c r="B27" s="18" t="n">
        <v>0</v>
      </c>
      <c r="C27" s="9" t="s">
        <v>91</v>
      </c>
    </row>
    <row r="28" customFormat="false" ht="15" hidden="false" customHeight="false" outlineLevel="0" collapsed="false">
      <c r="A28" s="5" t="s">
        <v>92</v>
      </c>
      <c r="B28" s="6"/>
      <c r="C28" s="6"/>
    </row>
    <row r="29" customFormat="false" ht="15" hidden="false" customHeight="false" outlineLevel="0" collapsed="false">
      <c r="A29" s="7" t="s">
        <v>93</v>
      </c>
      <c r="B29" s="22" t="n">
        <f aca="false">950/85</f>
        <v>11.1764705882353</v>
      </c>
      <c r="C29" s="9" t="s">
        <v>94</v>
      </c>
    </row>
    <row r="30" customFormat="false" ht="15" hidden="false" customHeight="false" outlineLevel="0" collapsed="false">
      <c r="A30" s="7" t="s">
        <v>95</v>
      </c>
      <c r="B30" s="19" t="n">
        <v>12</v>
      </c>
      <c r="C30" s="9" t="s">
        <v>96</v>
      </c>
    </row>
    <row r="31" customFormat="false" ht="15" hidden="false" customHeight="false" outlineLevel="0" collapsed="false">
      <c r="A31" s="7" t="s">
        <v>97</v>
      </c>
      <c r="B31" s="20" t="n">
        <v>0.1</v>
      </c>
      <c r="C31" s="9" t="s">
        <v>98</v>
      </c>
    </row>
    <row r="32" customFormat="false" ht="15" hidden="false" customHeight="false" outlineLevel="0" collapsed="false">
      <c r="A32" s="7" t="s">
        <v>99</v>
      </c>
      <c r="B32" s="21" t="n">
        <v>50000</v>
      </c>
      <c r="C32" s="9" t="s">
        <v>100</v>
      </c>
    </row>
    <row r="33" customFormat="false" ht="15" hidden="false" customHeight="false" outlineLevel="0" collapsed="false">
      <c r="A33" s="7" t="s">
        <v>101</v>
      </c>
      <c r="B33" s="20" t="n">
        <v>0.305</v>
      </c>
      <c r="C33" s="9" t="s">
        <v>102</v>
      </c>
    </row>
    <row r="34" customFormat="false" ht="15" hidden="false" customHeight="false" outlineLevel="0" collapsed="false">
      <c r="A34" s="7" t="s">
        <v>103</v>
      </c>
      <c r="B34" s="19" t="n">
        <v>0</v>
      </c>
      <c r="C34" s="9" t="s">
        <v>104</v>
      </c>
    </row>
    <row r="35" customFormat="false" ht="15" hidden="false" customHeight="false" outlineLevel="0" collapsed="false">
      <c r="A35" s="5" t="s">
        <v>105</v>
      </c>
      <c r="B35" s="6"/>
      <c r="C35" s="6"/>
    </row>
    <row r="36" customFormat="false" ht="15" hidden="false" customHeight="false" outlineLevel="0" collapsed="false">
      <c r="A36" s="7" t="s">
        <v>106</v>
      </c>
      <c r="B36" s="19" t="n">
        <v>150000</v>
      </c>
      <c r="C36" s="9" t="s">
        <v>107</v>
      </c>
    </row>
    <row r="37" customFormat="false" ht="15" hidden="false" customHeight="false" outlineLevel="0" collapsed="false">
      <c r="A37" s="7" t="s">
        <v>108</v>
      </c>
      <c r="B37" s="19" t="n">
        <v>2000</v>
      </c>
      <c r="C37" s="9" t="s">
        <v>109</v>
      </c>
    </row>
    <row r="38" customFormat="false" ht="15" hidden="false" customHeight="false" outlineLevel="0" collapsed="false">
      <c r="A38" s="7" t="s">
        <v>110</v>
      </c>
      <c r="B38" s="23" t="n">
        <v>0.025</v>
      </c>
      <c r="C38" s="9" t="s">
        <v>111</v>
      </c>
    </row>
    <row r="39" customFormat="false" ht="15" hidden="false" customHeight="false" outlineLevel="0" collapsed="false">
      <c r="A39" s="7" t="s">
        <v>112</v>
      </c>
      <c r="B39" s="23" t="n">
        <v>0.03</v>
      </c>
      <c r="C39" s="9" t="s">
        <v>113</v>
      </c>
    </row>
    <row r="40" customFormat="false" ht="15" hidden="false" customHeight="false" outlineLevel="0" collapsed="false">
      <c r="A40" s="7" t="s">
        <v>114</v>
      </c>
      <c r="B40" s="23" t="n">
        <v>0.04</v>
      </c>
      <c r="C40" s="9" t="s">
        <v>115</v>
      </c>
    </row>
    <row r="41" customFormat="false" ht="15" hidden="false" customHeight="false" outlineLevel="0" collapsed="false">
      <c r="A41" s="7" t="s">
        <v>116</v>
      </c>
      <c r="B41" s="24" t="n">
        <v>0.01</v>
      </c>
      <c r="C41" s="9" t="s">
        <v>117</v>
      </c>
    </row>
    <row r="42" customFormat="false" ht="15" hidden="false" customHeight="false" outlineLevel="0" collapsed="false">
      <c r="A42" s="7" t="s">
        <v>118</v>
      </c>
      <c r="B42" s="18" t="n">
        <v>15</v>
      </c>
      <c r="C42" s="9" t="s">
        <v>119</v>
      </c>
    </row>
    <row r="43" customFormat="false" ht="15" hidden="false" customHeight="false" outlineLevel="0" collapsed="false">
      <c r="A43" s="7" t="s">
        <v>120</v>
      </c>
      <c r="B43" s="18" t="n">
        <v>12</v>
      </c>
      <c r="C43" s="9" t="s">
        <v>121</v>
      </c>
    </row>
    <row r="44" customFormat="false" ht="15" hidden="false" customHeight="false" outlineLevel="0" collapsed="false">
      <c r="A44" s="7" t="s">
        <v>122</v>
      </c>
      <c r="B44" s="20" t="n">
        <v>0.03</v>
      </c>
      <c r="C44" s="9" t="s">
        <v>123</v>
      </c>
    </row>
    <row r="45" customFormat="false" ht="15" hidden="false" customHeight="false" outlineLevel="0" collapsed="false">
      <c r="A45" s="7" t="s">
        <v>124</v>
      </c>
      <c r="B45" s="18" t="n">
        <v>7</v>
      </c>
      <c r="C45" s="9"/>
    </row>
    <row r="46" customFormat="false" ht="15" hidden="false" customHeight="false" outlineLevel="0" collapsed="false">
      <c r="A46" s="5" t="s">
        <v>125</v>
      </c>
      <c r="B46" s="6"/>
      <c r="C46" s="6"/>
    </row>
    <row r="47" customFormat="false" ht="15" hidden="false" customHeight="false" outlineLevel="0" collapsed="false">
      <c r="A47" s="7" t="s">
        <v>126</v>
      </c>
      <c r="B47" s="25" t="n">
        <v>0.045</v>
      </c>
      <c r="C47" s="9" t="s">
        <v>127</v>
      </c>
    </row>
    <row r="48" customFormat="false" ht="15" hidden="false" customHeight="false" outlineLevel="0" collapsed="false">
      <c r="A48" s="7" t="s">
        <v>128</v>
      </c>
      <c r="B48" s="18" t="n">
        <v>80</v>
      </c>
      <c r="C48" s="9" t="s">
        <v>129</v>
      </c>
    </row>
    <row r="49" customFormat="false" ht="15" hidden="false" customHeight="false" outlineLevel="0" collapsed="false">
      <c r="A49" s="7" t="s">
        <v>130</v>
      </c>
      <c r="B49" s="19" t="n">
        <v>360</v>
      </c>
      <c r="C49" s="9" t="s">
        <v>131</v>
      </c>
    </row>
    <row r="50" customFormat="false" ht="15" hidden="false" customHeight="false" outlineLevel="0" collapsed="false">
      <c r="A50" s="7" t="s">
        <v>132</v>
      </c>
      <c r="B50" s="19" t="n">
        <v>12</v>
      </c>
      <c r="C50" s="9" t="s">
        <v>133</v>
      </c>
    </row>
    <row r="51" customFormat="false" ht="15" hidden="false" customHeight="false" outlineLevel="0" collapsed="false">
      <c r="A51" s="7" t="s">
        <v>134</v>
      </c>
      <c r="B51" s="20" t="n">
        <v>0.02</v>
      </c>
      <c r="C51" s="9" t="s">
        <v>48</v>
      </c>
    </row>
    <row r="52" customFormat="false" ht="15" hidden="false" customHeight="false" outlineLevel="0" collapsed="false">
      <c r="A52" s="7" t="s">
        <v>135</v>
      </c>
      <c r="B52" s="20" t="n">
        <v>0.03</v>
      </c>
      <c r="C52" s="9" t="s">
        <v>48</v>
      </c>
    </row>
    <row r="53" customFormat="false" ht="15" hidden="false" customHeight="false" outlineLevel="0" collapsed="false">
      <c r="A53" s="7" t="s">
        <v>136</v>
      </c>
      <c r="B53" s="19" t="n">
        <v>8</v>
      </c>
      <c r="C53" s="9" t="s">
        <v>48</v>
      </c>
    </row>
    <row r="54" customFormat="false" ht="15" hidden="false" customHeight="false" outlineLevel="0" collapsed="false">
      <c r="A54" s="7" t="s">
        <v>137</v>
      </c>
      <c r="B54" s="20" t="n">
        <v>0.04</v>
      </c>
      <c r="C54" s="9" t="s">
        <v>138</v>
      </c>
    </row>
    <row r="55" customFormat="false" ht="15" hidden="false" customHeight="false" outlineLevel="0" collapsed="false">
      <c r="A55" s="7" t="s">
        <v>139</v>
      </c>
      <c r="B55" s="20" t="n">
        <v>0.1</v>
      </c>
      <c r="C55" s="9" t="s">
        <v>140</v>
      </c>
    </row>
    <row r="56" customFormat="false" ht="15" hidden="false" customHeight="false" outlineLevel="0" collapsed="false">
      <c r="A56" s="5" t="s">
        <v>141</v>
      </c>
      <c r="B56" s="6"/>
      <c r="C56" s="6"/>
    </row>
    <row r="57" customFormat="false" ht="15" hidden="false" customHeight="false" outlineLevel="0" collapsed="false">
      <c r="A57" s="7" t="s">
        <v>142</v>
      </c>
      <c r="B57" s="20" t="n">
        <v>0.015</v>
      </c>
      <c r="C57" s="9" t="s">
        <v>48</v>
      </c>
    </row>
    <row r="58" customFormat="false" ht="15" hidden="false" customHeight="false" outlineLevel="0" collapsed="false">
      <c r="A58" s="7" t="s">
        <v>143</v>
      </c>
      <c r="B58" s="20" t="n">
        <v>0.015</v>
      </c>
      <c r="C58" s="9" t="s">
        <v>48</v>
      </c>
    </row>
    <row r="60" customFormat="false" ht="15" hidden="false" customHeight="false" outlineLevel="0" collapsed="false">
      <c r="A60" s="16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7" min="6" style="0" width="18"/>
  </cols>
  <sheetData>
    <row r="1" customFormat="false" ht="19.7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15" hidden="false" customHeight="false" outlineLevel="0" collapsed="false">
      <c r="A4" s="3" t="s">
        <v>147</v>
      </c>
      <c r="B4" s="4" t="s">
        <v>148</v>
      </c>
      <c r="C4" s="4" t="s">
        <v>149</v>
      </c>
      <c r="D4" s="4" t="s">
        <v>150</v>
      </c>
      <c r="E4" s="4" t="s">
        <v>151</v>
      </c>
      <c r="F4" s="4"/>
      <c r="G4" s="4"/>
    </row>
    <row r="5" customFormat="false" ht="15" hidden="false" customHeight="false" outlineLevel="0" collapsed="false">
      <c r="A5" s="7" t="s">
        <v>152</v>
      </c>
      <c r="B5" s="8" t="n">
        <f aca="false">Annahmen!$B$10</f>
        <v>540</v>
      </c>
      <c r="C5" s="7" t="s">
        <v>153</v>
      </c>
      <c r="D5" s="26" t="n">
        <v>1</v>
      </c>
      <c r="E5" s="8" t="n">
        <f aca="false">Annahmen!$B$21</f>
        <v>460</v>
      </c>
    </row>
    <row r="6" customFormat="false" ht="15" hidden="false" customHeight="false" outlineLevel="0" collapsed="false">
      <c r="A6" s="7" t="s">
        <v>154</v>
      </c>
      <c r="B6" s="8" t="n">
        <f aca="false">Annahmen!$B$11</f>
        <v>540</v>
      </c>
      <c r="C6" s="7" t="s">
        <v>155</v>
      </c>
      <c r="D6" s="8" t="n">
        <f aca="false">Annahmen!$B$24</f>
        <v>5</v>
      </c>
      <c r="E6" s="8" t="n">
        <f aca="false">Annahmen!$B$23</f>
        <v>415</v>
      </c>
    </row>
    <row r="7" customFormat="false" ht="15" hidden="false" customHeight="false" outlineLevel="0" collapsed="false">
      <c r="A7" s="7" t="s">
        <v>156</v>
      </c>
      <c r="B7" s="8" t="n">
        <f aca="false">Annahmen!$B$12</f>
        <v>460</v>
      </c>
      <c r="C7" s="7" t="s">
        <v>155</v>
      </c>
      <c r="D7" s="8" t="n">
        <f aca="false">Annahmen!$B$26</f>
        <v>3</v>
      </c>
      <c r="E7" s="8" t="n">
        <f aca="false">Annahmen!$B$25</f>
        <v>310</v>
      </c>
    </row>
    <row r="8" customFormat="false" ht="15" hidden="false" customHeight="false" outlineLevel="0" collapsed="false">
      <c r="A8" s="27" t="s">
        <v>157</v>
      </c>
      <c r="B8" s="28" t="n">
        <f aca="false">SUM(B5:B7)</f>
        <v>1540</v>
      </c>
      <c r="C8" s="7"/>
      <c r="D8" s="28" t="n">
        <f aca="false">D6+D7</f>
        <v>8</v>
      </c>
      <c r="E8" s="28" t="n">
        <f aca="false">E6+E7</f>
        <v>725</v>
      </c>
    </row>
    <row r="11" customFormat="false" ht="15" hidden="false" customHeight="false" outlineLevel="0" collapsed="false">
      <c r="A11" s="3" t="s">
        <v>158</v>
      </c>
      <c r="B11" s="4" t="s">
        <v>147</v>
      </c>
      <c r="C11" s="4" t="s">
        <v>151</v>
      </c>
      <c r="D11" s="4" t="s">
        <v>149</v>
      </c>
      <c r="E11" s="4" t="s">
        <v>159</v>
      </c>
      <c r="F11" s="4" t="s">
        <v>160</v>
      </c>
      <c r="G11" s="4" t="s">
        <v>161</v>
      </c>
    </row>
    <row r="12" customFormat="false" ht="15" hidden="false" customHeight="false" outlineLevel="0" collapsed="false">
      <c r="A12" s="7" t="s">
        <v>162</v>
      </c>
      <c r="B12" s="7" t="s">
        <v>163</v>
      </c>
      <c r="C12" s="29" t="n">
        <f aca="false">Annahmen!$B$23/Annahmen!$B$24</f>
        <v>83</v>
      </c>
      <c r="D12" s="7" t="str">
        <f aca="false">IF(1&gt;Annahmen!$B$24+Annahmen!$B$26-Annahmen!$B$27,"Eigennutzung","vermietet")</f>
        <v>vermietet</v>
      </c>
      <c r="E12" s="30" t="n">
        <f aca="false">Annahmen!$B$29</f>
        <v>11.1764705882353</v>
      </c>
      <c r="F12" s="31" t="n">
        <f aca="false">C12*E12</f>
        <v>927.647058823529</v>
      </c>
      <c r="G12" s="31" t="n">
        <f aca="false">F12*12</f>
        <v>11131.7647058824</v>
      </c>
    </row>
    <row r="13" customFormat="false" ht="15" hidden="false" customHeight="false" outlineLevel="0" collapsed="false">
      <c r="A13" s="7" t="s">
        <v>164</v>
      </c>
      <c r="B13" s="7" t="s">
        <v>163</v>
      </c>
      <c r="C13" s="29" t="n">
        <f aca="false">Annahmen!$B$23/Annahmen!$B$24</f>
        <v>83</v>
      </c>
      <c r="D13" s="7" t="str">
        <f aca="false">IF(2&gt;Annahmen!$B$24+Annahmen!$B$26-Annahmen!$B$27,"Eigennutzung","vermietet")</f>
        <v>vermietet</v>
      </c>
      <c r="E13" s="30" t="n">
        <f aca="false">Annahmen!$B$29</f>
        <v>11.1764705882353</v>
      </c>
      <c r="F13" s="31" t="n">
        <f aca="false">C13*E13</f>
        <v>927.647058823529</v>
      </c>
      <c r="G13" s="31" t="n">
        <f aca="false">F13*12</f>
        <v>11131.7647058824</v>
      </c>
    </row>
    <row r="14" customFormat="false" ht="15" hidden="false" customHeight="false" outlineLevel="0" collapsed="false">
      <c r="A14" s="7" t="s">
        <v>165</v>
      </c>
      <c r="B14" s="7" t="s">
        <v>163</v>
      </c>
      <c r="C14" s="29" t="n">
        <f aca="false">Annahmen!$B$23/Annahmen!$B$24</f>
        <v>83</v>
      </c>
      <c r="D14" s="7" t="str">
        <f aca="false">IF(3&gt;Annahmen!$B$24+Annahmen!$B$26-Annahmen!$B$27,"Eigennutzung","vermietet")</f>
        <v>vermietet</v>
      </c>
      <c r="E14" s="30" t="n">
        <f aca="false">Annahmen!$B$29</f>
        <v>11.1764705882353</v>
      </c>
      <c r="F14" s="31" t="n">
        <f aca="false">C14*E14</f>
        <v>927.647058823529</v>
      </c>
      <c r="G14" s="31" t="n">
        <f aca="false">F14*12</f>
        <v>11131.7647058824</v>
      </c>
    </row>
    <row r="15" customFormat="false" ht="15" hidden="false" customHeight="false" outlineLevel="0" collapsed="false">
      <c r="A15" s="7" t="s">
        <v>166</v>
      </c>
      <c r="B15" s="7" t="s">
        <v>163</v>
      </c>
      <c r="C15" s="29" t="n">
        <f aca="false">Annahmen!$B$23/Annahmen!$B$24</f>
        <v>83</v>
      </c>
      <c r="D15" s="7" t="str">
        <f aca="false">IF(4&gt;Annahmen!$B$24+Annahmen!$B$26-Annahmen!$B$27,"Eigennutzung","vermietet")</f>
        <v>vermietet</v>
      </c>
      <c r="E15" s="30" t="n">
        <f aca="false">Annahmen!$B$29</f>
        <v>11.1764705882353</v>
      </c>
      <c r="F15" s="31" t="n">
        <f aca="false">C15*E15</f>
        <v>927.647058823529</v>
      </c>
      <c r="G15" s="31" t="n">
        <f aca="false">F15*12</f>
        <v>11131.7647058824</v>
      </c>
    </row>
    <row r="16" customFormat="false" ht="15" hidden="false" customHeight="false" outlineLevel="0" collapsed="false">
      <c r="A16" s="7" t="s">
        <v>167</v>
      </c>
      <c r="B16" s="7" t="s">
        <v>163</v>
      </c>
      <c r="C16" s="29" t="n">
        <f aca="false">Annahmen!$B$23/Annahmen!$B$24</f>
        <v>83</v>
      </c>
      <c r="D16" s="7" t="str">
        <f aca="false">IF(5&gt;Annahmen!$B$24+Annahmen!$B$26-Annahmen!$B$27,"Eigennutzung","vermietet")</f>
        <v>vermietet</v>
      </c>
      <c r="E16" s="30" t="n">
        <f aca="false">Annahmen!$B$29</f>
        <v>11.1764705882353</v>
      </c>
      <c r="F16" s="31" t="n">
        <f aca="false">C16*E16</f>
        <v>927.647058823529</v>
      </c>
      <c r="G16" s="31" t="n">
        <f aca="false">F16*12</f>
        <v>11131.7647058824</v>
      </c>
    </row>
    <row r="17" customFormat="false" ht="15" hidden="false" customHeight="false" outlineLevel="0" collapsed="false">
      <c r="A17" s="7" t="s">
        <v>168</v>
      </c>
      <c r="B17" s="7" t="s">
        <v>169</v>
      </c>
      <c r="C17" s="29" t="n">
        <f aca="false">Annahmen!$B$25/Annahmen!$B$26</f>
        <v>103.333333333333</v>
      </c>
      <c r="D17" s="7" t="str">
        <f aca="false">IF(6&gt;Annahmen!$B$24+Annahmen!$B$26-Annahmen!$B$27,"Eigennutzung","vermietet")</f>
        <v>vermietet</v>
      </c>
      <c r="E17" s="30" t="n">
        <f aca="false">Annahmen!$B$29</f>
        <v>11.1764705882353</v>
      </c>
      <c r="F17" s="31" t="n">
        <f aca="false">C17*E17</f>
        <v>1154.90196078431</v>
      </c>
      <c r="G17" s="31" t="n">
        <f aca="false">F17*12</f>
        <v>13858.8235294118</v>
      </c>
    </row>
    <row r="18" customFormat="false" ht="15" hidden="false" customHeight="false" outlineLevel="0" collapsed="false">
      <c r="A18" s="7" t="s">
        <v>170</v>
      </c>
      <c r="B18" s="7" t="s">
        <v>169</v>
      </c>
      <c r="C18" s="29" t="n">
        <f aca="false">Annahmen!$B$25/Annahmen!$B$26</f>
        <v>103.333333333333</v>
      </c>
      <c r="D18" s="7" t="str">
        <f aca="false">IF(7&gt;Annahmen!$B$24+Annahmen!$B$26-Annahmen!$B$27,"Eigennutzung","vermietet")</f>
        <v>vermietet</v>
      </c>
      <c r="E18" s="30" t="n">
        <f aca="false">Annahmen!$B$29</f>
        <v>11.1764705882353</v>
      </c>
      <c r="F18" s="31" t="n">
        <f aca="false">C18*E18</f>
        <v>1154.90196078431</v>
      </c>
      <c r="G18" s="31" t="n">
        <f aca="false">F18*12</f>
        <v>13858.8235294118</v>
      </c>
    </row>
    <row r="19" customFormat="false" ht="15" hidden="false" customHeight="false" outlineLevel="0" collapsed="false">
      <c r="A19" s="7" t="s">
        <v>171</v>
      </c>
      <c r="B19" s="7" t="s">
        <v>169</v>
      </c>
      <c r="C19" s="29" t="n">
        <f aca="false">Annahmen!$B$25/Annahmen!$B$26</f>
        <v>103.333333333333</v>
      </c>
      <c r="D19" s="7" t="str">
        <f aca="false">IF(8&gt;Annahmen!$B$24+Annahmen!$B$26-Annahmen!$B$27,"Eigennutzung","vermietet")</f>
        <v>vermietet</v>
      </c>
      <c r="E19" s="30" t="n">
        <f aca="false">Annahmen!$B$29</f>
        <v>11.1764705882353</v>
      </c>
      <c r="F19" s="31" t="n">
        <f aca="false">C19*E19</f>
        <v>1154.90196078431</v>
      </c>
      <c r="G19" s="31" t="n">
        <f aca="false">F19*12</f>
        <v>13858.8235294118</v>
      </c>
    </row>
    <row r="20" customFormat="false" ht="15" hidden="false" customHeight="false" outlineLevel="0" collapsed="false">
      <c r="A20" s="27" t="s">
        <v>172</v>
      </c>
      <c r="C20" s="32" t="n">
        <f aca="false">SUM(C12:C19)</f>
        <v>725</v>
      </c>
      <c r="F20" s="33" t="n">
        <f aca="false">SUM(F12:F19)</f>
        <v>8102.94117647059</v>
      </c>
      <c r="G20" s="33" t="n">
        <f aca="false">SUM(G12:G19)</f>
        <v>97235.2941176471</v>
      </c>
    </row>
    <row r="21" customFormat="false" ht="15" hidden="false" customHeight="false" outlineLevel="0" collapsed="false">
      <c r="A21" s="27" t="s">
        <v>173</v>
      </c>
      <c r="F21" s="33" t="n">
        <f aca="false">SUMIF(D12:D19,"vermietet",F12:F19)</f>
        <v>8102.94117647059</v>
      </c>
      <c r="G21" s="33" t="n">
        <f aca="false">F21*12</f>
        <v>97235.2941176471</v>
      </c>
    </row>
    <row r="22" customFormat="false" ht="15" hidden="false" customHeight="false" outlineLevel="0" collapsed="false">
      <c r="A22" s="27" t="s">
        <v>174</v>
      </c>
      <c r="C22" s="29" t="n">
        <f aca="false">Annahmen!$B$21</f>
        <v>460</v>
      </c>
      <c r="E22" s="30" t="n">
        <f aca="false">Annahmen!$B$30</f>
        <v>12</v>
      </c>
      <c r="F22" s="33" t="n">
        <f aca="false">C22*E22</f>
        <v>5520</v>
      </c>
      <c r="G22" s="33" t="n">
        <f aca="false">F22*12</f>
        <v>66240</v>
      </c>
    </row>
    <row r="23" customFormat="false" ht="15" hidden="false" customHeight="false" outlineLevel="0" collapsed="false">
      <c r="A23" s="27" t="s">
        <v>175</v>
      </c>
      <c r="F23" s="33" t="n">
        <f aca="false">F21+F22</f>
        <v>13622.9411764706</v>
      </c>
      <c r="G23" s="33" t="n">
        <f aca="false">G21+G22</f>
        <v>163475.294117647</v>
      </c>
    </row>
    <row r="25" customFormat="false" ht="15" hidden="false" customHeight="false" outlineLevel="0" collapsed="false">
      <c r="A25" s="16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3" t="s">
        <v>179</v>
      </c>
      <c r="B4" s="4" t="s">
        <v>180</v>
      </c>
      <c r="C4" s="4" t="s">
        <v>181</v>
      </c>
      <c r="D4" s="4" t="s">
        <v>182</v>
      </c>
    </row>
    <row r="5" customFormat="false" ht="15" hidden="false" customHeight="false" outlineLevel="0" collapsed="false">
      <c r="A5" s="7" t="s">
        <v>183</v>
      </c>
      <c r="B5" s="31" t="n">
        <f aca="false">Annahmen!$B$5*Annahmen!$B$6</f>
        <v>220800</v>
      </c>
      <c r="C5" s="34" t="n">
        <f aca="false">B5/$B$18</f>
        <v>0.0491667734742328</v>
      </c>
      <c r="D5" s="9" t="s">
        <v>184</v>
      </c>
    </row>
    <row r="6" customFormat="false" ht="15" hidden="false" customHeight="false" outlineLevel="0" collapsed="false">
      <c r="A6" s="7" t="s">
        <v>55</v>
      </c>
      <c r="B6" s="31" t="n">
        <f aca="false">B5*Annahmen!$B$7</f>
        <v>11040</v>
      </c>
      <c r="C6" s="34" t="n">
        <f aca="false">B6/$B$18</f>
        <v>0.00245833867371164</v>
      </c>
      <c r="D6" s="9"/>
    </row>
    <row r="7" customFormat="false" ht="15" hidden="false" customHeight="false" outlineLevel="0" collapsed="false">
      <c r="A7" s="7" t="s">
        <v>57</v>
      </c>
      <c r="B7" s="31" t="n">
        <f aca="false">B5*Annahmen!$B$8</f>
        <v>4416</v>
      </c>
      <c r="C7" s="34" t="n">
        <f aca="false">B7/$B$18</f>
        <v>0.000983335469484657</v>
      </c>
      <c r="D7" s="9"/>
    </row>
    <row r="8" customFormat="false" ht="15" hidden="false" customHeight="false" outlineLevel="0" collapsed="false">
      <c r="A8" s="27" t="s">
        <v>185</v>
      </c>
      <c r="B8" s="33" t="n">
        <f aca="false">SUM(B5:B7)</f>
        <v>236256</v>
      </c>
      <c r="C8" s="34" t="n">
        <f aca="false">B8/$B$18</f>
        <v>0.0526084476174291</v>
      </c>
      <c r="D8" s="9"/>
    </row>
    <row r="9" customFormat="false" ht="15" hidden="false" customHeight="false" outlineLevel="0" collapsed="false">
      <c r="A9" s="7" t="s">
        <v>186</v>
      </c>
      <c r="B9" s="31" t="n">
        <f aca="false">(Annahmen!$B$10+Annahmen!$B$11+Annahmen!$B$12)*Annahmen!$B$13</f>
        <v>3388000</v>
      </c>
      <c r="C9" s="34" t="n">
        <f aca="false">B9/$B$18</f>
        <v>0.754424948055711</v>
      </c>
      <c r="D9" s="9" t="s">
        <v>187</v>
      </c>
    </row>
    <row r="10" customFormat="false" ht="15" hidden="false" customHeight="false" outlineLevel="0" collapsed="false">
      <c r="A10" s="7" t="s">
        <v>188</v>
      </c>
      <c r="B10" s="31" t="n">
        <f aca="false">-Annahmen!$B$12*Annahmen!$B$14</f>
        <v>-184000</v>
      </c>
      <c r="C10" s="34" t="n">
        <f aca="false">B10/$B$18</f>
        <v>-0.0409723112285274</v>
      </c>
      <c r="D10" s="9" t="s">
        <v>189</v>
      </c>
    </row>
    <row r="11" customFormat="false" ht="15" hidden="false" customHeight="false" outlineLevel="0" collapsed="false">
      <c r="A11" s="7" t="s">
        <v>190</v>
      </c>
      <c r="B11" s="31" t="n">
        <f aca="false">Annahmen!$B$15*Annahmen!$B$16</f>
        <v>32400</v>
      </c>
      <c r="C11" s="34" t="n">
        <f aca="false">B11/$B$18</f>
        <v>0.00721468958589286</v>
      </c>
      <c r="D11" s="9" t="s">
        <v>191</v>
      </c>
    </row>
    <row r="12" customFormat="false" ht="15" hidden="false" customHeight="false" outlineLevel="0" collapsed="false">
      <c r="A12" s="27" t="s">
        <v>192</v>
      </c>
      <c r="B12" s="33" t="n">
        <f aca="false">SUM(B9:B11)</f>
        <v>3236400</v>
      </c>
      <c r="C12" s="34" t="n">
        <f aca="false">B12/$B$18</f>
        <v>0.720667326413076</v>
      </c>
      <c r="D12" s="9"/>
    </row>
    <row r="13" customFormat="false" ht="15" hidden="false" customHeight="false" outlineLevel="0" collapsed="false">
      <c r="A13" s="7" t="s">
        <v>72</v>
      </c>
      <c r="B13" s="31" t="n">
        <f aca="false">B12*Annahmen!$B$17</f>
        <v>485460</v>
      </c>
      <c r="C13" s="34" t="n">
        <f aca="false">B13/$B$18</f>
        <v>0.108100098961961</v>
      </c>
      <c r="D13" s="9" t="s">
        <v>193</v>
      </c>
    </row>
    <row r="14" customFormat="false" ht="15" hidden="false" customHeight="false" outlineLevel="0" collapsed="false">
      <c r="A14" s="7" t="s">
        <v>194</v>
      </c>
      <c r="B14" s="31" t="n">
        <f aca="false">(B12+B13)*Annahmen!$B$18</f>
        <v>111655.8</v>
      </c>
      <c r="C14" s="34" t="n">
        <f aca="false">B14/$B$18</f>
        <v>0.0248630227612511</v>
      </c>
      <c r="D14" s="9" t="s">
        <v>195</v>
      </c>
    </row>
    <row r="15" customFormat="false" ht="15" hidden="false" customHeight="false" outlineLevel="0" collapsed="false">
      <c r="A15" s="7" t="s">
        <v>196</v>
      </c>
      <c r="B15" s="31" t="n">
        <f aca="false">Annahmen!$B$19</f>
        <v>150000</v>
      </c>
      <c r="C15" s="34" t="n">
        <f aca="false">B15/$B$18</f>
        <v>0.0334013406754299</v>
      </c>
      <c r="D15" s="9" t="s">
        <v>197</v>
      </c>
    </row>
    <row r="16" customFormat="false" ht="15" hidden="false" customHeight="false" outlineLevel="0" collapsed="false">
      <c r="A16" s="27" t="s">
        <v>198</v>
      </c>
      <c r="B16" s="33" t="n">
        <f aca="false">B8+B12+B13+B14+B15</f>
        <v>4219771.8</v>
      </c>
      <c r="C16" s="34" t="n">
        <f aca="false">B16/$B$18</f>
        <v>0.939640236429148</v>
      </c>
      <c r="D16" s="9"/>
    </row>
    <row r="17" customFormat="false" ht="15" hidden="false" customHeight="false" outlineLevel="0" collapsed="false">
      <c r="A17" s="7" t="s">
        <v>199</v>
      </c>
      <c r="B17" s="31" t="n">
        <f aca="false">Bauphase!G36</f>
        <v>271065.901923152</v>
      </c>
      <c r="C17" s="34" t="n">
        <f aca="false">B17/$B$18</f>
        <v>0.0603597635708525</v>
      </c>
      <c r="D17" s="9" t="s">
        <v>200</v>
      </c>
    </row>
    <row r="18" customFormat="false" ht="15" hidden="false" customHeight="false" outlineLevel="0" collapsed="false">
      <c r="A18" s="27" t="s">
        <v>201</v>
      </c>
      <c r="B18" s="35" t="n">
        <f aca="false">B16+B17</f>
        <v>4490837.70192315</v>
      </c>
      <c r="C18" s="34" t="n">
        <f aca="false">B18/$B$18</f>
        <v>1</v>
      </c>
      <c r="D18" s="9"/>
    </row>
    <row r="19" customFormat="false" ht="15" hidden="false" customHeight="false" outlineLevel="0" collapsed="false">
      <c r="A19" s="7" t="s">
        <v>202</v>
      </c>
      <c r="B19" s="31" t="n">
        <f aca="false">B18/'Flächen und Mieten'!B8</f>
        <v>2916.12837787218</v>
      </c>
    </row>
    <row r="20" customFormat="false" ht="15" hidden="false" customHeight="false" outlineLevel="0" collapsed="false">
      <c r="A20" s="7" t="s">
        <v>203</v>
      </c>
      <c r="B20" s="31" t="n">
        <f aca="false">B18/'Flächen und Mieten'!D8</f>
        <v>561354.712740394</v>
      </c>
    </row>
    <row r="23" customFormat="false" ht="23.85" hidden="false" customHeight="false" outlineLevel="0" collapsed="false">
      <c r="A23" s="3" t="s">
        <v>204</v>
      </c>
      <c r="B23" s="4" t="s">
        <v>205</v>
      </c>
      <c r="C23" s="4" t="s">
        <v>181</v>
      </c>
      <c r="D23" s="4" t="s">
        <v>206</v>
      </c>
    </row>
    <row r="24" customFormat="false" ht="15" hidden="false" customHeight="false" outlineLevel="0" collapsed="false">
      <c r="A24" s="7" t="s">
        <v>207</v>
      </c>
      <c r="B24" s="31" t="n">
        <f aca="false">Bauphase!L33*Annahmen!$B$27/MAX(1,(Annahmen!$B$24+Annahmen!$B$26))</f>
        <v>0</v>
      </c>
      <c r="C24" s="34" t="n">
        <f aca="false">B24/$B$29</f>
        <v>0</v>
      </c>
      <c r="D24" s="12" t="n">
        <f aca="false">Annahmen!$B$38</f>
        <v>0.025</v>
      </c>
    </row>
    <row r="25" customFormat="false" ht="15" hidden="false" customHeight="false" outlineLevel="0" collapsed="false">
      <c r="A25" s="7" t="s">
        <v>208</v>
      </c>
      <c r="B25" s="31" t="n">
        <f aca="false">Bauphase!L33-B24</f>
        <v>1200000</v>
      </c>
      <c r="C25" s="34" t="n">
        <f aca="false">B25/$B$29</f>
        <v>0.267210725403439</v>
      </c>
      <c r="D25" s="12" t="n">
        <f aca="false">Annahmen!$B$38</f>
        <v>0.025</v>
      </c>
    </row>
    <row r="26" customFormat="false" ht="15" hidden="false" customHeight="false" outlineLevel="0" collapsed="false">
      <c r="A26" s="7" t="s">
        <v>209</v>
      </c>
      <c r="B26" s="31" t="n">
        <f aca="false">Bauphase!M33</f>
        <v>782000</v>
      </c>
      <c r="C26" s="34" t="n">
        <f aca="false">B26/$B$29</f>
        <v>0.174132322721241</v>
      </c>
      <c r="D26" s="12" t="n">
        <f aca="false">Annahmen!$B$39</f>
        <v>0.03</v>
      </c>
    </row>
    <row r="27" customFormat="false" ht="15" hidden="false" customHeight="false" outlineLevel="0" collapsed="false">
      <c r="A27" s="7" t="s">
        <v>210</v>
      </c>
      <c r="B27" s="31" t="n">
        <f aca="false">Bauphase!N33</f>
        <v>2508837.70192315</v>
      </c>
      <c r="C27" s="34" t="n">
        <f aca="false">B27/$B$29</f>
        <v>0.55865695187532</v>
      </c>
      <c r="D27" s="12" t="n">
        <f aca="false">Annahmen!$B$40</f>
        <v>0.04</v>
      </c>
    </row>
    <row r="28" customFormat="false" ht="15" hidden="false" customHeight="false" outlineLevel="0" collapsed="false">
      <c r="A28" s="7" t="s">
        <v>211</v>
      </c>
      <c r="B28" s="19" t="n">
        <v>0</v>
      </c>
      <c r="C28" s="34" t="n">
        <f aca="false">B28/$B$29</f>
        <v>0</v>
      </c>
      <c r="D28" s="7"/>
    </row>
    <row r="29" customFormat="false" ht="15" hidden="false" customHeight="false" outlineLevel="0" collapsed="false">
      <c r="A29" s="27" t="s">
        <v>212</v>
      </c>
      <c r="B29" s="35" t="n">
        <f aca="false">SUM(B24:B28)</f>
        <v>4490837.70192315</v>
      </c>
      <c r="C29" s="34" t="n">
        <f aca="false">B29/$B$29</f>
        <v>1</v>
      </c>
    </row>
    <row r="30" customFormat="false" ht="15" hidden="false" customHeight="false" outlineLevel="0" collapsed="false">
      <c r="A30" s="27" t="s">
        <v>213</v>
      </c>
      <c r="B30" s="36" t="n">
        <f aca="false">(B24+B25+B26)/B29</f>
        <v>0.441343048124681</v>
      </c>
    </row>
    <row r="31" customFormat="false" ht="15" hidden="false" customHeight="false" outlineLevel="0" collapsed="false">
      <c r="A31" s="27" t="s">
        <v>214</v>
      </c>
      <c r="B31" s="37" t="n">
        <f aca="false">(B24*Annahmen!$B$38+B25*Annahmen!$B$38+B26*Annahmen!$B$39+B27*Annahmen!$B$40)/B29</f>
        <v>0.034250515891736</v>
      </c>
    </row>
    <row r="33" customFormat="false" ht="15" hidden="false" customHeight="false" outlineLevel="0" collapsed="false">
      <c r="A33" s="38" t="s">
        <v>215</v>
      </c>
    </row>
    <row r="34" customFormat="false" ht="15" hidden="false" customHeight="false" outlineLevel="0" collapsed="false">
      <c r="A34" s="7" t="s">
        <v>216</v>
      </c>
      <c r="B34" s="31" t="n">
        <f aca="false">(Annahmen!$B$24+Annahmen!$B$26)*Annahmen!$B$36</f>
        <v>1200000</v>
      </c>
    </row>
    <row r="35" customFormat="false" ht="15" hidden="false" customHeight="false" outlineLevel="0" collapsed="false">
      <c r="A35" s="7" t="s">
        <v>217</v>
      </c>
      <c r="B35" s="31" t="n">
        <f aca="false">Annahmen!$B$21*Annahmen!$B$22*Annahmen!$B$37</f>
        <v>782000</v>
      </c>
    </row>
    <row r="36" customFormat="false" ht="15" hidden="false" customHeight="false" outlineLevel="0" collapsed="false">
      <c r="A36" s="7" t="s">
        <v>218</v>
      </c>
      <c r="B36" s="33" t="n">
        <f aca="false">B34+B35</f>
        <v>1982000</v>
      </c>
    </row>
    <row r="37" customFormat="false" ht="15" hidden="false" customHeight="false" outlineLevel="0" collapsed="false">
      <c r="A37" s="16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11" min="7" style="0" width="13"/>
    <col collapsed="false" customWidth="true" hidden="false" outlineLevel="0" max="14" min="12" style="0" width="15"/>
  </cols>
  <sheetData>
    <row r="1" customFormat="false" ht="19.7" hidden="false" customHeight="false" outlineLevel="0" collapsed="false">
      <c r="A1" s="1" t="s">
        <v>220</v>
      </c>
    </row>
    <row r="2" customFormat="false" ht="15" hidden="false" customHeight="false" outlineLevel="0" collapsed="false">
      <c r="A2" s="2" t="s">
        <v>221</v>
      </c>
    </row>
    <row r="3" customFormat="false" ht="15" hidden="false" customHeight="false" outlineLevel="0" collapsed="false">
      <c r="A3" s="39" t="s">
        <v>222</v>
      </c>
      <c r="E3" s="34" t="n">
        <f aca="false">MIN(1,'Kosten und Finanzierung'!B34/'Kosten und Finanzierung'!B16)</f>
        <v>0.284375567418124</v>
      </c>
      <c r="F3" s="39" t="s">
        <v>223</v>
      </c>
      <c r="I3" s="34" t="n">
        <f aca="false">MIN(1-E3,'Kosten und Finanzierung'!B35/'Kosten und Finanzierung'!B16)</f>
        <v>0.185318078100811</v>
      </c>
      <c r="J3" s="39" t="s">
        <v>224</v>
      </c>
      <c r="L3" s="34" t="n">
        <f aca="false">1-E3-I3</f>
        <v>0.530306354481065</v>
      </c>
    </row>
    <row r="5" customFormat="false" ht="42" hidden="false" customHeight="true" outlineLevel="0" collapsed="false">
      <c r="A5" s="3" t="s">
        <v>225</v>
      </c>
      <c r="B5" s="4" t="s">
        <v>226</v>
      </c>
      <c r="C5" s="4" t="s">
        <v>227</v>
      </c>
      <c r="D5" s="4" t="s">
        <v>228</v>
      </c>
      <c r="E5" s="4" t="s">
        <v>229</v>
      </c>
      <c r="F5" s="4" t="s">
        <v>230</v>
      </c>
      <c r="G5" s="4" t="s">
        <v>231</v>
      </c>
      <c r="H5" s="4" t="s">
        <v>232</v>
      </c>
      <c r="I5" s="4" t="s">
        <v>233</v>
      </c>
      <c r="J5" s="4" t="s">
        <v>234</v>
      </c>
      <c r="K5" s="4" t="s">
        <v>235</v>
      </c>
      <c r="L5" s="4" t="s">
        <v>236</v>
      </c>
      <c r="M5" s="4" t="s">
        <v>237</v>
      </c>
      <c r="N5" s="4" t="s">
        <v>238</v>
      </c>
    </row>
    <row r="6" customFormat="false" ht="15" hidden="false" customHeight="false" outlineLevel="0" collapsed="false">
      <c r="A6" s="26" t="n">
        <v>0</v>
      </c>
      <c r="B6" s="7" t="s">
        <v>50</v>
      </c>
      <c r="C6" s="31" t="n">
        <f aca="false">'Kosten und Finanzierung'!B8</f>
        <v>236256</v>
      </c>
      <c r="D6" s="31" t="n">
        <f aca="false">('Kosten und Finanzierung'!B16-'Kosten und Finanzierung'!B8)</f>
        <v>3983515.8</v>
      </c>
      <c r="E6" s="31" t="n">
        <f aca="false">C6*$E$3</f>
        <v>67185.4340559364</v>
      </c>
      <c r="F6" s="31" t="n">
        <f aca="false">C6*$I$3</f>
        <v>43782.5078597852</v>
      </c>
      <c r="G6" s="31" t="n">
        <v>0</v>
      </c>
      <c r="H6" s="31" t="n">
        <v>0</v>
      </c>
      <c r="I6" s="31" t="n">
        <v>0</v>
      </c>
      <c r="J6" s="31" t="n">
        <v>0</v>
      </c>
      <c r="K6" s="31" t="n">
        <f aca="false">C6*$L$3+G6+H6+I6+J6</f>
        <v>125288.058084278</v>
      </c>
      <c r="L6" s="31" t="n">
        <f aca="false">E6</f>
        <v>67185.4340559364</v>
      </c>
      <c r="M6" s="31" t="n">
        <f aca="false">F6</f>
        <v>43782.5078597852</v>
      </c>
      <c r="N6" s="31" t="n">
        <f aca="false">K6</f>
        <v>125288.058084278</v>
      </c>
    </row>
    <row r="7" customFormat="false" ht="15" hidden="false" customHeight="false" outlineLevel="0" collapsed="false">
      <c r="A7" s="26" t="n">
        <v>1</v>
      </c>
      <c r="B7" s="7" t="s">
        <v>239</v>
      </c>
      <c r="C7" s="31" t="n">
        <f aca="false">IF(A7&lt;=Annahmen!$B$42,('Kosten und Finanzierung'!B16-'Kosten und Finanzierung'!B8)/Annahmen!$B$42,0)</f>
        <v>265567.72</v>
      </c>
      <c r="D7" s="31" t="n">
        <f aca="false">IF(A7&lt;=Annahmen!$B$42,('Kosten und Finanzierung'!B16-'Kosten und Finanzierung'!B8)*(Annahmen!$B$42-(A7-1))/Annahmen!$B$42,0)</f>
        <v>3983515.8</v>
      </c>
      <c r="E7" s="31" t="n">
        <f aca="false">C7*$E$3</f>
        <v>75520.9710629376</v>
      </c>
      <c r="F7" s="31" t="n">
        <f aca="false">C7*$I$3</f>
        <v>49214.4994760143</v>
      </c>
      <c r="G7" s="31" t="n">
        <f aca="false">L6*Annahmen!$B$38/12</f>
        <v>139.969654283201</v>
      </c>
      <c r="H7" s="31" t="n">
        <f aca="false">M6*Annahmen!$B$39/12</f>
        <v>109.456269649463</v>
      </c>
      <c r="I7" s="31" t="n">
        <f aca="false">N6*Annahmen!$B$40/12</f>
        <v>417.626860280928</v>
      </c>
      <c r="J7" s="31" t="n">
        <f aca="false">IF(AND(A7&gt;=Annahmen!$B$45,A7&lt;=Annahmen!$B$42),D7*Annahmen!$B$44/12,0)</f>
        <v>0</v>
      </c>
      <c r="K7" s="31" t="n">
        <f aca="false">C7*$L$3+G7+H7+I7+J7</f>
        <v>141499.302245262</v>
      </c>
      <c r="L7" s="31" t="n">
        <f aca="false">L6+E7</f>
        <v>142706.405118874</v>
      </c>
      <c r="M7" s="31" t="n">
        <f aca="false">M6+F7</f>
        <v>92997.0073357995</v>
      </c>
      <c r="N7" s="31" t="n">
        <f aca="false">N6+K7</f>
        <v>266787.36032954</v>
      </c>
    </row>
    <row r="8" customFormat="false" ht="15" hidden="false" customHeight="false" outlineLevel="0" collapsed="false">
      <c r="A8" s="26" t="n">
        <v>2</v>
      </c>
      <c r="B8" s="7" t="s">
        <v>239</v>
      </c>
      <c r="C8" s="31" t="n">
        <f aca="false">IF(A8&lt;=Annahmen!$B$42,('Kosten und Finanzierung'!B16-'Kosten und Finanzierung'!B8)/Annahmen!$B$42,0)</f>
        <v>265567.72</v>
      </c>
      <c r="D8" s="31" t="n">
        <f aca="false">IF(A8&lt;=Annahmen!$B$42,('Kosten und Finanzierung'!B16-'Kosten und Finanzierung'!B8)*(Annahmen!$B$42-(A8-1))/Annahmen!$B$42,0)</f>
        <v>3717948.08</v>
      </c>
      <c r="E8" s="31" t="n">
        <f aca="false">C8*$E$3</f>
        <v>75520.9710629376</v>
      </c>
      <c r="F8" s="31" t="n">
        <f aca="false">C8*$I$3</f>
        <v>49214.4994760143</v>
      </c>
      <c r="G8" s="31" t="n">
        <f aca="false">L7*Annahmen!$B$38/12</f>
        <v>297.305010664321</v>
      </c>
      <c r="H8" s="31" t="n">
        <f aca="false">M7*Annahmen!$B$39/12</f>
        <v>232.492518339499</v>
      </c>
      <c r="I8" s="31" t="n">
        <f aca="false">N7*Annahmen!$B$40/12</f>
        <v>889.291201098467</v>
      </c>
      <c r="J8" s="31" t="n">
        <f aca="false">IF(AND(A8&gt;=Annahmen!$B$45,A8&lt;=Annahmen!$B$42),D8*Annahmen!$B$44/12,0)</f>
        <v>0</v>
      </c>
      <c r="K8" s="31" t="n">
        <f aca="false">C8*$L$3+G8+H8+I8+J8</f>
        <v>142251.33819115</v>
      </c>
      <c r="L8" s="31" t="n">
        <f aca="false">L7+E8</f>
        <v>218227.376181812</v>
      </c>
      <c r="M8" s="31" t="n">
        <f aca="false">M7+F8</f>
        <v>142211.506811814</v>
      </c>
      <c r="N8" s="31" t="n">
        <f aca="false">N7+K8</f>
        <v>409038.698520691</v>
      </c>
    </row>
    <row r="9" customFormat="false" ht="15" hidden="false" customHeight="false" outlineLevel="0" collapsed="false">
      <c r="A9" s="26" t="n">
        <v>3</v>
      </c>
      <c r="B9" s="7" t="s">
        <v>239</v>
      </c>
      <c r="C9" s="31" t="n">
        <f aca="false">IF(A9&lt;=Annahmen!$B$42,('Kosten und Finanzierung'!B16-'Kosten und Finanzierung'!B8)/Annahmen!$B$42,0)</f>
        <v>265567.72</v>
      </c>
      <c r="D9" s="31" t="n">
        <f aca="false">IF(A9&lt;=Annahmen!$B$42,('Kosten und Finanzierung'!B16-'Kosten und Finanzierung'!B8)*(Annahmen!$B$42-(A9-1))/Annahmen!$B$42,0)</f>
        <v>3452380.36</v>
      </c>
      <c r="E9" s="31" t="n">
        <f aca="false">C9*$E$3</f>
        <v>75520.9710629376</v>
      </c>
      <c r="F9" s="31" t="n">
        <f aca="false">C9*$I$3</f>
        <v>49214.4994760143</v>
      </c>
      <c r="G9" s="31" t="n">
        <f aca="false">L8*Annahmen!$B$38/12</f>
        <v>454.640367045441</v>
      </c>
      <c r="H9" s="31" t="n">
        <f aca="false">M8*Annahmen!$B$39/12</f>
        <v>355.528767029535</v>
      </c>
      <c r="I9" s="31" t="n">
        <f aca="false">N8*Annahmen!$B$40/12</f>
        <v>1363.4623284023</v>
      </c>
      <c r="J9" s="31" t="n">
        <f aca="false">IF(AND(A9&gt;=Annahmen!$B$45,A9&lt;=Annahmen!$B$42),D9*Annahmen!$B$44/12,0)</f>
        <v>0</v>
      </c>
      <c r="K9" s="31" t="n">
        <f aca="false">C9*$L$3+G9+H9+I9+J9</f>
        <v>143005.880923525</v>
      </c>
      <c r="L9" s="31" t="n">
        <f aca="false">L8+E9</f>
        <v>293748.347244749</v>
      </c>
      <c r="M9" s="31" t="n">
        <f aca="false">M8+F9</f>
        <v>191426.006287828</v>
      </c>
      <c r="N9" s="31" t="n">
        <f aca="false">N8+K9</f>
        <v>552044.579444216</v>
      </c>
    </row>
    <row r="10" customFormat="false" ht="15" hidden="false" customHeight="false" outlineLevel="0" collapsed="false">
      <c r="A10" s="26" t="n">
        <v>4</v>
      </c>
      <c r="B10" s="7" t="s">
        <v>239</v>
      </c>
      <c r="C10" s="31" t="n">
        <f aca="false">IF(A10&lt;=Annahmen!$B$42,('Kosten und Finanzierung'!B16-'Kosten und Finanzierung'!B8)/Annahmen!$B$42,0)</f>
        <v>265567.72</v>
      </c>
      <c r="D10" s="31" t="n">
        <f aca="false">IF(A10&lt;=Annahmen!$B$42,('Kosten und Finanzierung'!B16-'Kosten und Finanzierung'!B8)*(Annahmen!$B$42-(A10-1))/Annahmen!$B$42,0)</f>
        <v>3186812.64</v>
      </c>
      <c r="E10" s="31" t="n">
        <f aca="false">C10*$E$3</f>
        <v>75520.9710629376</v>
      </c>
      <c r="F10" s="31" t="n">
        <f aca="false">C10*$I$3</f>
        <v>49214.4994760143</v>
      </c>
      <c r="G10" s="31" t="n">
        <f aca="false">L9*Annahmen!$B$38/12</f>
        <v>611.975723426561</v>
      </c>
      <c r="H10" s="31" t="n">
        <f aca="false">M9*Annahmen!$B$39/12</f>
        <v>478.56501571957</v>
      </c>
      <c r="I10" s="31" t="n">
        <f aca="false">N9*Annahmen!$B$40/12</f>
        <v>1840.14859814739</v>
      </c>
      <c r="J10" s="31" t="n">
        <f aca="false">IF(AND(A10&gt;=Annahmen!$B$45,A10&lt;=Annahmen!$B$42),D10*Annahmen!$B$44/12,0)</f>
        <v>0</v>
      </c>
      <c r="K10" s="31" t="n">
        <f aca="false">C10*$L$3+G10+H10+I10+J10</f>
        <v>143762.938798342</v>
      </c>
      <c r="L10" s="31" t="n">
        <f aca="false">L9+E10</f>
        <v>369269.318307687</v>
      </c>
      <c r="M10" s="31" t="n">
        <f aca="false">M9+F10</f>
        <v>240640.505763843</v>
      </c>
      <c r="N10" s="31" t="n">
        <f aca="false">N9+K10</f>
        <v>695807.518242558</v>
      </c>
    </row>
    <row r="11" customFormat="false" ht="15" hidden="false" customHeight="false" outlineLevel="0" collapsed="false">
      <c r="A11" s="26" t="n">
        <v>5</v>
      </c>
      <c r="B11" s="7" t="s">
        <v>239</v>
      </c>
      <c r="C11" s="31" t="n">
        <f aca="false">IF(A11&lt;=Annahmen!$B$42,('Kosten und Finanzierung'!B16-'Kosten und Finanzierung'!B8)/Annahmen!$B$42,0)</f>
        <v>265567.72</v>
      </c>
      <c r="D11" s="31" t="n">
        <f aca="false">IF(A11&lt;=Annahmen!$B$42,('Kosten und Finanzierung'!B16-'Kosten und Finanzierung'!B8)*(Annahmen!$B$42-(A11-1))/Annahmen!$B$42,0)</f>
        <v>2921244.92</v>
      </c>
      <c r="E11" s="31" t="n">
        <f aca="false">C11*$E$3</f>
        <v>75520.9710629376</v>
      </c>
      <c r="F11" s="31" t="n">
        <f aca="false">C11*$I$3</f>
        <v>49214.4994760143</v>
      </c>
      <c r="G11" s="31" t="n">
        <f aca="false">L10*Annahmen!$B$38/12</f>
        <v>769.311079807681</v>
      </c>
      <c r="H11" s="31" t="n">
        <f aca="false">M10*Annahmen!$B$39/12</f>
        <v>601.601264409606</v>
      </c>
      <c r="I11" s="31" t="n">
        <f aca="false">N10*Annahmen!$B$40/12</f>
        <v>2319.35839414186</v>
      </c>
      <c r="J11" s="31" t="n">
        <f aca="false">IF(AND(A11&gt;=Annahmen!$B$45,A11&lt;=Annahmen!$B$42),D11*Annahmen!$B$44/12,0)</f>
        <v>0</v>
      </c>
      <c r="K11" s="31" t="n">
        <f aca="false">C11*$L$3+G11+H11+I11+J11</f>
        <v>144522.520199407</v>
      </c>
      <c r="L11" s="31" t="n">
        <f aca="false">L10+E11</f>
        <v>444790.289370624</v>
      </c>
      <c r="M11" s="31" t="n">
        <f aca="false">M10+F11</f>
        <v>289855.005239857</v>
      </c>
      <c r="N11" s="31" t="n">
        <f aca="false">N10+K11</f>
        <v>840330.038441965</v>
      </c>
    </row>
    <row r="12" customFormat="false" ht="15" hidden="false" customHeight="false" outlineLevel="0" collapsed="false">
      <c r="A12" s="26" t="n">
        <v>6</v>
      </c>
      <c r="B12" s="7" t="s">
        <v>239</v>
      </c>
      <c r="C12" s="31" t="n">
        <f aca="false">IF(A12&lt;=Annahmen!$B$42,('Kosten und Finanzierung'!B16-'Kosten und Finanzierung'!B8)/Annahmen!$B$42,0)</f>
        <v>265567.72</v>
      </c>
      <c r="D12" s="31" t="n">
        <f aca="false">IF(A12&lt;=Annahmen!$B$42,('Kosten und Finanzierung'!B16-'Kosten und Finanzierung'!B8)*(Annahmen!$B$42-(A12-1))/Annahmen!$B$42,0)</f>
        <v>2655677.2</v>
      </c>
      <c r="E12" s="31" t="n">
        <f aca="false">C12*$E$3</f>
        <v>75520.9710629376</v>
      </c>
      <c r="F12" s="31" t="n">
        <f aca="false">C12*$I$3</f>
        <v>49214.4994760143</v>
      </c>
      <c r="G12" s="31" t="n">
        <f aca="false">L11*Annahmen!$B$38/12</f>
        <v>926.646436188801</v>
      </c>
      <c r="H12" s="31" t="n">
        <f aca="false">M11*Annahmen!$B$39/12</f>
        <v>724.637513099642</v>
      </c>
      <c r="I12" s="31" t="n">
        <f aca="false">N11*Annahmen!$B$40/12</f>
        <v>2801.10012813988</v>
      </c>
      <c r="J12" s="31" t="n">
        <f aca="false">IF(AND(A12&gt;=Annahmen!$B$45,A12&lt;=Annahmen!$B$42),D12*Annahmen!$B$44/12,0)</f>
        <v>0</v>
      </c>
      <c r="K12" s="31" t="n">
        <f aca="false">C12*$L$3+G12+H12+I12+J12</f>
        <v>145284.633538476</v>
      </c>
      <c r="L12" s="31" t="n">
        <f aca="false">L11+E12</f>
        <v>520311.260433562</v>
      </c>
      <c r="M12" s="31" t="n">
        <f aca="false">M11+F12</f>
        <v>339069.504715871</v>
      </c>
      <c r="N12" s="31" t="n">
        <f aca="false">N11+K12</f>
        <v>985614.671980441</v>
      </c>
    </row>
    <row r="13" customFormat="false" ht="15" hidden="false" customHeight="false" outlineLevel="0" collapsed="false">
      <c r="A13" s="26" t="n">
        <v>7</v>
      </c>
      <c r="B13" s="7" t="s">
        <v>239</v>
      </c>
      <c r="C13" s="31" t="n">
        <f aca="false">IF(A13&lt;=Annahmen!$B$42,('Kosten und Finanzierung'!B16-'Kosten und Finanzierung'!B8)/Annahmen!$B$42,0)</f>
        <v>265567.72</v>
      </c>
      <c r="D13" s="31" t="n">
        <f aca="false">IF(A13&lt;=Annahmen!$B$42,('Kosten und Finanzierung'!B16-'Kosten und Finanzierung'!B8)*(Annahmen!$B$42-(A13-1))/Annahmen!$B$42,0)</f>
        <v>2390109.48</v>
      </c>
      <c r="E13" s="31" t="n">
        <f aca="false">C13*$E$3</f>
        <v>75520.9710629376</v>
      </c>
      <c r="F13" s="31" t="n">
        <f aca="false">C13*$I$3</f>
        <v>49214.4994760143</v>
      </c>
      <c r="G13" s="31" t="n">
        <f aca="false">L12*Annahmen!$B$38/12</f>
        <v>1083.98179256992</v>
      </c>
      <c r="H13" s="31" t="n">
        <f aca="false">M12*Annahmen!$B$39/12</f>
        <v>847.673761789678</v>
      </c>
      <c r="I13" s="31" t="n">
        <f aca="false">N12*Annahmen!$B$40/12</f>
        <v>3285.3822399348</v>
      </c>
      <c r="J13" s="31" t="n">
        <f aca="false">IF(AND(A13&gt;=Annahmen!$B$45,A13&lt;=Annahmen!$B$42),D13*Annahmen!$B$44/12,0)</f>
        <v>5975.2737</v>
      </c>
      <c r="K13" s="31" t="n">
        <f aca="false">C13*$L$3+G13+H13+I13+J13</f>
        <v>152024.560955343</v>
      </c>
      <c r="L13" s="31" t="n">
        <f aca="false">L12+E13</f>
        <v>595832.231496499</v>
      </c>
      <c r="M13" s="31" t="n">
        <f aca="false">M12+F13</f>
        <v>388284.004191885</v>
      </c>
      <c r="N13" s="31" t="n">
        <f aca="false">N12+K13</f>
        <v>1137639.23293578</v>
      </c>
    </row>
    <row r="14" customFormat="false" ht="15" hidden="false" customHeight="false" outlineLevel="0" collapsed="false">
      <c r="A14" s="26" t="n">
        <v>8</v>
      </c>
      <c r="B14" s="7" t="s">
        <v>239</v>
      </c>
      <c r="C14" s="31" t="n">
        <f aca="false">IF(A14&lt;=Annahmen!$B$42,('Kosten und Finanzierung'!B16-'Kosten und Finanzierung'!B8)/Annahmen!$B$42,0)</f>
        <v>265567.72</v>
      </c>
      <c r="D14" s="31" t="n">
        <f aca="false">IF(A14&lt;=Annahmen!$B$42,('Kosten und Finanzierung'!B16-'Kosten und Finanzierung'!B8)*(Annahmen!$B$42-(A14-1))/Annahmen!$B$42,0)</f>
        <v>2124541.76</v>
      </c>
      <c r="E14" s="31" t="n">
        <f aca="false">C14*$E$3</f>
        <v>75520.9710629376</v>
      </c>
      <c r="F14" s="31" t="n">
        <f aca="false">C14*$I$3</f>
        <v>49214.4994760143</v>
      </c>
      <c r="G14" s="31" t="n">
        <f aca="false">L13*Annahmen!$B$38/12</f>
        <v>1241.31714895104</v>
      </c>
      <c r="H14" s="31" t="n">
        <f aca="false">M13*Annahmen!$B$39/12</f>
        <v>970.710010479713</v>
      </c>
      <c r="I14" s="31" t="n">
        <f aca="false">N13*Annahmen!$B$40/12</f>
        <v>3792.13077645261</v>
      </c>
      <c r="J14" s="31" t="n">
        <f aca="false">IF(AND(A14&gt;=Annahmen!$B$45,A14&lt;=Annahmen!$B$42),D14*Annahmen!$B$44/12,0)</f>
        <v>5311.3544</v>
      </c>
      <c r="K14" s="31" t="n">
        <f aca="false">C14*$L$3+G14+H14+I14+J14</f>
        <v>152147.761796931</v>
      </c>
      <c r="L14" s="31" t="n">
        <f aca="false">L13+E14</f>
        <v>671353.202559437</v>
      </c>
      <c r="M14" s="31" t="n">
        <f aca="false">M13+F14</f>
        <v>437498.5036679</v>
      </c>
      <c r="N14" s="31" t="n">
        <f aca="false">N13+K14</f>
        <v>1289786.99473272</v>
      </c>
    </row>
    <row r="15" customFormat="false" ht="15" hidden="false" customHeight="false" outlineLevel="0" collapsed="false">
      <c r="A15" s="26" t="n">
        <v>9</v>
      </c>
      <c r="B15" s="7" t="s">
        <v>239</v>
      </c>
      <c r="C15" s="31" t="n">
        <f aca="false">IF(A15&lt;=Annahmen!$B$42,('Kosten und Finanzierung'!B16-'Kosten und Finanzierung'!B8)/Annahmen!$B$42,0)</f>
        <v>265567.72</v>
      </c>
      <c r="D15" s="31" t="n">
        <f aca="false">IF(A15&lt;=Annahmen!$B$42,('Kosten und Finanzierung'!B16-'Kosten und Finanzierung'!B8)*(Annahmen!$B$42-(A15-1))/Annahmen!$B$42,0)</f>
        <v>1858974.04</v>
      </c>
      <c r="E15" s="31" t="n">
        <f aca="false">C15*$E$3</f>
        <v>75520.9710629376</v>
      </c>
      <c r="F15" s="31" t="n">
        <f aca="false">C15*$I$3</f>
        <v>49214.4994760143</v>
      </c>
      <c r="G15" s="31" t="n">
        <f aca="false">L14*Annahmen!$B$38/12</f>
        <v>1398.65250533216</v>
      </c>
      <c r="H15" s="31" t="n">
        <f aca="false">M14*Annahmen!$B$39/12</f>
        <v>1093.74625916975</v>
      </c>
      <c r="I15" s="31" t="n">
        <f aca="false">N14*Annahmen!$B$40/12</f>
        <v>4299.28998244238</v>
      </c>
      <c r="J15" s="31" t="n">
        <f aca="false">IF(AND(A15&gt;=Annahmen!$B$45,A15&lt;=Annahmen!$B$42),D15*Annahmen!$B$44/12,0)</f>
        <v>4647.4351</v>
      </c>
      <c r="K15" s="31" t="n">
        <f aca="false">C15*$L$3+G15+H15+I15+J15</f>
        <v>152271.373307992</v>
      </c>
      <c r="L15" s="31" t="n">
        <f aca="false">L14+E15</f>
        <v>746874.173622374</v>
      </c>
      <c r="M15" s="31" t="n">
        <f aca="false">M14+F15</f>
        <v>486713.003143914</v>
      </c>
      <c r="N15" s="31" t="n">
        <f aca="false">N14+K15</f>
        <v>1442058.36804071</v>
      </c>
    </row>
    <row r="16" customFormat="false" ht="15" hidden="false" customHeight="false" outlineLevel="0" collapsed="false">
      <c r="A16" s="26" t="n">
        <v>10</v>
      </c>
      <c r="B16" s="7" t="s">
        <v>239</v>
      </c>
      <c r="C16" s="31" t="n">
        <f aca="false">IF(A16&lt;=Annahmen!$B$42,('Kosten und Finanzierung'!B16-'Kosten und Finanzierung'!B8)/Annahmen!$B$42,0)</f>
        <v>265567.72</v>
      </c>
      <c r="D16" s="31" t="n">
        <f aca="false">IF(A16&lt;=Annahmen!$B$42,('Kosten und Finanzierung'!B16-'Kosten und Finanzierung'!B8)*(Annahmen!$B$42-(A16-1))/Annahmen!$B$42,0)</f>
        <v>1593406.32</v>
      </c>
      <c r="E16" s="31" t="n">
        <f aca="false">C16*$E$3</f>
        <v>75520.9710629376</v>
      </c>
      <c r="F16" s="31" t="n">
        <f aca="false">C16*$I$3</f>
        <v>49214.4994760143</v>
      </c>
      <c r="G16" s="31" t="n">
        <f aca="false">L15*Annahmen!$B$38/12</f>
        <v>1555.98786171328</v>
      </c>
      <c r="H16" s="31" t="n">
        <f aca="false">M15*Annahmen!$B$39/12</f>
        <v>1216.78250785978</v>
      </c>
      <c r="I16" s="31" t="n">
        <f aca="false">N15*Annahmen!$B$40/12</f>
        <v>4806.86122680236</v>
      </c>
      <c r="J16" s="31" t="n">
        <f aca="false">IF(AND(A16&gt;=Annahmen!$B$45,A16&lt;=Annahmen!$B$42),D16*Annahmen!$B$44/12,0)</f>
        <v>3983.5158</v>
      </c>
      <c r="K16" s="31" t="n">
        <f aca="false">C16*$L$3+G16+H16+I16+J16</f>
        <v>152395.396857424</v>
      </c>
      <c r="L16" s="31" t="n">
        <f aca="false">L15+E16</f>
        <v>822395.144685312</v>
      </c>
      <c r="M16" s="31" t="n">
        <f aca="false">M15+F16</f>
        <v>535927.502619928</v>
      </c>
      <c r="N16" s="31" t="n">
        <f aca="false">N15+K16</f>
        <v>1594453.76489813</v>
      </c>
    </row>
    <row r="17" customFormat="false" ht="15" hidden="false" customHeight="false" outlineLevel="0" collapsed="false">
      <c r="A17" s="26" t="n">
        <v>11</v>
      </c>
      <c r="B17" s="7" t="s">
        <v>239</v>
      </c>
      <c r="C17" s="31" t="n">
        <f aca="false">IF(A17&lt;=Annahmen!$B$42,('Kosten und Finanzierung'!B16-'Kosten und Finanzierung'!B8)/Annahmen!$B$42,0)</f>
        <v>265567.72</v>
      </c>
      <c r="D17" s="31" t="n">
        <f aca="false">IF(A17&lt;=Annahmen!$B$42,('Kosten und Finanzierung'!B16-'Kosten und Finanzierung'!B8)*(Annahmen!$B$42-(A17-1))/Annahmen!$B$42,0)</f>
        <v>1327838.6</v>
      </c>
      <c r="E17" s="31" t="n">
        <f aca="false">C17*$E$3</f>
        <v>75520.9710629376</v>
      </c>
      <c r="F17" s="31" t="n">
        <f aca="false">C17*$I$3</f>
        <v>49214.4994760143</v>
      </c>
      <c r="G17" s="31" t="n">
        <f aca="false">L16*Annahmen!$B$38/12</f>
        <v>1713.3232180944</v>
      </c>
      <c r="H17" s="31" t="n">
        <f aca="false">M16*Annahmen!$B$39/12</f>
        <v>1339.81875654982</v>
      </c>
      <c r="I17" s="31" t="n">
        <f aca="false">N16*Annahmen!$B$40/12</f>
        <v>5314.84588299377</v>
      </c>
      <c r="J17" s="31" t="n">
        <f aca="false">IF(AND(A17&gt;=Annahmen!$B$45,A17&lt;=Annahmen!$B$42),D17*Annahmen!$B$44/12,0)</f>
        <v>3319.5965</v>
      </c>
      <c r="K17" s="31" t="n">
        <f aca="false">C17*$L$3+G17+H17+I17+J17</f>
        <v>152519.833818686</v>
      </c>
      <c r="L17" s="31" t="n">
        <f aca="false">L16+E17</f>
        <v>897916.11574825</v>
      </c>
      <c r="M17" s="31" t="n">
        <f aca="false">M16+F17</f>
        <v>585142.002095943</v>
      </c>
      <c r="N17" s="31" t="n">
        <f aca="false">N16+K17</f>
        <v>1746973.59871682</v>
      </c>
    </row>
    <row r="18" customFormat="false" ht="15" hidden="false" customHeight="false" outlineLevel="0" collapsed="false">
      <c r="A18" s="26" t="n">
        <v>12</v>
      </c>
      <c r="B18" s="7" t="s">
        <v>239</v>
      </c>
      <c r="C18" s="31" t="n">
        <f aca="false">IF(A18&lt;=Annahmen!$B$42,('Kosten und Finanzierung'!B16-'Kosten und Finanzierung'!B8)/Annahmen!$B$42,0)</f>
        <v>265567.72</v>
      </c>
      <c r="D18" s="31" t="n">
        <f aca="false">IF(A18&lt;=Annahmen!$B$42,('Kosten und Finanzierung'!B16-'Kosten und Finanzierung'!B8)*(Annahmen!$B$42-(A18-1))/Annahmen!$B$42,0)</f>
        <v>1062270.88</v>
      </c>
      <c r="E18" s="31" t="n">
        <f aca="false">C18*$E$3</f>
        <v>75520.9710629376</v>
      </c>
      <c r="F18" s="31" t="n">
        <f aca="false">C18*$I$3</f>
        <v>49214.4994760143</v>
      </c>
      <c r="G18" s="31" t="n">
        <f aca="false">L17*Annahmen!$B$38/12</f>
        <v>1870.65857447552</v>
      </c>
      <c r="H18" s="31" t="n">
        <f aca="false">M17*Annahmen!$B$39/12</f>
        <v>1462.85500523986</v>
      </c>
      <c r="I18" s="31" t="n">
        <f aca="false">N17*Annahmen!$B$40/12</f>
        <v>5823.24532905606</v>
      </c>
      <c r="J18" s="31" t="n">
        <f aca="false">IF(AND(A18&gt;=Annahmen!$B$45,A18&lt;=Annahmen!$B$42),D18*Annahmen!$B$44/12,0)</f>
        <v>2655.6772</v>
      </c>
      <c r="K18" s="31" t="n">
        <f aca="false">C18*$L$3+G18+H18+I18+J18</f>
        <v>152644.68556982</v>
      </c>
      <c r="L18" s="31" t="n">
        <f aca="false">L17+E18</f>
        <v>973437.086811187</v>
      </c>
      <c r="M18" s="31" t="n">
        <f aca="false">M17+F18</f>
        <v>634356.501571957</v>
      </c>
      <c r="N18" s="31" t="n">
        <f aca="false">N17+K18</f>
        <v>1899618.28428664</v>
      </c>
    </row>
    <row r="19" customFormat="false" ht="15" hidden="false" customHeight="false" outlineLevel="0" collapsed="false">
      <c r="A19" s="26" t="n">
        <v>13</v>
      </c>
      <c r="B19" s="7" t="s">
        <v>239</v>
      </c>
      <c r="C19" s="31" t="n">
        <f aca="false">IF(A19&lt;=Annahmen!$B$42,('Kosten und Finanzierung'!B16-'Kosten und Finanzierung'!B8)/Annahmen!$B$42,0)</f>
        <v>265567.72</v>
      </c>
      <c r="D19" s="31" t="n">
        <f aca="false">IF(A19&lt;=Annahmen!$B$42,('Kosten und Finanzierung'!B16-'Kosten und Finanzierung'!B8)*(Annahmen!$B$42-(A19-1))/Annahmen!$B$42,0)</f>
        <v>796703.16</v>
      </c>
      <c r="E19" s="31" t="n">
        <f aca="false">C19*$E$3</f>
        <v>75520.9710629376</v>
      </c>
      <c r="F19" s="31" t="n">
        <f aca="false">C19*$I$3</f>
        <v>49214.4994760143</v>
      </c>
      <c r="G19" s="31" t="n">
        <f aca="false">L18*Annahmen!$B$38/12</f>
        <v>2027.99393085664</v>
      </c>
      <c r="H19" s="31" t="n">
        <f aca="false">M18*Annahmen!$B$39/12</f>
        <v>1585.89125392989</v>
      </c>
      <c r="I19" s="31" t="n">
        <f aca="false">N18*Annahmen!$B$40/12</f>
        <v>6332.06094762212</v>
      </c>
      <c r="J19" s="31" t="n">
        <f aca="false">IF(AND(A19&gt;=Annahmen!$B$45,A19&lt;=Annahmen!$B$42),D19*Annahmen!$B$44/12,0)</f>
        <v>1991.7579</v>
      </c>
      <c r="K19" s="31" t="n">
        <f aca="false">C19*$L$3+G19+H19+I19+J19</f>
        <v>152769.953493457</v>
      </c>
      <c r="L19" s="31" t="n">
        <f aca="false">L18+E19</f>
        <v>1048958.05787412</v>
      </c>
      <c r="M19" s="31" t="n">
        <f aca="false">M18+F19</f>
        <v>683571.001047971</v>
      </c>
      <c r="N19" s="31" t="n">
        <f aca="false">N18+K19</f>
        <v>2052388.23778009</v>
      </c>
    </row>
    <row r="20" customFormat="false" ht="15" hidden="false" customHeight="false" outlineLevel="0" collapsed="false">
      <c r="A20" s="26" t="n">
        <v>14</v>
      </c>
      <c r="B20" s="7" t="s">
        <v>239</v>
      </c>
      <c r="C20" s="31" t="n">
        <f aca="false">IF(A20&lt;=Annahmen!$B$42,('Kosten und Finanzierung'!B16-'Kosten und Finanzierung'!B8)/Annahmen!$B$42,0)</f>
        <v>265567.72</v>
      </c>
      <c r="D20" s="31" t="n">
        <f aca="false">IF(A20&lt;=Annahmen!$B$42,('Kosten und Finanzierung'!B16-'Kosten und Finanzierung'!B8)*(Annahmen!$B$42-(A20-1))/Annahmen!$B$42,0)</f>
        <v>531135.44</v>
      </c>
      <c r="E20" s="31" t="n">
        <f aca="false">C20*$E$3</f>
        <v>75520.9710629376</v>
      </c>
      <c r="F20" s="31" t="n">
        <f aca="false">C20*$I$3</f>
        <v>49214.4994760143</v>
      </c>
      <c r="G20" s="31" t="n">
        <f aca="false">L19*Annahmen!$B$38/12</f>
        <v>2185.32928723776</v>
      </c>
      <c r="H20" s="31" t="n">
        <f aca="false">M19*Annahmen!$B$39/12</f>
        <v>1708.92750261993</v>
      </c>
      <c r="I20" s="31" t="n">
        <f aca="false">N19*Annahmen!$B$40/12</f>
        <v>6841.29412593365</v>
      </c>
      <c r="J20" s="31" t="n">
        <f aca="false">IF(AND(A20&gt;=Annahmen!$B$45,A20&lt;=Annahmen!$B$42),D20*Annahmen!$B$44/12,0)</f>
        <v>1327.8386</v>
      </c>
      <c r="K20" s="31" t="n">
        <f aca="false">C20*$L$3+G20+H20+I20+J20</f>
        <v>152895.638976839</v>
      </c>
      <c r="L20" s="31" t="n">
        <f aca="false">L19+E20</f>
        <v>1124479.02893706</v>
      </c>
      <c r="M20" s="31" t="n">
        <f aca="false">M19+F20</f>
        <v>732785.500523985</v>
      </c>
      <c r="N20" s="31" t="n">
        <f aca="false">N19+K20</f>
        <v>2205283.87675693</v>
      </c>
    </row>
    <row r="21" customFormat="false" ht="15" hidden="false" customHeight="false" outlineLevel="0" collapsed="false">
      <c r="A21" s="26" t="n">
        <v>15</v>
      </c>
      <c r="B21" s="7" t="s">
        <v>239</v>
      </c>
      <c r="C21" s="31" t="n">
        <f aca="false">IF(A21&lt;=Annahmen!$B$42,('Kosten und Finanzierung'!B16-'Kosten und Finanzierung'!B8)/Annahmen!$B$42,0)</f>
        <v>265567.72</v>
      </c>
      <c r="D21" s="31" t="n">
        <f aca="false">IF(A21&lt;=Annahmen!$B$42,('Kosten und Finanzierung'!B16-'Kosten und Finanzierung'!B8)*(Annahmen!$B$42-(A21-1))/Annahmen!$B$42,0)</f>
        <v>265567.72</v>
      </c>
      <c r="E21" s="31" t="n">
        <f aca="false">C21*$E$3</f>
        <v>75520.9710629376</v>
      </c>
      <c r="F21" s="31" t="n">
        <f aca="false">C21*$I$3</f>
        <v>49214.4994760143</v>
      </c>
      <c r="G21" s="31" t="n">
        <f aca="false">L20*Annahmen!$B$38/12</f>
        <v>2342.66464361888</v>
      </c>
      <c r="H21" s="31" t="n">
        <f aca="false">M20*Annahmen!$B$39/12</f>
        <v>1831.96375130996</v>
      </c>
      <c r="I21" s="31" t="n">
        <f aca="false">N20*Annahmen!$B$40/12</f>
        <v>7350.94625585644</v>
      </c>
      <c r="J21" s="31" t="n">
        <f aca="false">IF(AND(A21&gt;=Annahmen!$B$45,A21&lt;=Annahmen!$B$42),D21*Annahmen!$B$44/12,0)</f>
        <v>663.9193</v>
      </c>
      <c r="K21" s="31" t="n">
        <f aca="false">C21*$L$3+G21+H21+I21+J21</f>
        <v>153021.743411833</v>
      </c>
      <c r="L21" s="31" t="n">
        <f aca="false">L20+E21</f>
        <v>1200000</v>
      </c>
      <c r="M21" s="31" t="n">
        <f aca="false">M20+F21</f>
        <v>782000</v>
      </c>
      <c r="N21" s="31" t="n">
        <f aca="false">N20+K21</f>
        <v>2358305.62016877</v>
      </c>
    </row>
    <row r="22" customFormat="false" ht="15" hidden="false" customHeight="false" outlineLevel="0" collapsed="false">
      <c r="A22" s="26" t="n">
        <v>16</v>
      </c>
      <c r="B22" s="7" t="s">
        <v>240</v>
      </c>
      <c r="C22" s="31" t="n">
        <f aca="false">IF(A22&lt;=Annahmen!$B$42,('Kosten und Finanzierung'!B16-'Kosten und Finanzierung'!B8)/Annahmen!$B$42,0)</f>
        <v>0</v>
      </c>
      <c r="D22" s="31" t="n">
        <f aca="false">IF(A22&lt;=Annahmen!$B$42,('Kosten und Finanzierung'!B16-'Kosten und Finanzierung'!B8)*(Annahmen!$B$42-(A22-1))/Annahmen!$B$42,0)</f>
        <v>0</v>
      </c>
      <c r="E22" s="31" t="n">
        <f aca="false">C22*$E$3</f>
        <v>0</v>
      </c>
      <c r="F22" s="31" t="n">
        <f aca="false">C22*$I$3</f>
        <v>0</v>
      </c>
      <c r="G22" s="31" t="n">
        <f aca="false">L21*Annahmen!$B$38/12</f>
        <v>2500</v>
      </c>
      <c r="H22" s="31" t="n">
        <f aca="false">M21*Annahmen!$B$39/12</f>
        <v>1955</v>
      </c>
      <c r="I22" s="31" t="n">
        <f aca="false">N21*Annahmen!$B$40/12</f>
        <v>7861.01873389589</v>
      </c>
      <c r="J22" s="31" t="n">
        <f aca="false">IF(AND(A22&gt;=Annahmen!$B$45,A22&lt;=Annahmen!$B$42),D22*Annahmen!$B$44/12,0)</f>
        <v>0</v>
      </c>
      <c r="K22" s="31" t="n">
        <f aca="false">C22*$L$3+G22+H22+I22+J22</f>
        <v>12316.0187338959</v>
      </c>
      <c r="L22" s="31" t="n">
        <f aca="false">L21+E22</f>
        <v>1200000</v>
      </c>
      <c r="M22" s="31" t="n">
        <f aca="false">M21+F22</f>
        <v>782000</v>
      </c>
      <c r="N22" s="31" t="n">
        <f aca="false">N21+K22</f>
        <v>2370621.63890266</v>
      </c>
    </row>
    <row r="23" customFormat="false" ht="15" hidden="false" customHeight="false" outlineLevel="0" collapsed="false">
      <c r="A23" s="26" t="n">
        <v>17</v>
      </c>
      <c r="B23" s="7" t="s">
        <v>240</v>
      </c>
      <c r="C23" s="31" t="n">
        <f aca="false">IF(A23&lt;=Annahmen!$B$42,('Kosten und Finanzierung'!B16-'Kosten und Finanzierung'!B8)/Annahmen!$B$42,0)</f>
        <v>0</v>
      </c>
      <c r="D23" s="31" t="n">
        <f aca="false">IF(A23&lt;=Annahmen!$B$42,('Kosten und Finanzierung'!B16-'Kosten und Finanzierung'!B8)*(Annahmen!$B$42-(A23-1))/Annahmen!$B$42,0)</f>
        <v>0</v>
      </c>
      <c r="E23" s="31" t="n">
        <f aca="false">C23*$E$3</f>
        <v>0</v>
      </c>
      <c r="F23" s="31" t="n">
        <f aca="false">C23*$I$3</f>
        <v>0</v>
      </c>
      <c r="G23" s="31" t="n">
        <f aca="false">L22*Annahmen!$B$38/12</f>
        <v>2500</v>
      </c>
      <c r="H23" s="31" t="n">
        <f aca="false">M22*Annahmen!$B$39/12</f>
        <v>1955</v>
      </c>
      <c r="I23" s="31" t="n">
        <f aca="false">N22*Annahmen!$B$40/12</f>
        <v>7902.07212967554</v>
      </c>
      <c r="J23" s="31" t="n">
        <f aca="false">IF(AND(A23&gt;=Annahmen!$B$45,A23&lt;=Annahmen!$B$42),D23*Annahmen!$B$44/12,0)</f>
        <v>0</v>
      </c>
      <c r="K23" s="31" t="n">
        <f aca="false">C23*$L$3+G23+H23+I23+J23</f>
        <v>12357.0721296755</v>
      </c>
      <c r="L23" s="31" t="n">
        <f aca="false">L22+E23</f>
        <v>1200000</v>
      </c>
      <c r="M23" s="31" t="n">
        <f aca="false">M22+F23</f>
        <v>782000</v>
      </c>
      <c r="N23" s="31" t="n">
        <f aca="false">N22+K23</f>
        <v>2382978.71103234</v>
      </c>
    </row>
    <row r="24" customFormat="false" ht="15" hidden="false" customHeight="false" outlineLevel="0" collapsed="false">
      <c r="A24" s="26" t="n">
        <v>18</v>
      </c>
      <c r="B24" s="7" t="s">
        <v>240</v>
      </c>
      <c r="C24" s="31" t="n">
        <f aca="false">IF(A24&lt;=Annahmen!$B$42,('Kosten und Finanzierung'!B16-'Kosten und Finanzierung'!B8)/Annahmen!$B$42,0)</f>
        <v>0</v>
      </c>
      <c r="D24" s="31" t="n">
        <f aca="false">IF(A24&lt;=Annahmen!$B$42,('Kosten und Finanzierung'!B16-'Kosten und Finanzierung'!B8)*(Annahmen!$B$42-(A24-1))/Annahmen!$B$42,0)</f>
        <v>0</v>
      </c>
      <c r="E24" s="31" t="n">
        <f aca="false">C24*$E$3</f>
        <v>0</v>
      </c>
      <c r="F24" s="31" t="n">
        <f aca="false">C24*$I$3</f>
        <v>0</v>
      </c>
      <c r="G24" s="31" t="n">
        <f aca="false">L23*Annahmen!$B$38/12</f>
        <v>2500</v>
      </c>
      <c r="H24" s="31" t="n">
        <f aca="false">M23*Annahmen!$B$39/12</f>
        <v>1955</v>
      </c>
      <c r="I24" s="31" t="n">
        <f aca="false">N23*Annahmen!$B$40/12</f>
        <v>7943.26237010779</v>
      </c>
      <c r="J24" s="31" t="n">
        <f aca="false">IF(AND(A24&gt;=Annahmen!$B$45,A24&lt;=Annahmen!$B$42),D24*Annahmen!$B$44/12,0)</f>
        <v>0</v>
      </c>
      <c r="K24" s="31" t="n">
        <f aca="false">C24*$L$3+G24+H24+I24+J24</f>
        <v>12398.2623701078</v>
      </c>
      <c r="L24" s="31" t="n">
        <f aca="false">L23+E24</f>
        <v>1200000</v>
      </c>
      <c r="M24" s="31" t="n">
        <f aca="false">M23+F24</f>
        <v>782000</v>
      </c>
      <c r="N24" s="31" t="n">
        <f aca="false">N23+K24</f>
        <v>2395376.97340245</v>
      </c>
    </row>
    <row r="25" customFormat="false" ht="15" hidden="false" customHeight="false" outlineLevel="0" collapsed="false">
      <c r="A25" s="26" t="n">
        <v>19</v>
      </c>
      <c r="B25" s="7" t="s">
        <v>240</v>
      </c>
      <c r="C25" s="31" t="n">
        <f aca="false">IF(A25&lt;=Annahmen!$B$42,('Kosten und Finanzierung'!B16-'Kosten und Finanzierung'!B8)/Annahmen!$B$42,0)</f>
        <v>0</v>
      </c>
      <c r="D25" s="31" t="n">
        <f aca="false">IF(A25&lt;=Annahmen!$B$42,('Kosten und Finanzierung'!B16-'Kosten und Finanzierung'!B8)*(Annahmen!$B$42-(A25-1))/Annahmen!$B$42,0)</f>
        <v>0</v>
      </c>
      <c r="E25" s="31" t="n">
        <f aca="false">C25*$E$3</f>
        <v>0</v>
      </c>
      <c r="F25" s="31" t="n">
        <f aca="false">C25*$I$3</f>
        <v>0</v>
      </c>
      <c r="G25" s="31" t="n">
        <f aca="false">L24*Annahmen!$B$38/12</f>
        <v>2500</v>
      </c>
      <c r="H25" s="31" t="n">
        <f aca="false">M24*Annahmen!$B$39/12</f>
        <v>1955</v>
      </c>
      <c r="I25" s="31" t="n">
        <f aca="false">N24*Annahmen!$B$40/12</f>
        <v>7984.58991134149</v>
      </c>
      <c r="J25" s="31" t="n">
        <f aca="false">IF(AND(A25&gt;=Annahmen!$B$45,A25&lt;=Annahmen!$B$42),D25*Annahmen!$B$44/12,0)</f>
        <v>0</v>
      </c>
      <c r="K25" s="31" t="n">
        <f aca="false">C25*$L$3+G25+H25+I25+J25</f>
        <v>12439.5899113415</v>
      </c>
      <c r="L25" s="31" t="n">
        <f aca="false">L24+E25</f>
        <v>1200000</v>
      </c>
      <c r="M25" s="31" t="n">
        <f aca="false">M24+F25</f>
        <v>782000</v>
      </c>
      <c r="N25" s="31" t="n">
        <f aca="false">N24+K25</f>
        <v>2407816.56331379</v>
      </c>
    </row>
    <row r="26" customFormat="false" ht="15" hidden="false" customHeight="false" outlineLevel="0" collapsed="false">
      <c r="A26" s="26" t="n">
        <v>20</v>
      </c>
      <c r="B26" s="7" t="s">
        <v>240</v>
      </c>
      <c r="C26" s="31" t="n">
        <f aca="false">IF(A26&lt;=Annahmen!$B$42,('Kosten und Finanzierung'!B16-'Kosten und Finanzierung'!B8)/Annahmen!$B$42,0)</f>
        <v>0</v>
      </c>
      <c r="D26" s="31" t="n">
        <f aca="false">IF(A26&lt;=Annahmen!$B$42,('Kosten und Finanzierung'!B16-'Kosten und Finanzierung'!B8)*(Annahmen!$B$42-(A26-1))/Annahmen!$B$42,0)</f>
        <v>0</v>
      </c>
      <c r="E26" s="31" t="n">
        <f aca="false">C26*$E$3</f>
        <v>0</v>
      </c>
      <c r="F26" s="31" t="n">
        <f aca="false">C26*$I$3</f>
        <v>0</v>
      </c>
      <c r="G26" s="31" t="n">
        <f aca="false">L25*Annahmen!$B$38/12</f>
        <v>2500</v>
      </c>
      <c r="H26" s="31" t="n">
        <f aca="false">M25*Annahmen!$B$39/12</f>
        <v>1955</v>
      </c>
      <c r="I26" s="31" t="n">
        <f aca="false">N25*Annahmen!$B$40/12</f>
        <v>8026.05521104596</v>
      </c>
      <c r="J26" s="31" t="n">
        <f aca="false">IF(AND(A26&gt;=Annahmen!$B$45,A26&lt;=Annahmen!$B$42),D26*Annahmen!$B$44/12,0)</f>
        <v>0</v>
      </c>
      <c r="K26" s="31" t="n">
        <f aca="false">C26*$L$3+G26+H26+I26+J26</f>
        <v>12481.055211046</v>
      </c>
      <c r="L26" s="31" t="n">
        <f aca="false">L25+E26</f>
        <v>1200000</v>
      </c>
      <c r="M26" s="31" t="n">
        <f aca="false">M25+F26</f>
        <v>782000</v>
      </c>
      <c r="N26" s="31" t="n">
        <f aca="false">N25+K26</f>
        <v>2420297.61852483</v>
      </c>
    </row>
    <row r="27" customFormat="false" ht="15" hidden="false" customHeight="false" outlineLevel="0" collapsed="false">
      <c r="A27" s="26" t="n">
        <v>21</v>
      </c>
      <c r="B27" s="7" t="s">
        <v>240</v>
      </c>
      <c r="C27" s="31" t="n">
        <f aca="false">IF(A27&lt;=Annahmen!$B$42,('Kosten und Finanzierung'!B16-'Kosten und Finanzierung'!B8)/Annahmen!$B$42,0)</f>
        <v>0</v>
      </c>
      <c r="D27" s="31" t="n">
        <f aca="false">IF(A27&lt;=Annahmen!$B$42,('Kosten und Finanzierung'!B16-'Kosten und Finanzierung'!B8)*(Annahmen!$B$42-(A27-1))/Annahmen!$B$42,0)</f>
        <v>0</v>
      </c>
      <c r="E27" s="31" t="n">
        <f aca="false">C27*$E$3</f>
        <v>0</v>
      </c>
      <c r="F27" s="31" t="n">
        <f aca="false">C27*$I$3</f>
        <v>0</v>
      </c>
      <c r="G27" s="31" t="n">
        <f aca="false">L26*Annahmen!$B$38/12</f>
        <v>2500</v>
      </c>
      <c r="H27" s="31" t="n">
        <f aca="false">M26*Annahmen!$B$39/12</f>
        <v>1955</v>
      </c>
      <c r="I27" s="31" t="n">
        <f aca="false">N26*Annahmen!$B$40/12</f>
        <v>8067.65872841611</v>
      </c>
      <c r="J27" s="31" t="n">
        <f aca="false">IF(AND(A27&gt;=Annahmen!$B$45,A27&lt;=Annahmen!$B$42),D27*Annahmen!$B$44/12,0)</f>
        <v>0</v>
      </c>
      <c r="K27" s="31" t="n">
        <f aca="false">C27*$L$3+G27+H27+I27+J27</f>
        <v>12522.6587284161</v>
      </c>
      <c r="L27" s="31" t="n">
        <f aca="false">L26+E27</f>
        <v>1200000</v>
      </c>
      <c r="M27" s="31" t="n">
        <f aca="false">M26+F27</f>
        <v>782000</v>
      </c>
      <c r="N27" s="31" t="n">
        <f aca="false">N26+K27</f>
        <v>2432820.27725325</v>
      </c>
    </row>
    <row r="28" customFormat="false" ht="15" hidden="false" customHeight="false" outlineLevel="0" collapsed="false">
      <c r="A28" s="26" t="n">
        <v>22</v>
      </c>
      <c r="B28" s="7" t="s">
        <v>240</v>
      </c>
      <c r="C28" s="31" t="n">
        <f aca="false">IF(A28&lt;=Annahmen!$B$42,('Kosten und Finanzierung'!B16-'Kosten und Finanzierung'!B8)/Annahmen!$B$42,0)</f>
        <v>0</v>
      </c>
      <c r="D28" s="31" t="n">
        <f aca="false">IF(A28&lt;=Annahmen!$B$42,('Kosten und Finanzierung'!B16-'Kosten und Finanzierung'!B8)*(Annahmen!$B$42-(A28-1))/Annahmen!$B$42,0)</f>
        <v>0</v>
      </c>
      <c r="E28" s="31" t="n">
        <f aca="false">C28*$E$3</f>
        <v>0</v>
      </c>
      <c r="F28" s="31" t="n">
        <f aca="false">C28*$I$3</f>
        <v>0</v>
      </c>
      <c r="G28" s="31" t="n">
        <f aca="false">L27*Annahmen!$B$38/12</f>
        <v>2500</v>
      </c>
      <c r="H28" s="31" t="n">
        <f aca="false">M27*Annahmen!$B$39/12</f>
        <v>1955</v>
      </c>
      <c r="I28" s="31" t="n">
        <f aca="false">N27*Annahmen!$B$40/12</f>
        <v>8109.4009241775</v>
      </c>
      <c r="J28" s="31" t="n">
        <f aca="false">IF(AND(A28&gt;=Annahmen!$B$45,A28&lt;=Annahmen!$B$42),D28*Annahmen!$B$44/12,0)</f>
        <v>0</v>
      </c>
      <c r="K28" s="31" t="n">
        <f aca="false">C28*$L$3+G28+H28+I28+J28</f>
        <v>12564.4009241775</v>
      </c>
      <c r="L28" s="31" t="n">
        <f aca="false">L27+E28</f>
        <v>1200000</v>
      </c>
      <c r="M28" s="31" t="n">
        <f aca="false">M27+F28</f>
        <v>782000</v>
      </c>
      <c r="N28" s="31" t="n">
        <f aca="false">N27+K28</f>
        <v>2445384.67817743</v>
      </c>
    </row>
    <row r="29" customFormat="false" ht="15" hidden="false" customHeight="false" outlineLevel="0" collapsed="false">
      <c r="A29" s="26" t="n">
        <v>23</v>
      </c>
      <c r="B29" s="7" t="s">
        <v>240</v>
      </c>
      <c r="C29" s="31" t="n">
        <f aca="false">IF(A29&lt;=Annahmen!$B$42,('Kosten und Finanzierung'!B16-'Kosten und Finanzierung'!B8)/Annahmen!$B$42,0)</f>
        <v>0</v>
      </c>
      <c r="D29" s="31" t="n">
        <f aca="false">IF(A29&lt;=Annahmen!$B$42,('Kosten und Finanzierung'!B16-'Kosten und Finanzierung'!B8)*(Annahmen!$B$42-(A29-1))/Annahmen!$B$42,0)</f>
        <v>0</v>
      </c>
      <c r="E29" s="31" t="n">
        <f aca="false">C29*$E$3</f>
        <v>0</v>
      </c>
      <c r="F29" s="31" t="n">
        <f aca="false">C29*$I$3</f>
        <v>0</v>
      </c>
      <c r="G29" s="31" t="n">
        <f aca="false">L28*Annahmen!$B$38/12</f>
        <v>2500</v>
      </c>
      <c r="H29" s="31" t="n">
        <f aca="false">M28*Annahmen!$B$39/12</f>
        <v>1955</v>
      </c>
      <c r="I29" s="31" t="n">
        <f aca="false">N28*Annahmen!$B$40/12</f>
        <v>8151.28226059142</v>
      </c>
      <c r="J29" s="31" t="n">
        <f aca="false">IF(AND(A29&gt;=Annahmen!$B$45,A29&lt;=Annahmen!$B$42),D29*Annahmen!$B$44/12,0)</f>
        <v>0</v>
      </c>
      <c r="K29" s="31" t="n">
        <f aca="false">C29*$L$3+G29+H29+I29+J29</f>
        <v>12606.2822605914</v>
      </c>
      <c r="L29" s="31" t="n">
        <f aca="false">L28+E29</f>
        <v>1200000</v>
      </c>
      <c r="M29" s="31" t="n">
        <f aca="false">M28+F29</f>
        <v>782000</v>
      </c>
      <c r="N29" s="31" t="n">
        <f aca="false">N28+K29</f>
        <v>2457990.96043802</v>
      </c>
    </row>
    <row r="30" customFormat="false" ht="15" hidden="false" customHeight="false" outlineLevel="0" collapsed="false">
      <c r="A30" s="26" t="n">
        <v>24</v>
      </c>
      <c r="B30" s="7" t="s">
        <v>240</v>
      </c>
      <c r="C30" s="31" t="n">
        <f aca="false">IF(A30&lt;=Annahmen!$B$42,('Kosten und Finanzierung'!B16-'Kosten und Finanzierung'!B8)/Annahmen!$B$42,0)</f>
        <v>0</v>
      </c>
      <c r="D30" s="31" t="n">
        <f aca="false">IF(A30&lt;=Annahmen!$B$42,('Kosten und Finanzierung'!B16-'Kosten und Finanzierung'!B8)*(Annahmen!$B$42-(A30-1))/Annahmen!$B$42,0)</f>
        <v>0</v>
      </c>
      <c r="E30" s="31" t="n">
        <f aca="false">C30*$E$3</f>
        <v>0</v>
      </c>
      <c r="F30" s="31" t="n">
        <f aca="false">C30*$I$3</f>
        <v>0</v>
      </c>
      <c r="G30" s="31" t="n">
        <f aca="false">L29*Annahmen!$B$38/12</f>
        <v>2500</v>
      </c>
      <c r="H30" s="31" t="n">
        <f aca="false">M29*Annahmen!$B$39/12</f>
        <v>1955</v>
      </c>
      <c r="I30" s="31" t="n">
        <f aca="false">N29*Annahmen!$B$40/12</f>
        <v>8193.30320146006</v>
      </c>
      <c r="J30" s="31" t="n">
        <f aca="false">IF(AND(A30&gt;=Annahmen!$B$45,A30&lt;=Annahmen!$B$42),D30*Annahmen!$B$44/12,0)</f>
        <v>0</v>
      </c>
      <c r="K30" s="31" t="n">
        <f aca="false">C30*$L$3+G30+H30+I30+J30</f>
        <v>12648.3032014601</v>
      </c>
      <c r="L30" s="31" t="n">
        <f aca="false">L29+E30</f>
        <v>1200000</v>
      </c>
      <c r="M30" s="31" t="n">
        <f aca="false">M29+F30</f>
        <v>782000</v>
      </c>
      <c r="N30" s="31" t="n">
        <f aca="false">N29+K30</f>
        <v>2470639.26363948</v>
      </c>
    </row>
    <row r="31" customFormat="false" ht="15" hidden="false" customHeight="false" outlineLevel="0" collapsed="false">
      <c r="A31" s="26" t="n">
        <v>25</v>
      </c>
      <c r="B31" s="7" t="s">
        <v>240</v>
      </c>
      <c r="C31" s="31" t="n">
        <f aca="false">IF(A31&lt;=Annahmen!$B$42,('Kosten und Finanzierung'!B16-'Kosten und Finanzierung'!B8)/Annahmen!$B$42,0)</f>
        <v>0</v>
      </c>
      <c r="D31" s="31" t="n">
        <f aca="false">IF(A31&lt;=Annahmen!$B$42,('Kosten und Finanzierung'!B16-'Kosten und Finanzierung'!B8)*(Annahmen!$B$42-(A31-1))/Annahmen!$B$42,0)</f>
        <v>0</v>
      </c>
      <c r="E31" s="31" t="n">
        <f aca="false">C31*$E$3</f>
        <v>0</v>
      </c>
      <c r="F31" s="31" t="n">
        <f aca="false">C31*$I$3</f>
        <v>0</v>
      </c>
      <c r="G31" s="31" t="n">
        <f aca="false">L30*Annahmen!$B$38/12</f>
        <v>2500</v>
      </c>
      <c r="H31" s="31" t="n">
        <f aca="false">M30*Annahmen!$B$39/12</f>
        <v>1955</v>
      </c>
      <c r="I31" s="31" t="n">
        <f aca="false">N30*Annahmen!$B$40/12</f>
        <v>8235.4642121316</v>
      </c>
      <c r="J31" s="31" t="n">
        <f aca="false">IF(AND(A31&gt;=Annahmen!$B$45,A31&lt;=Annahmen!$B$42),D31*Annahmen!$B$44/12,0)</f>
        <v>0</v>
      </c>
      <c r="K31" s="31" t="n">
        <f aca="false">C31*$L$3+G31+H31+I31+J31</f>
        <v>12690.4642121316</v>
      </c>
      <c r="L31" s="31" t="n">
        <f aca="false">L30+E31</f>
        <v>1200000</v>
      </c>
      <c r="M31" s="31" t="n">
        <f aca="false">M30+F31</f>
        <v>782000</v>
      </c>
      <c r="N31" s="31" t="n">
        <f aca="false">N30+K31</f>
        <v>2483329.72785161</v>
      </c>
    </row>
    <row r="32" customFormat="false" ht="15" hidden="false" customHeight="false" outlineLevel="0" collapsed="false">
      <c r="A32" s="26" t="n">
        <v>26</v>
      </c>
      <c r="B32" s="7" t="s">
        <v>240</v>
      </c>
      <c r="C32" s="31" t="n">
        <f aca="false">IF(A32&lt;=Annahmen!$B$42,('Kosten und Finanzierung'!B16-'Kosten und Finanzierung'!B8)/Annahmen!$B$42,0)</f>
        <v>0</v>
      </c>
      <c r="D32" s="31" t="n">
        <f aca="false">IF(A32&lt;=Annahmen!$B$42,('Kosten und Finanzierung'!B16-'Kosten und Finanzierung'!B8)*(Annahmen!$B$42-(A32-1))/Annahmen!$B$42,0)</f>
        <v>0</v>
      </c>
      <c r="E32" s="31" t="n">
        <f aca="false">C32*$E$3</f>
        <v>0</v>
      </c>
      <c r="F32" s="31" t="n">
        <f aca="false">C32*$I$3</f>
        <v>0</v>
      </c>
      <c r="G32" s="31" t="n">
        <f aca="false">L31*Annahmen!$B$38/12</f>
        <v>2500</v>
      </c>
      <c r="H32" s="31" t="n">
        <f aca="false">M31*Annahmen!$B$39/12</f>
        <v>1955</v>
      </c>
      <c r="I32" s="31" t="n">
        <f aca="false">N31*Annahmen!$B$40/12</f>
        <v>8277.76575950537</v>
      </c>
      <c r="J32" s="31" t="n">
        <f aca="false">IF(AND(A32&gt;=Annahmen!$B$45,A32&lt;=Annahmen!$B$42),D32*Annahmen!$B$44/12,0)</f>
        <v>0</v>
      </c>
      <c r="K32" s="31" t="n">
        <f aca="false">C32*$L$3+G32+H32+I32+J32</f>
        <v>12732.7657595054</v>
      </c>
      <c r="L32" s="31" t="n">
        <f aca="false">L31+E32</f>
        <v>1200000</v>
      </c>
      <c r="M32" s="31" t="n">
        <f aca="false">M31+F32</f>
        <v>782000</v>
      </c>
      <c r="N32" s="31" t="n">
        <f aca="false">N31+K32</f>
        <v>2496062.49361112</v>
      </c>
    </row>
    <row r="33" customFormat="false" ht="15" hidden="false" customHeight="false" outlineLevel="0" collapsed="false">
      <c r="A33" s="26" t="n">
        <v>27</v>
      </c>
      <c r="B33" s="27" t="s">
        <v>241</v>
      </c>
      <c r="C33" s="31" t="n">
        <f aca="false">IF(A33&lt;=Annahmen!$B$42,('Kosten und Finanzierung'!B16-'Kosten und Finanzierung'!B8)/Annahmen!$B$42,0)</f>
        <v>0</v>
      </c>
      <c r="D33" s="31" t="n">
        <f aca="false">IF(A33&lt;=Annahmen!$B$42,('Kosten und Finanzierung'!B16-'Kosten und Finanzierung'!B8)*(Annahmen!$B$42-(A33-1))/Annahmen!$B$42,0)</f>
        <v>0</v>
      </c>
      <c r="E33" s="31" t="n">
        <f aca="false">C33*$E$3</f>
        <v>0</v>
      </c>
      <c r="F33" s="31" t="n">
        <f aca="false">C33*$I$3</f>
        <v>0</v>
      </c>
      <c r="G33" s="31" t="n">
        <f aca="false">L32*Annahmen!$B$38/12</f>
        <v>2500</v>
      </c>
      <c r="H33" s="31" t="n">
        <f aca="false">M32*Annahmen!$B$39/12</f>
        <v>1955</v>
      </c>
      <c r="I33" s="31" t="n">
        <f aca="false">N32*Annahmen!$B$40/12</f>
        <v>8320.20831203705</v>
      </c>
      <c r="J33" s="31" t="n">
        <f aca="false">IF(AND(A33&gt;=Annahmen!$B$45,A33&lt;=Annahmen!$B$42),D33*Annahmen!$B$44/12,0)</f>
        <v>0</v>
      </c>
      <c r="K33" s="31" t="n">
        <f aca="false">C33*$L$3+G33+H33+I33+J33</f>
        <v>12775.2083120371</v>
      </c>
      <c r="L33" s="31" t="n">
        <f aca="false">L32+E33</f>
        <v>1200000</v>
      </c>
      <c r="M33" s="31" t="n">
        <f aca="false">M32+F33</f>
        <v>782000</v>
      </c>
      <c r="N33" s="31" t="n">
        <f aca="false">N32+K33</f>
        <v>2508837.70192315</v>
      </c>
    </row>
    <row r="34" customFormat="false" ht="15" hidden="false" customHeight="false" outlineLevel="0" collapsed="false">
      <c r="A34" s="27" t="s">
        <v>157</v>
      </c>
      <c r="B34" s="27" t="s">
        <v>242</v>
      </c>
      <c r="C34" s="33" t="n">
        <f aca="false">SUM(C6:C33)</f>
        <v>4219771.8</v>
      </c>
      <c r="E34" s="33" t="n">
        <f aca="false">SUM(E6:E33)</f>
        <v>1200000</v>
      </c>
      <c r="F34" s="33" t="n">
        <f aca="false">SUM(F6:F33)</f>
        <v>782000</v>
      </c>
      <c r="G34" s="33" t="n">
        <f aca="false">SUM(G6:G33)</f>
        <v>48619.7572342656</v>
      </c>
      <c r="H34" s="33" t="n">
        <f aca="false">SUM(H6:H33)</f>
        <v>38020.6501571957</v>
      </c>
      <c r="I34" s="33" t="n">
        <f aca="false">SUM(I6:I33)</f>
        <v>154549.126031691</v>
      </c>
      <c r="J34" s="33" t="n">
        <f aca="false">SUM(J6:J33)</f>
        <v>29876.3685</v>
      </c>
      <c r="K34" s="33" t="n">
        <f aca="false">SUM(K6:K33)</f>
        <v>2508837.70192315</v>
      </c>
    </row>
    <row r="36" customFormat="false" ht="15" hidden="false" customHeight="false" outlineLevel="0" collapsed="false">
      <c r="A36" s="38" t="s">
        <v>243</v>
      </c>
      <c r="G36" s="33" t="n">
        <f aca="false">SUM(G34:J34)</f>
        <v>271065.901923152</v>
      </c>
    </row>
    <row r="37" customFormat="false" ht="15" hidden="false" customHeight="false" outlineLevel="0" collapsed="false">
      <c r="A37" s="39" t="s">
        <v>244</v>
      </c>
      <c r="G37" s="31" t="n">
        <f aca="false">ROUND(L33+M33+N33-C34-G36,2)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6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245</v>
      </c>
    </row>
    <row r="2" customFormat="false" ht="15" hidden="false" customHeight="false" outlineLevel="0" collapsed="false">
      <c r="A2" s="2" t="s">
        <v>246</v>
      </c>
    </row>
    <row r="4" customFormat="false" ht="30" hidden="false" customHeight="true" outlineLevel="0" collapsed="false">
      <c r="A4" s="3" t="s">
        <v>247</v>
      </c>
      <c r="B4" s="4" t="s">
        <v>248</v>
      </c>
      <c r="C4" s="4" t="s">
        <v>249</v>
      </c>
      <c r="D4" s="4" t="s">
        <v>250</v>
      </c>
      <c r="E4" s="4" t="s">
        <v>251</v>
      </c>
      <c r="F4" s="4" t="s">
        <v>252</v>
      </c>
      <c r="G4" s="4" t="s">
        <v>253</v>
      </c>
    </row>
    <row r="5" customFormat="false" ht="15" hidden="false" customHeight="false" outlineLevel="0" collapsed="false">
      <c r="A5" s="26" t="n">
        <v>1</v>
      </c>
      <c r="B5" s="31" t="n">
        <f aca="false">SUMIFS(Tilgungsplan!$L$7:$L$426,Tilgungsplan!$B$7:$B$426,A5)</f>
        <v>153101.519914136</v>
      </c>
      <c r="C5" s="31" t="n">
        <f aca="false">SUMIFS(Tilgungsplan!$M$7:$M$426,Tilgungsplan!$B$7:$B$426,A5)</f>
        <v>45620.3651820216</v>
      </c>
      <c r="D5" s="31" t="n">
        <f aca="false">B5+C5</f>
        <v>198721.885096158</v>
      </c>
      <c r="E5" s="31" t="n">
        <f aca="false">INDEX(Tilgungsplan!$O$7:$O$426,A5*12)</f>
        <v>4445217.33674113</v>
      </c>
      <c r="F5" s="31" t="n">
        <f aca="false">INDEX(Tilgungsplan!$E$7:$E$426,A5*12)+INDEX(Tilgungsplan!$H$7:$H$426,A5*12)</f>
        <v>1961933.1145459</v>
      </c>
      <c r="G5" s="7" t="s">
        <v>254</v>
      </c>
    </row>
    <row r="6" customFormat="false" ht="15" hidden="false" customHeight="false" outlineLevel="0" collapsed="false">
      <c r="A6" s="26" t="n">
        <v>2</v>
      </c>
      <c r="B6" s="31" t="n">
        <f aca="false">SUMIFS(Tilgungsplan!$L$7:$L$426,Tilgungsplan!$B$7:$B$426,A6)</f>
        <v>151512.318149171</v>
      </c>
      <c r="C6" s="31" t="n">
        <f aca="false">SUMIFS(Tilgungsplan!$M$7:$M$426,Tilgungsplan!$B$7:$B$426,A6)</f>
        <v>47209.5669469867</v>
      </c>
      <c r="D6" s="31" t="n">
        <f aca="false">B6+C6</f>
        <v>198721.885096158</v>
      </c>
      <c r="E6" s="31" t="n">
        <f aca="false">INDEX(Tilgungsplan!$O$7:$O$426,A6*12)</f>
        <v>4398007.76979415</v>
      </c>
      <c r="F6" s="31" t="n">
        <f aca="false">INDEX(Tilgungsplan!$E$7:$E$426,A6*12)+INDEX(Tilgungsplan!$H$7:$H$426,A6*12)</f>
        <v>1941318.11551792</v>
      </c>
      <c r="G6" s="7" t="s">
        <v>254</v>
      </c>
    </row>
    <row r="7" customFormat="false" ht="15" hidden="false" customHeight="false" outlineLevel="0" collapsed="false">
      <c r="A7" s="26" t="n">
        <v>3</v>
      </c>
      <c r="B7" s="31" t="n">
        <f aca="false">SUMIFS(Tilgungsplan!$L$7:$L$426,Tilgungsplan!$B$7:$B$426,A7)</f>
        <v>149865.603398424</v>
      </c>
      <c r="C7" s="31" t="n">
        <f aca="false">SUMIFS(Tilgungsplan!$M$7:$M$426,Tilgungsplan!$B$7:$B$426,A7)</f>
        <v>48856.2816977339</v>
      </c>
      <c r="D7" s="31" t="n">
        <f aca="false">B7+C7</f>
        <v>198721.885096158</v>
      </c>
      <c r="E7" s="31" t="n">
        <f aca="false">INDEX(Tilgungsplan!$O$7:$O$426,A7*12)</f>
        <v>4349151.48809641</v>
      </c>
      <c r="F7" s="31" t="n">
        <f aca="false">INDEX(Tilgungsplan!$E$7:$E$426,A7*12)+INDEX(Tilgungsplan!$H$7:$H$426,A7*12)</f>
        <v>1920139.9054695</v>
      </c>
      <c r="G7" s="7" t="s">
        <v>254</v>
      </c>
    </row>
    <row r="8" customFormat="false" ht="15" hidden="false" customHeight="false" outlineLevel="0" collapsed="false">
      <c r="A8" s="26" t="n">
        <v>4</v>
      </c>
      <c r="B8" s="31" t="n">
        <f aca="false">SUMIFS(Tilgungsplan!$L$7:$L$426,Tilgungsplan!$B$7:$B$426,A8)</f>
        <v>148159.228186923</v>
      </c>
      <c r="C8" s="31" t="n">
        <f aca="false">SUMIFS(Tilgungsplan!$M$7:$M$426,Tilgungsplan!$B$7:$B$426,A8)</f>
        <v>50562.6569092343</v>
      </c>
      <c r="D8" s="31" t="n">
        <f aca="false">B8+C8</f>
        <v>198721.885096158</v>
      </c>
      <c r="E8" s="31" t="n">
        <f aca="false">INDEX(Tilgungsplan!$O$7:$O$426,A8*12)</f>
        <v>4298588.83118718</v>
      </c>
      <c r="F8" s="31" t="n">
        <f aca="false">INDEX(Tilgungsplan!$E$7:$E$426,A8*12)+INDEX(Tilgungsplan!$H$7:$H$426,A8*12)</f>
        <v>1898382.96755362</v>
      </c>
      <c r="G8" s="7" t="s">
        <v>254</v>
      </c>
    </row>
    <row r="9" customFormat="false" ht="15" hidden="false" customHeight="false" outlineLevel="0" collapsed="false">
      <c r="A9" s="26" t="n">
        <v>5</v>
      </c>
      <c r="B9" s="31" t="n">
        <f aca="false">SUMIFS(Tilgungsplan!$L$7:$L$426,Tilgungsplan!$B$7:$B$426,A9)</f>
        <v>146390.962885362</v>
      </c>
      <c r="C9" s="31" t="n">
        <f aca="false">SUMIFS(Tilgungsplan!$M$7:$M$426,Tilgungsplan!$B$7:$B$426,A9)</f>
        <v>52330.9222107952</v>
      </c>
      <c r="D9" s="31" t="n">
        <f aca="false">B9+C9</f>
        <v>198721.885096158</v>
      </c>
      <c r="E9" s="31" t="n">
        <f aca="false">INDEX(Tilgungsplan!$O$7:$O$426,A9*12)</f>
        <v>4246257.90897638</v>
      </c>
      <c r="F9" s="31" t="n">
        <f aca="false">INDEX(Tilgungsplan!$E$7:$E$426,A9*12)+INDEX(Tilgungsplan!$H$7:$H$426,A9*12)</f>
        <v>1876031.35377287</v>
      </c>
      <c r="G9" s="7" t="s">
        <v>254</v>
      </c>
    </row>
    <row r="10" customFormat="false" ht="15" hidden="false" customHeight="false" outlineLevel="0" collapsed="false">
      <c r="A10" s="26" t="n">
        <v>6</v>
      </c>
      <c r="B10" s="31" t="n">
        <f aca="false">SUMIFS(Tilgungsplan!$L$7:$L$426,Tilgungsplan!$B$7:$B$426,A10)</f>
        <v>144558.492509782</v>
      </c>
      <c r="C10" s="31" t="n">
        <f aca="false">SUMIFS(Tilgungsplan!$M$7:$M$426,Tilgungsplan!$B$7:$B$426,A10)</f>
        <v>54163.3925863756</v>
      </c>
      <c r="D10" s="31" t="n">
        <f aca="false">B10+C10</f>
        <v>198721.885096158</v>
      </c>
      <c r="E10" s="31" t="n">
        <f aca="false">INDEX(Tilgungsplan!$O$7:$O$426,A10*12)</f>
        <v>4192094.51639001</v>
      </c>
      <c r="F10" s="31" t="n">
        <f aca="false">INDEX(Tilgungsplan!$E$7:$E$426,A10*12)+INDEX(Tilgungsplan!$H$7:$H$426,A10*12)</f>
        <v>1853068.67289766</v>
      </c>
      <c r="G10" s="7" t="s">
        <v>254</v>
      </c>
    </row>
    <row r="11" customFormat="false" ht="15" hidden="false" customHeight="false" outlineLevel="0" collapsed="false">
      <c r="A11" s="26" t="n">
        <v>7</v>
      </c>
      <c r="B11" s="31" t="n">
        <f aca="false">SUMIFS(Tilgungsplan!$L$7:$L$426,Tilgungsplan!$B$7:$B$426,A11)</f>
        <v>142659.413394941</v>
      </c>
      <c r="C11" s="31" t="n">
        <f aca="false">SUMIFS(Tilgungsplan!$M$7:$M$426,Tilgungsplan!$B$7:$B$426,A11)</f>
        <v>56062.4717012162</v>
      </c>
      <c r="D11" s="31" t="n">
        <f aca="false">B11+C11</f>
        <v>198721.885096158</v>
      </c>
      <c r="E11" s="31" t="n">
        <f aca="false">INDEX(Tilgungsplan!$O$7:$O$426,A11*12)</f>
        <v>4136032.04468879</v>
      </c>
      <c r="F11" s="31" t="n">
        <f aca="false">INDEX(Tilgungsplan!$E$7:$E$426,A11*12)+INDEX(Tilgungsplan!$H$7:$H$426,A11*12)</f>
        <v>1829478.07804291</v>
      </c>
      <c r="G11" s="7" t="s">
        <v>254</v>
      </c>
    </row>
    <row r="12" customFormat="false" ht="15" hidden="false" customHeight="false" outlineLevel="0" collapsed="false">
      <c r="A12" s="26" t="n">
        <v>8</v>
      </c>
      <c r="B12" s="31" t="n">
        <f aca="false">SUMIFS(Tilgungsplan!$L$7:$L$426,Tilgungsplan!$B$7:$B$426,A12)</f>
        <v>140691.22973634</v>
      </c>
      <c r="C12" s="31" t="n">
        <f aca="false">SUMIFS(Tilgungsplan!$M$7:$M$426,Tilgungsplan!$B$7:$B$426,A12)</f>
        <v>58030.6553598172</v>
      </c>
      <c r="D12" s="31" t="n">
        <f aca="false">B12+C12</f>
        <v>198721.885096158</v>
      </c>
      <c r="E12" s="31" t="n">
        <f aca="false">INDEX(Tilgungsplan!$O$7:$O$426,A12*12)</f>
        <v>4078001.38932897</v>
      </c>
      <c r="F12" s="31" t="n">
        <f aca="false">INDEX(Tilgungsplan!$E$7:$E$426,A12*12)+INDEX(Tilgungsplan!$H$7:$H$426,A12*12)</f>
        <v>1805242.25389379</v>
      </c>
      <c r="G12" s="7" t="s">
        <v>254</v>
      </c>
    </row>
    <row r="13" customFormat="false" ht="15" hidden="false" customHeight="false" outlineLevel="0" collapsed="false">
      <c r="A13" s="26" t="n">
        <v>9</v>
      </c>
      <c r="B13" s="31" t="n">
        <f aca="false">SUMIFS(Tilgungsplan!$L$7:$L$426,Tilgungsplan!$B$7:$B$426,A13)</f>
        <v>138651.349995661</v>
      </c>
      <c r="C13" s="31" t="n">
        <f aca="false">SUMIFS(Tilgungsplan!$M$7:$M$426,Tilgungsplan!$B$7:$B$426,A13)</f>
        <v>60070.5351004966</v>
      </c>
      <c r="D13" s="31" t="n">
        <f aca="false">B13+C13</f>
        <v>198721.885096158</v>
      </c>
      <c r="E13" s="31" t="n">
        <f aca="false">INDEX(Tilgungsplan!$O$7:$O$426,A13*12)</f>
        <v>4017930.85422848</v>
      </c>
      <c r="F13" s="31" t="n">
        <f aca="false">INDEX(Tilgungsplan!$E$7:$E$426,A13*12)+INDEX(Tilgungsplan!$H$7:$H$426,A13*12)</f>
        <v>1780343.40357023</v>
      </c>
      <c r="G13" s="7" t="s">
        <v>254</v>
      </c>
    </row>
    <row r="14" customFormat="false" ht="15" hidden="false" customHeight="false" outlineLevel="0" collapsed="false">
      <c r="A14" s="26" t="n">
        <v>10</v>
      </c>
      <c r="B14" s="31" t="n">
        <f aca="false">SUMIFS(Tilgungsplan!$L$7:$L$426,Tilgungsplan!$B$7:$B$426,A14)</f>
        <v>136537.083164184</v>
      </c>
      <c r="C14" s="31" t="n">
        <f aca="false">SUMIFS(Tilgungsplan!$M$7:$M$426,Tilgungsplan!$B$7:$B$426,A14)</f>
        <v>62184.8019319741</v>
      </c>
      <c r="D14" s="31" t="n">
        <f aca="false">B14+C14</f>
        <v>198721.885096158</v>
      </c>
      <c r="E14" s="31" t="n">
        <f aca="false">INDEX(Tilgungsplan!$O$7:$O$426,A14*12)</f>
        <v>3955746.0522965</v>
      </c>
      <c r="F14" s="31" t="n">
        <f aca="false">INDEX(Tilgungsplan!$E$7:$E$426,A14*12)+INDEX(Tilgungsplan!$H$7:$H$426,A14*12)</f>
        <v>1754763.23512009</v>
      </c>
      <c r="G14" s="7" t="s">
        <v>254</v>
      </c>
    </row>
    <row r="15" customFormat="false" ht="15" hidden="false" customHeight="false" outlineLevel="0" collapsed="false">
      <c r="A15" s="26" t="n">
        <v>11</v>
      </c>
      <c r="B15" s="31" t="n">
        <f aca="false">SUMIFS(Tilgungsplan!$L$7:$L$426,Tilgungsplan!$B$7:$B$426,A15)</f>
        <v>134345.634878514</v>
      </c>
      <c r="C15" s="31" t="n">
        <f aca="false">SUMIFS(Tilgungsplan!$M$7:$M$426,Tilgungsplan!$B$7:$B$426,A15)</f>
        <v>64376.2502176435</v>
      </c>
      <c r="D15" s="31" t="n">
        <f aca="false">B15+C15</f>
        <v>198721.885096158</v>
      </c>
      <c r="E15" s="31" t="n">
        <f aca="false">INDEX(Tilgungsplan!$O$7:$O$426,A15*12)</f>
        <v>3891369.80207886</v>
      </c>
      <c r="F15" s="31" t="n">
        <f aca="false">INDEX(Tilgungsplan!$E$7:$E$426,A15*12)+INDEX(Tilgungsplan!$H$7:$H$426,A15*12)</f>
        <v>1728482.94763035</v>
      </c>
      <c r="G15" s="7" t="s">
        <v>255</v>
      </c>
    </row>
    <row r="16" customFormat="false" ht="15" hidden="false" customHeight="false" outlineLevel="0" collapsed="false">
      <c r="A16" s="26" t="n">
        <v>12</v>
      </c>
      <c r="B16" s="31" t="n">
        <f aca="false">SUMIFS(Tilgungsplan!$L$7:$L$426,Tilgungsplan!$B$7:$B$426,A16)</f>
        <v>132074.103382735</v>
      </c>
      <c r="C16" s="31" t="n">
        <f aca="false">SUMIFS(Tilgungsplan!$M$7:$M$426,Tilgungsplan!$B$7:$B$426,A16)</f>
        <v>66647.7817134222</v>
      </c>
      <c r="D16" s="31" t="n">
        <f aca="false">B16+C16</f>
        <v>198721.885096158</v>
      </c>
      <c r="E16" s="31" t="n">
        <f aca="false">INDEX(Tilgungsplan!$O$7:$O$426,A16*12)</f>
        <v>3824722.02036544</v>
      </c>
      <c r="F16" s="31" t="n">
        <f aca="false">INDEX(Tilgungsplan!$E$7:$E$426,A16*12)+INDEX(Tilgungsplan!$H$7:$H$426,A16*12)</f>
        <v>1701483.21694537</v>
      </c>
      <c r="G16" s="7" t="s">
        <v>255</v>
      </c>
    </row>
    <row r="17" customFormat="false" ht="15" hidden="false" customHeight="false" outlineLevel="0" collapsed="false">
      <c r="A17" s="26" t="n">
        <v>13</v>
      </c>
      <c r="B17" s="31" t="n">
        <f aca="false">SUMIFS(Tilgungsplan!$L$7:$L$426,Tilgungsplan!$B$7:$B$426,A17)</f>
        <v>129719.475330853</v>
      </c>
      <c r="C17" s="31" t="n">
        <f aca="false">SUMIFS(Tilgungsplan!$M$7:$M$426,Tilgungsplan!$B$7:$B$426,A17)</f>
        <v>69002.4097653046</v>
      </c>
      <c r="D17" s="31" t="n">
        <f aca="false">B17+C17</f>
        <v>198721.885096158</v>
      </c>
      <c r="E17" s="31" t="n">
        <f aca="false">INDEX(Tilgungsplan!$O$7:$O$426,A17*12)</f>
        <v>3755719.61060013</v>
      </c>
      <c r="F17" s="31" t="n">
        <f aca="false">INDEX(Tilgungsplan!$E$7:$E$426,A17*12)+INDEX(Tilgungsplan!$H$7:$H$426,A17*12)</f>
        <v>1673744.18098118</v>
      </c>
      <c r="G17" s="7" t="s">
        <v>255</v>
      </c>
    </row>
    <row r="18" customFormat="false" ht="15" hidden="false" customHeight="false" outlineLevel="0" collapsed="false">
      <c r="A18" s="26" t="n">
        <v>14</v>
      </c>
      <c r="B18" s="31" t="n">
        <f aca="false">SUMIFS(Tilgungsplan!$L$7:$L$426,Tilgungsplan!$B$7:$B$426,A18)</f>
        <v>127278.621423166</v>
      </c>
      <c r="C18" s="31" t="n">
        <f aca="false">SUMIFS(Tilgungsplan!$M$7:$M$426,Tilgungsplan!$B$7:$B$426,A18)</f>
        <v>71443.263672992</v>
      </c>
      <c r="D18" s="31" t="n">
        <f aca="false">B18+C18</f>
        <v>198721.885096158</v>
      </c>
      <c r="E18" s="31" t="n">
        <f aca="false">INDEX(Tilgungsplan!$O$7:$O$426,A18*12)</f>
        <v>3684276.34692714</v>
      </c>
      <c r="F18" s="31" t="n">
        <f aca="false">INDEX(Tilgungsplan!$E$7:$E$426,A18*12)+INDEX(Tilgungsplan!$H$7:$H$426,A18*12)</f>
        <v>1645245.42462403</v>
      </c>
      <c r="G18" s="7" t="s">
        <v>255</v>
      </c>
    </row>
    <row r="19" customFormat="false" ht="15" hidden="false" customHeight="false" outlineLevel="0" collapsed="false">
      <c r="A19" s="26" t="n">
        <v>15</v>
      </c>
      <c r="B19" s="31" t="n">
        <f aca="false">SUMIFS(Tilgungsplan!$L$7:$L$426,Tilgungsplan!$B$7:$B$426,A19)</f>
        <v>124748.291869933</v>
      </c>
      <c r="C19" s="31" t="n">
        <f aca="false">SUMIFS(Tilgungsplan!$M$7:$M$426,Tilgungsplan!$B$7:$B$426,A19)</f>
        <v>73973.5932262251</v>
      </c>
      <c r="D19" s="31" t="n">
        <f aca="false">B19+C19</f>
        <v>198721.885096158</v>
      </c>
      <c r="E19" s="31" t="n">
        <f aca="false">INDEX(Tilgungsplan!$O$7:$O$426,A19*12)</f>
        <v>3610302.75370092</v>
      </c>
      <c r="F19" s="31" t="n">
        <f aca="false">INDEX(Tilgungsplan!$E$7:$E$426,A19*12)+INDEX(Tilgungsplan!$H$7:$H$426,A19*12)</f>
        <v>1615965.96420162</v>
      </c>
      <c r="G19" s="7" t="s">
        <v>255</v>
      </c>
    </row>
    <row r="20" customFormat="false" ht="15" hidden="false" customHeight="false" outlineLevel="0" collapsed="false">
      <c r="A20" s="26" t="n">
        <v>16</v>
      </c>
      <c r="B20" s="31" t="n">
        <f aca="false">SUMIFS(Tilgungsplan!$L$7:$L$426,Tilgungsplan!$B$7:$B$426,A20)</f>
        <v>122125.111675443</v>
      </c>
      <c r="C20" s="31" t="n">
        <f aca="false">SUMIFS(Tilgungsplan!$M$7:$M$426,Tilgungsplan!$B$7:$B$426,A20)</f>
        <v>76596.7734207146</v>
      </c>
      <c r="D20" s="31" t="n">
        <f aca="false">B20+C20</f>
        <v>198721.885096158</v>
      </c>
      <c r="E20" s="31" t="n">
        <f aca="false">INDEX(Tilgungsplan!$O$7:$O$426,A20*12)</f>
        <v>3533705.9802802</v>
      </c>
      <c r="F20" s="31" t="n">
        <f aca="false">INDEX(Tilgungsplan!$E$7:$E$426,A20*12)+INDEX(Tilgungsplan!$H$7:$H$426,A20*12)</f>
        <v>1585884.23151462</v>
      </c>
      <c r="G20" s="7" t="s">
        <v>255</v>
      </c>
    </row>
    <row r="21" customFormat="false" ht="15" hidden="false" customHeight="false" outlineLevel="0" collapsed="false">
      <c r="A21" s="26" t="n">
        <v>17</v>
      </c>
      <c r="B21" s="31" t="n">
        <f aca="false">SUMIFS(Tilgungsplan!$L$7:$L$426,Tilgungsplan!$B$7:$B$426,A21)</f>
        <v>119405.575735317</v>
      </c>
      <c r="C21" s="31" t="n">
        <f aca="false">SUMIFS(Tilgungsplan!$M$7:$M$426,Tilgungsplan!$B$7:$B$426,A21)</f>
        <v>79316.3093608409</v>
      </c>
      <c r="D21" s="31" t="n">
        <f aca="false">B21+C21</f>
        <v>198721.885096158</v>
      </c>
      <c r="E21" s="31" t="n">
        <f aca="false">INDEX(Tilgungsplan!$O$7:$O$426,A21*12)</f>
        <v>3454389.67091936</v>
      </c>
      <c r="F21" s="31" t="n">
        <f aca="false">INDEX(Tilgungsplan!$E$7:$E$426,A21*12)+INDEX(Tilgungsplan!$H$7:$H$426,A21*12)</f>
        <v>1554978.05741596</v>
      </c>
      <c r="G21" s="7" t="s">
        <v>255</v>
      </c>
    </row>
    <row r="22" customFormat="false" ht="15" hidden="false" customHeight="false" outlineLevel="0" collapsed="false">
      <c r="A22" s="26" t="n">
        <v>18</v>
      </c>
      <c r="B22" s="31" t="n">
        <f aca="false">SUMIFS(Tilgungsplan!$L$7:$L$426,Tilgungsplan!$B$7:$B$426,A22)</f>
        <v>116586.043739578</v>
      </c>
      <c r="C22" s="31" t="n">
        <f aca="false">SUMIFS(Tilgungsplan!$M$7:$M$426,Tilgungsplan!$B$7:$B$426,A22)</f>
        <v>82135.8413565792</v>
      </c>
      <c r="D22" s="31" t="n">
        <f aca="false">B22+C22</f>
        <v>198721.885096158</v>
      </c>
      <c r="E22" s="31" t="n">
        <f aca="false">INDEX(Tilgungsplan!$O$7:$O$426,A22*12)</f>
        <v>3372253.82956278</v>
      </c>
      <c r="F22" s="31" t="n">
        <f aca="false">INDEX(Tilgungsplan!$E$7:$E$426,A22*12)+INDEX(Tilgungsplan!$H$7:$H$426,A22*12)</f>
        <v>1523224.65492509</v>
      </c>
      <c r="G22" s="7" t="s">
        <v>255</v>
      </c>
    </row>
    <row r="23" customFormat="false" ht="15" hidden="false" customHeight="false" outlineLevel="0" collapsed="false">
      <c r="A23" s="26" t="n">
        <v>19</v>
      </c>
      <c r="B23" s="31" t="n">
        <f aca="false">SUMIFS(Tilgungsplan!$L$7:$L$426,Tilgungsplan!$B$7:$B$426,A23)</f>
        <v>113662.734873746</v>
      </c>
      <c r="C23" s="31" t="n">
        <f aca="false">SUMIFS(Tilgungsplan!$M$7:$M$426,Tilgungsplan!$B$7:$B$426,A23)</f>
        <v>85059.150222412</v>
      </c>
      <c r="D23" s="31" t="n">
        <f aca="false">B23+C23</f>
        <v>198721.885096158</v>
      </c>
      <c r="E23" s="31" t="n">
        <f aca="false">INDEX(Tilgungsplan!$O$7:$O$426,A23*12)</f>
        <v>3287194.67934037</v>
      </c>
      <c r="F23" s="31" t="n">
        <f aca="false">INDEX(Tilgungsplan!$E$7:$E$426,A23*12)+INDEX(Tilgungsplan!$H$7:$H$426,A23*12)</f>
        <v>1490600.60186385</v>
      </c>
      <c r="G23" s="7" t="s">
        <v>255</v>
      </c>
    </row>
    <row r="24" customFormat="false" ht="15" hidden="false" customHeight="false" outlineLevel="0" collapsed="false">
      <c r="A24" s="26" t="n">
        <v>20</v>
      </c>
      <c r="B24" s="31" t="n">
        <f aca="false">SUMIFS(Tilgungsplan!$L$7:$L$426,Tilgungsplan!$B$7:$B$426,A24)</f>
        <v>110631.722309862</v>
      </c>
      <c r="C24" s="31" t="n">
        <f aca="false">SUMIFS(Tilgungsplan!$M$7:$M$426,Tilgungsplan!$B$7:$B$426,A24)</f>
        <v>88090.1627862959</v>
      </c>
      <c r="D24" s="31" t="n">
        <f aca="false">B24+C24</f>
        <v>198721.885096158</v>
      </c>
      <c r="E24" s="31" t="n">
        <f aca="false">INDEX(Tilgungsplan!$O$7:$O$426,A24*12)</f>
        <v>3199104.51655407</v>
      </c>
      <c r="F24" s="31" t="n">
        <f aca="false">INDEX(Tilgungsplan!$E$7:$E$426,A24*12)+INDEX(Tilgungsplan!$H$7:$H$426,A24*12)</f>
        <v>1457081.82300021</v>
      </c>
      <c r="G24" s="7" t="s">
        <v>255</v>
      </c>
    </row>
    <row r="25" customFormat="false" ht="15" hidden="false" customHeight="false" outlineLevel="0" collapsed="false">
      <c r="A25" s="26" t="n">
        <v>21</v>
      </c>
      <c r="B25" s="31" t="n">
        <f aca="false">SUMIFS(Tilgungsplan!$L$7:$L$426,Tilgungsplan!$B$7:$B$426,A25)</f>
        <v>107488.927479078</v>
      </c>
      <c r="C25" s="31" t="n">
        <f aca="false">SUMIFS(Tilgungsplan!$M$7:$M$426,Tilgungsplan!$B$7:$B$426,A25)</f>
        <v>91232.9576170793</v>
      </c>
      <c r="D25" s="31" t="n">
        <f aca="false">B25+C25</f>
        <v>198721.885096158</v>
      </c>
      <c r="E25" s="31" t="n">
        <f aca="false">INDEX(Tilgungsplan!$O$7:$O$426,A25*12)</f>
        <v>3107871.55893699</v>
      </c>
      <c r="F25" s="31" t="n">
        <f aca="false">INDEX(Tilgungsplan!$E$7:$E$426,A25*12)+INDEX(Tilgungsplan!$H$7:$H$426,A25*12)</f>
        <v>1422643.57168607</v>
      </c>
      <c r="G25" s="7" t="s">
        <v>255</v>
      </c>
    </row>
    <row r="26" customFormat="false" ht="15" hidden="false" customHeight="false" outlineLevel="0" collapsed="false">
      <c r="A26" s="26" t="n">
        <v>22</v>
      </c>
      <c r="B26" s="31" t="n">
        <f aca="false">SUMIFS(Tilgungsplan!$L$7:$L$426,Tilgungsplan!$B$7:$B$426,A26)</f>
        <v>104230.114117056</v>
      </c>
      <c r="C26" s="31" t="n">
        <f aca="false">SUMIFS(Tilgungsplan!$M$7:$M$426,Tilgungsplan!$B$7:$B$426,A26)</f>
        <v>94491.7709791018</v>
      </c>
      <c r="D26" s="31" t="n">
        <f aca="false">B26+C26</f>
        <v>198721.885096158</v>
      </c>
      <c r="E26" s="31" t="n">
        <f aca="false">INDEX(Tilgungsplan!$O$7:$O$426,A26*12)</f>
        <v>3013379.78795789</v>
      </c>
      <c r="F26" s="31" t="n">
        <f aca="false">INDEX(Tilgungsplan!$E$7:$E$426,A26*12)+INDEX(Tilgungsplan!$H$7:$H$426,A26*12)</f>
        <v>1387260.41097436</v>
      </c>
      <c r="G26" s="7" t="s">
        <v>255</v>
      </c>
    </row>
    <row r="27" customFormat="false" ht="15" hidden="false" customHeight="false" outlineLevel="0" collapsed="false">
      <c r="A27" s="26" t="n">
        <v>23</v>
      </c>
      <c r="B27" s="31" t="n">
        <f aca="false">SUMIFS(Tilgungsplan!$L$7:$L$426,Tilgungsplan!$B$7:$B$426,A27)</f>
        <v>100850.882073099</v>
      </c>
      <c r="C27" s="31" t="n">
        <f aca="false">SUMIFS(Tilgungsplan!$M$7:$M$426,Tilgungsplan!$B$7:$B$426,A27)</f>
        <v>97871.0030230584</v>
      </c>
      <c r="D27" s="31" t="n">
        <f aca="false">B27+C27</f>
        <v>198721.885096158</v>
      </c>
      <c r="E27" s="31" t="n">
        <f aca="false">INDEX(Tilgungsplan!$O$7:$O$426,A27*12)</f>
        <v>2915508.78493483</v>
      </c>
      <c r="F27" s="31" t="n">
        <f aca="false">INDEX(Tilgungsplan!$E$7:$E$426,A27*12)+INDEX(Tilgungsplan!$H$7:$H$426,A27*12)</f>
        <v>1350906.19420084</v>
      </c>
      <c r="G27" s="7" t="s">
        <v>255</v>
      </c>
    </row>
    <row r="28" customFormat="false" ht="15" hidden="false" customHeight="false" outlineLevel="0" collapsed="false">
      <c r="A28" s="26" t="n">
        <v>24</v>
      </c>
      <c r="B28" s="31" t="n">
        <f aca="false">SUMIFS(Tilgungsplan!$L$7:$L$426,Tilgungsplan!$B$7:$B$426,A28)</f>
        <v>97346.6608735815</v>
      </c>
      <c r="C28" s="31" t="n">
        <f aca="false">SUMIFS(Tilgungsplan!$M$7:$M$426,Tilgungsplan!$B$7:$B$426,A28)</f>
        <v>101375.224222576</v>
      </c>
      <c r="D28" s="31" t="n">
        <f aca="false">B28+C28</f>
        <v>198721.885096158</v>
      </c>
      <c r="E28" s="31" t="n">
        <f aca="false">INDEX(Tilgungsplan!$O$7:$O$426,A28*12)</f>
        <v>2814133.56071226</v>
      </c>
      <c r="F28" s="31" t="n">
        <f aca="false">INDEX(Tilgungsplan!$E$7:$E$426,A28*12)+INDEX(Tilgungsplan!$H$7:$H$426,A28*12)</f>
        <v>1313554.04501507</v>
      </c>
      <c r="G28" s="7" t="s">
        <v>255</v>
      </c>
    </row>
    <row r="29" customFormat="false" ht="15" hidden="false" customHeight="false" outlineLevel="0" collapsed="false">
      <c r="A29" s="26" t="n">
        <v>25</v>
      </c>
      <c r="B29" s="31" t="n">
        <f aca="false">SUMIFS(Tilgungsplan!$L$7:$L$426,Tilgungsplan!$B$7:$B$426,A29)</f>
        <v>93712.7030298266</v>
      </c>
      <c r="C29" s="31" t="n">
        <f aca="false">SUMIFS(Tilgungsplan!$M$7:$M$426,Tilgungsplan!$B$7:$B$426,A29)</f>
        <v>105009.182066331</v>
      </c>
      <c r="D29" s="31" t="n">
        <f aca="false">B29+C29</f>
        <v>198721.885096158</v>
      </c>
      <c r="E29" s="31" t="n">
        <f aca="false">INDEX(Tilgungsplan!$O$7:$O$426,A29*12)</f>
        <v>2709124.37864593</v>
      </c>
      <c r="F29" s="31" t="n">
        <f aca="false">INDEX(Tilgungsplan!$E$7:$E$426,A29*12)+INDEX(Tilgungsplan!$H$7:$H$426,A29*12)</f>
        <v>1275176.33684502</v>
      </c>
      <c r="G29" s="7" t="s">
        <v>255</v>
      </c>
    </row>
    <row r="30" customFormat="false" ht="15" hidden="false" customHeight="false" outlineLevel="0" collapsed="false">
      <c r="A30" s="26" t="n">
        <v>26</v>
      </c>
      <c r="B30" s="31" t="n">
        <f aca="false">SUMIFS(Tilgungsplan!$L$7:$L$426,Tilgungsplan!$B$7:$B$426,A30)</f>
        <v>89944.0770802281</v>
      </c>
      <c r="C30" s="31" t="n">
        <f aca="false">SUMIFS(Tilgungsplan!$M$7:$M$426,Tilgungsplan!$B$7:$B$426,A30)</f>
        <v>108777.80801593</v>
      </c>
      <c r="D30" s="31" t="n">
        <f aca="false">B30+C30</f>
        <v>198721.885096158</v>
      </c>
      <c r="E30" s="31" t="n">
        <f aca="false">INDEX(Tilgungsplan!$O$7:$O$426,A30*12)</f>
        <v>2600346.57063</v>
      </c>
      <c r="F30" s="31" t="n">
        <f aca="false">INDEX(Tilgungsplan!$E$7:$E$426,A30*12)+INDEX(Tilgungsplan!$H$7:$H$426,A30*12)</f>
        <v>1235744.67177892</v>
      </c>
      <c r="G30" s="7" t="s">
        <v>255</v>
      </c>
    </row>
    <row r="31" customFormat="false" ht="15" hidden="false" customHeight="false" outlineLevel="0" collapsed="false">
      <c r="A31" s="26" t="n">
        <v>27</v>
      </c>
      <c r="B31" s="31" t="n">
        <f aca="false">SUMIFS(Tilgungsplan!$L$7:$L$426,Tilgungsplan!$B$7:$B$426,A31)</f>
        <v>86035.660355971</v>
      </c>
      <c r="C31" s="31" t="n">
        <f aca="false">SUMIFS(Tilgungsplan!$M$7:$M$426,Tilgungsplan!$B$7:$B$426,A31)</f>
        <v>112686.224740187</v>
      </c>
      <c r="D31" s="31" t="n">
        <f aca="false">B31+C31</f>
        <v>198721.885096158</v>
      </c>
      <c r="E31" s="31" t="n">
        <f aca="false">INDEX(Tilgungsplan!$O$7:$O$426,A31*12)</f>
        <v>2487660.34588981</v>
      </c>
      <c r="F31" s="31" t="n">
        <f aca="false">INDEX(Tilgungsplan!$E$7:$E$426,A31*12)+INDEX(Tilgungsplan!$H$7:$H$426,A31*12)</f>
        <v>1195229.85884788</v>
      </c>
      <c r="G31" s="7" t="s">
        <v>255</v>
      </c>
    </row>
    <row r="32" customFormat="false" ht="15" hidden="false" customHeight="false" outlineLevel="0" collapsed="false">
      <c r="A32" s="26" t="n">
        <v>28</v>
      </c>
      <c r="B32" s="31" t="n">
        <f aca="false">SUMIFS(Tilgungsplan!$L$7:$L$426,Tilgungsplan!$B$7:$B$426,A32)</f>
        <v>81982.1314592935</v>
      </c>
      <c r="C32" s="31" t="n">
        <f aca="false">SUMIFS(Tilgungsplan!$M$7:$M$426,Tilgungsplan!$B$7:$B$426,A32)</f>
        <v>116739.753636864</v>
      </c>
      <c r="D32" s="31" t="n">
        <f aca="false">B32+C32</f>
        <v>198721.885096158</v>
      </c>
      <c r="E32" s="31" t="n">
        <f aca="false">INDEX(Tilgungsplan!$O$7:$O$426,A32*12)</f>
        <v>2370920.59225295</v>
      </c>
      <c r="F32" s="31" t="n">
        <f aca="false">INDEX(Tilgungsplan!$E$7:$E$426,A32*12)+INDEX(Tilgungsplan!$H$7:$H$426,A32*12)</f>
        <v>1153601.89169196</v>
      </c>
      <c r="G32" s="7" t="s">
        <v>255</v>
      </c>
    </row>
    <row r="33" customFormat="false" ht="15" hidden="false" customHeight="false" outlineLevel="0" collapsed="false">
      <c r="A33" s="26" t="n">
        <v>29</v>
      </c>
      <c r="B33" s="31" t="n">
        <f aca="false">SUMIFS(Tilgungsplan!$L$7:$L$426,Tilgungsplan!$B$7:$B$426,A33)</f>
        <v>77777.9624427816</v>
      </c>
      <c r="C33" s="31" t="n">
        <f aca="false">SUMIFS(Tilgungsplan!$M$7:$M$426,Tilgungsplan!$B$7:$B$426,A33)</f>
        <v>120943.922653376</v>
      </c>
      <c r="D33" s="31" t="n">
        <f aca="false">B33+C33</f>
        <v>198721.885096158</v>
      </c>
      <c r="E33" s="31" t="n">
        <f aca="false">INDEX(Tilgungsplan!$O$7:$O$426,A33*12)</f>
        <v>2249976.66959957</v>
      </c>
      <c r="F33" s="31" t="n">
        <f aca="false">INDEX(Tilgungsplan!$E$7:$E$426,A33*12)+INDEX(Tilgungsplan!$H$7:$H$426,A33*12)</f>
        <v>1110829.92559223</v>
      </c>
      <c r="G33" s="7" t="s">
        <v>255</v>
      </c>
    </row>
    <row r="34" customFormat="false" ht="15" hidden="false" customHeight="false" outlineLevel="0" collapsed="false">
      <c r="A34" s="26" t="n">
        <v>30</v>
      </c>
      <c r="B34" s="31" t="n">
        <f aca="false">SUMIFS(Tilgungsplan!$L$7:$L$426,Tilgungsplan!$B$7:$B$426,A34)</f>
        <v>73417.410677727</v>
      </c>
      <c r="C34" s="31" t="n">
        <f aca="false">SUMIFS(Tilgungsplan!$M$7:$M$426,Tilgungsplan!$B$7:$B$426,A34)</f>
        <v>125304.474418431</v>
      </c>
      <c r="D34" s="31" t="n">
        <f aca="false">B34+C34</f>
        <v>198721.885096158</v>
      </c>
      <c r="E34" s="31" t="n">
        <f aca="false">INDEX(Tilgungsplan!$O$7:$O$426,A34*12)</f>
        <v>2124672.19518114</v>
      </c>
      <c r="F34" s="31" t="n">
        <f aca="false">INDEX(Tilgungsplan!$E$7:$E$426,A34*12)+INDEX(Tilgungsplan!$H$7:$H$426,A34*12)</f>
        <v>1066882.25385049</v>
      </c>
      <c r="G34" s="7" t="s">
        <v>255</v>
      </c>
    </row>
    <row r="35" customFormat="false" ht="15" hidden="false" customHeight="false" outlineLevel="0" collapsed="false">
      <c r="A35" s="26" t="n">
        <v>31</v>
      </c>
      <c r="B35" s="31" t="n">
        <f aca="false">SUMIFS(Tilgungsplan!$L$7:$L$426,Tilgungsplan!$B$7:$B$426,A35)</f>
        <v>68894.5103990969</v>
      </c>
      <c r="C35" s="31" t="n">
        <f aca="false">SUMIFS(Tilgungsplan!$M$7:$M$426,Tilgungsplan!$B$7:$B$426,A35)</f>
        <v>129827.374697061</v>
      </c>
      <c r="D35" s="31" t="n">
        <f aca="false">B35+C35</f>
        <v>198721.885096158</v>
      </c>
      <c r="E35" s="31" t="n">
        <f aca="false">INDEX(Tilgungsplan!$O$7:$O$426,A35*12)</f>
        <v>1994844.82048408</v>
      </c>
      <c r="F35" s="31" t="n">
        <f aca="false">INDEX(Tilgungsplan!$E$7:$E$426,A35*12)+INDEX(Tilgungsplan!$H$7:$H$426,A35*12)</f>
        <v>1021726.2834982</v>
      </c>
      <c r="G35" s="7" t="s">
        <v>255</v>
      </c>
    </row>
    <row r="36" customFormat="false" ht="15" hidden="false" customHeight="false" outlineLevel="0" collapsed="false">
      <c r="A36" s="26" t="n">
        <v>32</v>
      </c>
      <c r="B36" s="31" t="n">
        <f aca="false">SUMIFS(Tilgungsplan!$L$7:$L$426,Tilgungsplan!$B$7:$B$426,A36)</f>
        <v>64203.0639141607</v>
      </c>
      <c r="C36" s="31" t="n">
        <f aca="false">SUMIFS(Tilgungsplan!$M$7:$M$426,Tilgungsplan!$B$7:$B$426,A36)</f>
        <v>134518.821181997</v>
      </c>
      <c r="D36" s="31" t="n">
        <f aca="false">B36+C36</f>
        <v>198721.885096158</v>
      </c>
      <c r="E36" s="31" t="n">
        <f aca="false">INDEX(Tilgungsplan!$O$7:$O$426,A36*12)</f>
        <v>1860325.99930208</v>
      </c>
      <c r="F36" s="31" t="n">
        <f aca="false">INDEX(Tilgungsplan!$E$7:$E$426,A36*12)+INDEX(Tilgungsplan!$H$7:$H$426,A36*12)</f>
        <v>975328.510315157</v>
      </c>
      <c r="G36" s="7" t="s">
        <v>255</v>
      </c>
    </row>
    <row r="37" customFormat="false" ht="15" hidden="false" customHeight="false" outlineLevel="0" collapsed="false">
      <c r="A37" s="26" t="n">
        <v>33</v>
      </c>
      <c r="B37" s="31" t="n">
        <f aca="false">SUMIFS(Tilgungsplan!$L$7:$L$426,Tilgungsplan!$B$7:$B$426,A37)</f>
        <v>59336.632461302</v>
      </c>
      <c r="C37" s="31" t="n">
        <f aca="false">SUMIFS(Tilgungsplan!$M$7:$M$426,Tilgungsplan!$B$7:$B$426,A37)</f>
        <v>139385.252634856</v>
      </c>
      <c r="D37" s="31" t="n">
        <f aca="false">B37+C37</f>
        <v>198721.885096158</v>
      </c>
      <c r="E37" s="31" t="n">
        <f aca="false">INDEX(Tilgungsplan!$O$7:$O$426,A37*12)</f>
        <v>1720940.74666723</v>
      </c>
      <c r="F37" s="31" t="n">
        <f aca="false">INDEX(Tilgungsplan!$E$7:$E$426,A37*12)+INDEX(Tilgungsplan!$H$7:$H$426,A37*12)</f>
        <v>927654.493138445</v>
      </c>
      <c r="G37" s="7" t="s">
        <v>255</v>
      </c>
    </row>
    <row r="38" customFormat="false" ht="15" hidden="false" customHeight="false" outlineLevel="0" collapsed="false">
      <c r="A38" s="26" t="n">
        <v>34</v>
      </c>
      <c r="B38" s="31" t="n">
        <f aca="false">SUMIFS(Tilgungsplan!$L$7:$L$426,Tilgungsplan!$B$7:$B$426,A38)</f>
        <v>54288.5267049971</v>
      </c>
      <c r="C38" s="31" t="n">
        <f aca="false">SUMIFS(Tilgungsplan!$M$7:$M$426,Tilgungsplan!$B$7:$B$426,A38)</f>
        <v>144433.358391161</v>
      </c>
      <c r="D38" s="31" t="n">
        <f aca="false">B38+C38</f>
        <v>198721.885096158</v>
      </c>
      <c r="E38" s="31" t="n">
        <f aca="false">INDEX(Tilgungsplan!$O$7:$O$426,A38*12)</f>
        <v>1576507.38827607</v>
      </c>
      <c r="F38" s="31" t="n">
        <f aca="false">INDEX(Tilgungsplan!$E$7:$E$426,A38*12)+INDEX(Tilgungsplan!$H$7:$H$426,A38*12)</f>
        <v>878668.827441073</v>
      </c>
      <c r="G38" s="7" t="s">
        <v>255</v>
      </c>
    </row>
    <row r="39" customFormat="false" ht="15" hidden="false" customHeight="false" outlineLevel="0" collapsed="false">
      <c r="A39" s="26" t="n">
        <v>35</v>
      </c>
      <c r="B39" s="31" t="n">
        <f aca="false">SUMIFS(Tilgungsplan!$L$7:$L$426,Tilgungsplan!$B$7:$B$426,A39)</f>
        <v>49051.7968523793</v>
      </c>
      <c r="C39" s="31" t="n">
        <f aca="false">SUMIFS(Tilgungsplan!$M$7:$M$426,Tilgungsplan!$B$7:$B$426,A39)</f>
        <v>149670.088243778</v>
      </c>
      <c r="D39" s="31" t="n">
        <f aca="false">B39+C39</f>
        <v>198721.885096158</v>
      </c>
      <c r="E39" s="31" t="n">
        <f aca="false">INDEX(Tilgungsplan!$O$7:$O$426,A39*12)</f>
        <v>1426837.30003229</v>
      </c>
      <c r="F39" s="31" t="n">
        <f aca="false">INDEX(Tilgungsplan!$E$7:$E$426,A39*12)+INDEX(Tilgungsplan!$H$7:$H$426,A39*12)</f>
        <v>828335.118159563</v>
      </c>
      <c r="G39" s="7" t="s">
        <v>255</v>
      </c>
    </row>
    <row r="41" customFormat="false" ht="15" hidden="false" customHeight="false" outlineLevel="0" collapsed="false">
      <c r="A41" s="27" t="s">
        <v>157</v>
      </c>
      <c r="B41" s="33" t="n">
        <f aca="false">SUM(B5:B39)</f>
        <v>3891265.57647465</v>
      </c>
      <c r="C41" s="33" t="n">
        <f aca="false">SUM(C5:C39)</f>
        <v>3064000.40189087</v>
      </c>
      <c r="D41" s="33" t="n">
        <f aca="false">SUM(D5:D39)</f>
        <v>6955265.97836552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O4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15"/>
    <col collapsed="false" customWidth="true" hidden="false" outlineLevel="0" max="14" min="12" style="0" width="14"/>
    <col collapsed="false" customWidth="true" hidden="false" outlineLevel="0" max="15" min="15" style="0" width="16"/>
  </cols>
  <sheetData>
    <row r="1" customFormat="false" ht="19.7" hidden="false" customHeight="false" outlineLevel="0" collapsed="false">
      <c r="A1" s="1" t="s">
        <v>256</v>
      </c>
    </row>
    <row r="2" customFormat="false" ht="15" hidden="false" customHeight="false" outlineLevel="0" collapsed="false">
      <c r="A2" s="2" t="s">
        <v>257</v>
      </c>
      <c r="C2" s="38" t="s">
        <v>258</v>
      </c>
      <c r="F2" s="38" t="s">
        <v>259</v>
      </c>
      <c r="I2" s="38" t="s">
        <v>260</v>
      </c>
      <c r="N2" s="38" t="s">
        <v>157</v>
      </c>
    </row>
    <row r="3" customFormat="false" ht="15" hidden="false" customHeight="false" outlineLevel="0" collapsed="false">
      <c r="A3" s="38" t="s">
        <v>261</v>
      </c>
      <c r="C3" s="33" t="n">
        <f aca="false">E6*(Annahmen!$B$38+Annahmen!$B$41)/12</f>
        <v>3500</v>
      </c>
      <c r="F3" s="33" t="n">
        <f aca="false">H6*(Annahmen!$B$39+Annahmen!$B$41)/12</f>
        <v>2606.66666666667</v>
      </c>
      <c r="I3" s="33" t="n">
        <f aca="false">K6*(Annahmen!$B$40+Annahmen!$B$41)/12</f>
        <v>10453.4904246798</v>
      </c>
      <c r="N3" s="35" t="n">
        <f aca="false">C3+F3+I3</f>
        <v>16560.1570913465</v>
      </c>
    </row>
    <row r="5" customFormat="false" ht="42" hidden="false" customHeight="true" outlineLevel="0" collapsed="false">
      <c r="A5" s="3" t="s">
        <v>225</v>
      </c>
      <c r="B5" s="4" t="s">
        <v>247</v>
      </c>
      <c r="C5" s="4" t="s">
        <v>262</v>
      </c>
      <c r="D5" s="4" t="s">
        <v>263</v>
      </c>
      <c r="E5" s="4" t="s">
        <v>264</v>
      </c>
      <c r="F5" s="4" t="s">
        <v>265</v>
      </c>
      <c r="G5" s="4" t="s">
        <v>266</v>
      </c>
      <c r="H5" s="4" t="s">
        <v>267</v>
      </c>
      <c r="I5" s="4" t="s">
        <v>268</v>
      </c>
      <c r="J5" s="4" t="s">
        <v>269</v>
      </c>
      <c r="K5" s="4" t="s">
        <v>270</v>
      </c>
      <c r="L5" s="4" t="s">
        <v>271</v>
      </c>
      <c r="M5" s="4" t="s">
        <v>272</v>
      </c>
      <c r="N5" s="4" t="s">
        <v>273</v>
      </c>
      <c r="O5" s="4" t="s">
        <v>274</v>
      </c>
    </row>
    <row r="6" customFormat="false" ht="15" hidden="false" customHeight="false" outlineLevel="0" collapsed="false">
      <c r="A6" s="26" t="n">
        <v>0</v>
      </c>
      <c r="B6" s="26" t="n">
        <v>0</v>
      </c>
      <c r="E6" s="31" t="n">
        <f aca="false">Bauphase!L33</f>
        <v>1200000</v>
      </c>
      <c r="H6" s="31" t="n">
        <f aca="false">Bauphase!M33</f>
        <v>782000</v>
      </c>
      <c r="K6" s="31" t="n">
        <f aca="false">Bauphase!N33</f>
        <v>2508837.70192315</v>
      </c>
      <c r="O6" s="31" t="n">
        <f aca="false">E6+H6+K6</f>
        <v>4490837.70192315</v>
      </c>
    </row>
    <row r="7" customFormat="false" ht="15" hidden="false" customHeight="false" outlineLevel="0" collapsed="false">
      <c r="A7" s="39" t="n">
        <v>1</v>
      </c>
      <c r="B7" s="39" t="n">
        <f aca="false">ROUNDUP(A7/12,0)</f>
        <v>1</v>
      </c>
      <c r="C7" s="40" t="n">
        <f aca="false">E6*Annahmen!$B$38/12</f>
        <v>2500</v>
      </c>
      <c r="D7" s="40" t="n">
        <f aca="false">MIN($C$3-C7,E6)</f>
        <v>1000</v>
      </c>
      <c r="E7" s="40" t="n">
        <f aca="false">E6-D7</f>
        <v>1199000</v>
      </c>
      <c r="F7" s="40" t="n">
        <f aca="false">H6*Annahmen!$B$39/12</f>
        <v>1955</v>
      </c>
      <c r="G7" s="40" t="n">
        <f aca="false">MIN($F$3-F7,H6)</f>
        <v>651.666666666667</v>
      </c>
      <c r="H7" s="40" t="n">
        <f aca="false">H6-G7</f>
        <v>781348.333333333</v>
      </c>
      <c r="I7" s="40" t="n">
        <f aca="false">K6*Annahmen!$B$40/12</f>
        <v>8362.79233974384</v>
      </c>
      <c r="J7" s="40" t="n">
        <f aca="false">MIN($I$3-I7,K6)</f>
        <v>2090.69808493596</v>
      </c>
      <c r="K7" s="40" t="n">
        <f aca="false">K6-J7</f>
        <v>2506747.00383822</v>
      </c>
      <c r="L7" s="40" t="n">
        <f aca="false">C7+F7+I7</f>
        <v>12817.7923397438</v>
      </c>
      <c r="M7" s="40" t="n">
        <f aca="false">D7+G7+J7</f>
        <v>3742.36475160263</v>
      </c>
      <c r="N7" s="40" t="n">
        <f aca="false">L7+M7</f>
        <v>16560.1570913465</v>
      </c>
      <c r="O7" s="40" t="n">
        <f aca="false">E7+H7+K7</f>
        <v>4487095.33717155</v>
      </c>
    </row>
    <row r="8" customFormat="false" ht="15" hidden="false" customHeight="false" outlineLevel="0" collapsed="false">
      <c r="A8" s="39" t="n">
        <v>2</v>
      </c>
      <c r="B8" s="39" t="n">
        <f aca="false">ROUNDUP(A8/12,0)</f>
        <v>1</v>
      </c>
      <c r="C8" s="40" t="n">
        <f aca="false">E7*Annahmen!$B$38/12</f>
        <v>2497.91666666667</v>
      </c>
      <c r="D8" s="40" t="n">
        <f aca="false">MIN($C$3-C8,E7)</f>
        <v>1002.08333333333</v>
      </c>
      <c r="E8" s="40" t="n">
        <f aca="false">E7-D8</f>
        <v>1197997.91666667</v>
      </c>
      <c r="F8" s="40" t="n">
        <f aca="false">H7*Annahmen!$B$39/12</f>
        <v>1953.37083333333</v>
      </c>
      <c r="G8" s="40" t="n">
        <f aca="false">MIN($F$3-F8,H7)</f>
        <v>653.295833333333</v>
      </c>
      <c r="H8" s="40" t="n">
        <f aca="false">H7-G8</f>
        <v>780695.0375</v>
      </c>
      <c r="I8" s="40" t="n">
        <f aca="false">K7*Annahmen!$B$40/12</f>
        <v>8355.82334612739</v>
      </c>
      <c r="J8" s="40" t="n">
        <f aca="false">MIN($I$3-I8,K7)</f>
        <v>2097.66707855241</v>
      </c>
      <c r="K8" s="40" t="n">
        <f aca="false">K7-J8</f>
        <v>2504649.33675966</v>
      </c>
      <c r="L8" s="40" t="n">
        <f aca="false">C8+F8+I8</f>
        <v>12807.1108461274</v>
      </c>
      <c r="M8" s="40" t="n">
        <f aca="false">D8+G8+J8</f>
        <v>3753.04624521908</v>
      </c>
      <c r="N8" s="40" t="n">
        <f aca="false">L8+M8</f>
        <v>16560.1570913465</v>
      </c>
      <c r="O8" s="40" t="n">
        <f aca="false">E8+H8+K8</f>
        <v>4483342.29092633</v>
      </c>
    </row>
    <row r="9" customFormat="false" ht="15" hidden="false" customHeight="false" outlineLevel="0" collapsed="false">
      <c r="A9" s="39" t="n">
        <v>3</v>
      </c>
      <c r="B9" s="39" t="n">
        <f aca="false">ROUNDUP(A9/12,0)</f>
        <v>1</v>
      </c>
      <c r="C9" s="40" t="n">
        <f aca="false">E8*Annahmen!$B$38/12</f>
        <v>2495.82899305555</v>
      </c>
      <c r="D9" s="40" t="n">
        <f aca="false">MIN($C$3-C9,E8)</f>
        <v>1004.17100694444</v>
      </c>
      <c r="E9" s="40" t="n">
        <f aca="false">E8-D9</f>
        <v>1196993.74565972</v>
      </c>
      <c r="F9" s="40" t="n">
        <f aca="false">H8*Annahmen!$B$39/12</f>
        <v>1951.73759375</v>
      </c>
      <c r="G9" s="40" t="n">
        <f aca="false">MIN($F$3-F9,H8)</f>
        <v>654.929072916666</v>
      </c>
      <c r="H9" s="40" t="n">
        <f aca="false">H8-G9</f>
        <v>780040.108427083</v>
      </c>
      <c r="I9" s="40" t="n">
        <f aca="false">K8*Annahmen!$B$40/12</f>
        <v>8348.83112253221</v>
      </c>
      <c r="J9" s="40" t="n">
        <f aca="false">MIN($I$3-I9,K8)</f>
        <v>2104.65930214759</v>
      </c>
      <c r="K9" s="40" t="n">
        <f aca="false">K8-J9</f>
        <v>2502544.67745752</v>
      </c>
      <c r="L9" s="40" t="n">
        <f aca="false">C9+F9+I9</f>
        <v>12796.3977093378</v>
      </c>
      <c r="M9" s="40" t="n">
        <f aca="false">D9+G9+J9</f>
        <v>3763.7593820087</v>
      </c>
      <c r="N9" s="40" t="n">
        <f aca="false">L9+M9</f>
        <v>16560.1570913465</v>
      </c>
      <c r="O9" s="40" t="n">
        <f aca="false">E9+H9+K9</f>
        <v>4479578.53154432</v>
      </c>
    </row>
    <row r="10" customFormat="false" ht="15" hidden="false" customHeight="false" outlineLevel="0" collapsed="false">
      <c r="A10" s="39" t="n">
        <v>4</v>
      </c>
      <c r="B10" s="39" t="n">
        <f aca="false">ROUNDUP(A10/12,0)</f>
        <v>1</v>
      </c>
      <c r="C10" s="40" t="n">
        <f aca="false">E9*Annahmen!$B$38/12</f>
        <v>2493.73697012442</v>
      </c>
      <c r="D10" s="40" t="n">
        <f aca="false">MIN($C$3-C10,E9)</f>
        <v>1006.26302987558</v>
      </c>
      <c r="E10" s="40" t="n">
        <f aca="false">E9-D10</f>
        <v>1195987.48262985</v>
      </c>
      <c r="F10" s="40" t="n">
        <f aca="false">H9*Annahmen!$B$39/12</f>
        <v>1950.10027106771</v>
      </c>
      <c r="G10" s="40" t="n">
        <f aca="false">MIN($F$3-F10,H9)</f>
        <v>656.566395598958</v>
      </c>
      <c r="H10" s="40" t="n">
        <f aca="false">H9-G10</f>
        <v>779383.542031484</v>
      </c>
      <c r="I10" s="40" t="n">
        <f aca="false">K9*Annahmen!$B$40/12</f>
        <v>8341.81559152506</v>
      </c>
      <c r="J10" s="40" t="n">
        <f aca="false">MIN($I$3-I10,K9)</f>
        <v>2111.67483315475</v>
      </c>
      <c r="K10" s="40" t="n">
        <f aca="false">K9-J10</f>
        <v>2500433.00262436</v>
      </c>
      <c r="L10" s="40" t="n">
        <f aca="false">C10+F10+I10</f>
        <v>12785.6528327172</v>
      </c>
      <c r="M10" s="40" t="n">
        <f aca="false">D10+G10+J10</f>
        <v>3774.50425862928</v>
      </c>
      <c r="N10" s="40" t="n">
        <f aca="false">L10+M10</f>
        <v>16560.1570913465</v>
      </c>
      <c r="O10" s="40" t="n">
        <f aca="false">E10+H10+K10</f>
        <v>4475804.02728569</v>
      </c>
    </row>
    <row r="11" customFormat="false" ht="15" hidden="false" customHeight="false" outlineLevel="0" collapsed="false">
      <c r="A11" s="39" t="n">
        <v>5</v>
      </c>
      <c r="B11" s="39" t="n">
        <f aca="false">ROUNDUP(A11/12,0)</f>
        <v>1</v>
      </c>
      <c r="C11" s="40" t="n">
        <f aca="false">E10*Annahmen!$B$38/12</f>
        <v>2491.64058881218</v>
      </c>
      <c r="D11" s="40" t="n">
        <f aca="false">MIN($C$3-C11,E10)</f>
        <v>1008.35941118782</v>
      </c>
      <c r="E11" s="40" t="n">
        <f aca="false">E10-D11</f>
        <v>1194979.12321866</v>
      </c>
      <c r="F11" s="40" t="n">
        <f aca="false">H10*Annahmen!$B$39/12</f>
        <v>1948.45885507871</v>
      </c>
      <c r="G11" s="40" t="n">
        <f aca="false">MIN($F$3-F11,H10)</f>
        <v>658.207811587955</v>
      </c>
      <c r="H11" s="40" t="n">
        <f aca="false">H10-G11</f>
        <v>778725.334219896</v>
      </c>
      <c r="I11" s="40" t="n">
        <f aca="false">K10*Annahmen!$B$40/12</f>
        <v>8334.77667541454</v>
      </c>
      <c r="J11" s="40" t="n">
        <f aca="false">MIN($I$3-I11,K10)</f>
        <v>2118.71374926526</v>
      </c>
      <c r="K11" s="40" t="n">
        <f aca="false">K10-J11</f>
        <v>2498314.2888751</v>
      </c>
      <c r="L11" s="40" t="n">
        <f aca="false">C11+F11+I11</f>
        <v>12774.8761193054</v>
      </c>
      <c r="M11" s="40" t="n">
        <f aca="false">D11+G11+J11</f>
        <v>3785.28097204104</v>
      </c>
      <c r="N11" s="40" t="n">
        <f aca="false">L11+M11</f>
        <v>16560.1570913465</v>
      </c>
      <c r="O11" s="40" t="n">
        <f aca="false">E11+H11+K11</f>
        <v>4472018.74631365</v>
      </c>
    </row>
    <row r="12" customFormat="false" ht="15" hidden="false" customHeight="false" outlineLevel="0" collapsed="false">
      <c r="A12" s="39" t="n">
        <v>6</v>
      </c>
      <c r="B12" s="39" t="n">
        <f aca="false">ROUNDUP(A12/12,0)</f>
        <v>1</v>
      </c>
      <c r="C12" s="40" t="n">
        <f aca="false">E11*Annahmen!$B$38/12</f>
        <v>2489.53984003887</v>
      </c>
      <c r="D12" s="40" t="n">
        <f aca="false">MIN($C$3-C12,E11)</f>
        <v>1010.46015996113</v>
      </c>
      <c r="E12" s="40" t="n">
        <f aca="false">E11-D12</f>
        <v>1193968.6630587</v>
      </c>
      <c r="F12" s="40" t="n">
        <f aca="false">H11*Annahmen!$B$39/12</f>
        <v>1946.81333554974</v>
      </c>
      <c r="G12" s="40" t="n">
        <f aca="false">MIN($F$3-F12,H11)</f>
        <v>659.853331116925</v>
      </c>
      <c r="H12" s="40" t="n">
        <f aca="false">H11-G12</f>
        <v>778065.480888779</v>
      </c>
      <c r="I12" s="40" t="n">
        <f aca="false">K11*Annahmen!$B$40/12</f>
        <v>8327.71429625032</v>
      </c>
      <c r="J12" s="40" t="n">
        <f aca="false">MIN($I$3-I12,K11)</f>
        <v>2125.77612842948</v>
      </c>
      <c r="K12" s="40" t="n">
        <f aca="false">K11-J12</f>
        <v>2496188.51274667</v>
      </c>
      <c r="L12" s="40" t="n">
        <f aca="false">C12+F12+I12</f>
        <v>12764.0674718389</v>
      </c>
      <c r="M12" s="40" t="n">
        <f aca="false">D12+G12+J12</f>
        <v>3796.08961950753</v>
      </c>
      <c r="N12" s="40" t="n">
        <f aca="false">L12+M12</f>
        <v>16560.1570913465</v>
      </c>
      <c r="O12" s="40" t="n">
        <f aca="false">E12+H12+K12</f>
        <v>4468222.65669414</v>
      </c>
    </row>
    <row r="13" customFormat="false" ht="15" hidden="false" customHeight="false" outlineLevel="0" collapsed="false">
      <c r="A13" s="39" t="n">
        <v>7</v>
      </c>
      <c r="B13" s="39" t="n">
        <f aca="false">ROUNDUP(A13/12,0)</f>
        <v>1</v>
      </c>
      <c r="C13" s="40" t="n">
        <f aca="false">E12*Annahmen!$B$38/12</f>
        <v>2487.43471470562</v>
      </c>
      <c r="D13" s="40" t="n">
        <f aca="false">MIN($C$3-C13,E12)</f>
        <v>1012.56528529438</v>
      </c>
      <c r="E13" s="40" t="n">
        <f aca="false">E12-D13</f>
        <v>1192956.0977734</v>
      </c>
      <c r="F13" s="40" t="n">
        <f aca="false">H12*Annahmen!$B$39/12</f>
        <v>1945.16370222195</v>
      </c>
      <c r="G13" s="40" t="n">
        <f aca="false">MIN($F$3-F13,H12)</f>
        <v>661.502964444718</v>
      </c>
      <c r="H13" s="40" t="n">
        <f aca="false">H12-G13</f>
        <v>777403.977924335</v>
      </c>
      <c r="I13" s="40" t="n">
        <f aca="false">K12*Annahmen!$B$40/12</f>
        <v>8320.62837582222</v>
      </c>
      <c r="J13" s="40" t="n">
        <f aca="false">MIN($I$3-I13,K12)</f>
        <v>2132.86204885758</v>
      </c>
      <c r="K13" s="40" t="n">
        <f aca="false">K12-J13</f>
        <v>2494055.65069781</v>
      </c>
      <c r="L13" s="40" t="n">
        <f aca="false">C13+F13+I13</f>
        <v>12753.2267927498</v>
      </c>
      <c r="M13" s="40" t="n">
        <f aca="false">D13+G13+J13</f>
        <v>3806.93029859667</v>
      </c>
      <c r="N13" s="40" t="n">
        <f aca="false">L13+M13</f>
        <v>16560.1570913465</v>
      </c>
      <c r="O13" s="40" t="n">
        <f aca="false">E13+H13+K13</f>
        <v>4464415.72639555</v>
      </c>
    </row>
    <row r="14" customFormat="false" ht="15" hidden="false" customHeight="false" outlineLevel="0" collapsed="false">
      <c r="A14" s="39" t="n">
        <v>8</v>
      </c>
      <c r="B14" s="39" t="n">
        <f aca="false">ROUNDUP(A14/12,0)</f>
        <v>1</v>
      </c>
      <c r="C14" s="40" t="n">
        <f aca="false">E13*Annahmen!$B$38/12</f>
        <v>2485.32520369459</v>
      </c>
      <c r="D14" s="40" t="n">
        <f aca="false">MIN($C$3-C14,E13)</f>
        <v>1014.67479630541</v>
      </c>
      <c r="E14" s="40" t="n">
        <f aca="false">E13-D14</f>
        <v>1191941.4229771</v>
      </c>
      <c r="F14" s="40" t="n">
        <f aca="false">H13*Annahmen!$B$39/12</f>
        <v>1943.50994481084</v>
      </c>
      <c r="G14" s="40" t="n">
        <f aca="false">MIN($F$3-F14,H13)</f>
        <v>663.156721855829</v>
      </c>
      <c r="H14" s="40" t="n">
        <f aca="false">H13-G14</f>
        <v>776740.821202479</v>
      </c>
      <c r="I14" s="40" t="n">
        <f aca="false">K13*Annahmen!$B$40/12</f>
        <v>8313.51883565937</v>
      </c>
      <c r="J14" s="40" t="n">
        <f aca="false">MIN($I$3-I14,K13)</f>
        <v>2139.97158902044</v>
      </c>
      <c r="K14" s="40" t="n">
        <f aca="false">K13-J14</f>
        <v>2491915.67910879</v>
      </c>
      <c r="L14" s="40" t="n">
        <f aca="false">C14+F14+I14</f>
        <v>12742.3539841648</v>
      </c>
      <c r="M14" s="40" t="n">
        <f aca="false">D14+G14+J14</f>
        <v>3817.80310718167</v>
      </c>
      <c r="N14" s="40" t="n">
        <f aca="false">L14+M14</f>
        <v>16560.1570913465</v>
      </c>
      <c r="O14" s="40" t="n">
        <f aca="false">E14+H14+K14</f>
        <v>4460597.92328837</v>
      </c>
    </row>
    <row r="15" customFormat="false" ht="15" hidden="false" customHeight="false" outlineLevel="0" collapsed="false">
      <c r="A15" s="39" t="n">
        <v>9</v>
      </c>
      <c r="B15" s="39" t="n">
        <f aca="false">ROUNDUP(A15/12,0)</f>
        <v>1</v>
      </c>
      <c r="C15" s="40" t="n">
        <f aca="false">E14*Annahmen!$B$38/12</f>
        <v>2483.21129786895</v>
      </c>
      <c r="D15" s="40" t="n">
        <f aca="false">MIN($C$3-C15,E14)</f>
        <v>1016.78870213104</v>
      </c>
      <c r="E15" s="40" t="n">
        <f aca="false">E14-D15</f>
        <v>1190924.63427497</v>
      </c>
      <c r="F15" s="40" t="n">
        <f aca="false">H14*Annahmen!$B$39/12</f>
        <v>1941.8520530062</v>
      </c>
      <c r="G15" s="40" t="n">
        <f aca="false">MIN($F$3-F15,H14)</f>
        <v>664.814613660469</v>
      </c>
      <c r="H15" s="40" t="n">
        <f aca="false">H14-G15</f>
        <v>776076.006588818</v>
      </c>
      <c r="I15" s="40" t="n">
        <f aca="false">K14*Annahmen!$B$40/12</f>
        <v>8306.3855970293</v>
      </c>
      <c r="J15" s="40" t="n">
        <f aca="false">MIN($I$3-I15,K14)</f>
        <v>2147.1048276505</v>
      </c>
      <c r="K15" s="40" t="n">
        <f aca="false">K14-J15</f>
        <v>2489768.57428114</v>
      </c>
      <c r="L15" s="40" t="n">
        <f aca="false">C15+F15+I15</f>
        <v>12731.4489479044</v>
      </c>
      <c r="M15" s="40" t="n">
        <f aca="false">D15+G15+J15</f>
        <v>3828.70814344202</v>
      </c>
      <c r="N15" s="40" t="n">
        <f aca="false">L15+M15</f>
        <v>16560.1570913465</v>
      </c>
      <c r="O15" s="40" t="n">
        <f aca="false">E15+H15+K15</f>
        <v>4456769.21514492</v>
      </c>
    </row>
    <row r="16" customFormat="false" ht="15" hidden="false" customHeight="false" outlineLevel="0" collapsed="false">
      <c r="A16" s="39" t="n">
        <v>10</v>
      </c>
      <c r="B16" s="39" t="n">
        <f aca="false">ROUNDUP(A16/12,0)</f>
        <v>1</v>
      </c>
      <c r="C16" s="40" t="n">
        <f aca="false">E15*Annahmen!$B$38/12</f>
        <v>2481.09298807285</v>
      </c>
      <c r="D16" s="40" t="n">
        <f aca="false">MIN($C$3-C16,E15)</f>
        <v>1018.90701192715</v>
      </c>
      <c r="E16" s="40" t="n">
        <f aca="false">E15-D16</f>
        <v>1189905.72726304</v>
      </c>
      <c r="F16" s="40" t="n">
        <f aca="false">H15*Annahmen!$B$39/12</f>
        <v>1940.19001647205</v>
      </c>
      <c r="G16" s="40" t="n">
        <f aca="false">MIN($F$3-F16,H15)</f>
        <v>666.47665019462</v>
      </c>
      <c r="H16" s="40" t="n">
        <f aca="false">H15-G16</f>
        <v>775409.529938624</v>
      </c>
      <c r="I16" s="40" t="n">
        <f aca="false">K15*Annahmen!$B$40/12</f>
        <v>8299.22858093713</v>
      </c>
      <c r="J16" s="40" t="n">
        <f aca="false">MIN($I$3-I16,K15)</f>
        <v>2154.26184374267</v>
      </c>
      <c r="K16" s="40" t="n">
        <f aca="false">K15-J16</f>
        <v>2487614.3124374</v>
      </c>
      <c r="L16" s="40" t="n">
        <f aca="false">C16+F16+I16</f>
        <v>12720.511585482</v>
      </c>
      <c r="M16" s="40" t="n">
        <f aca="false">D16+G16+J16</f>
        <v>3839.64550586444</v>
      </c>
      <c r="N16" s="40" t="n">
        <f aca="false">L16+M16</f>
        <v>16560.1570913465</v>
      </c>
      <c r="O16" s="40" t="n">
        <f aca="false">E16+H16+K16</f>
        <v>4452929.56963906</v>
      </c>
    </row>
    <row r="17" customFormat="false" ht="15" hidden="false" customHeight="false" outlineLevel="0" collapsed="false">
      <c r="A17" s="39" t="n">
        <v>11</v>
      </c>
      <c r="B17" s="39" t="n">
        <f aca="false">ROUNDUP(A17/12,0)</f>
        <v>1</v>
      </c>
      <c r="C17" s="40" t="n">
        <f aca="false">E16*Annahmen!$B$38/12</f>
        <v>2478.97026513133</v>
      </c>
      <c r="D17" s="40" t="n">
        <f aca="false">MIN($C$3-C17,E16)</f>
        <v>1021.02973486867</v>
      </c>
      <c r="E17" s="40" t="n">
        <f aca="false">E16-D17</f>
        <v>1188884.69752817</v>
      </c>
      <c r="F17" s="40" t="n">
        <f aca="false">H16*Annahmen!$B$39/12</f>
        <v>1938.52382484656</v>
      </c>
      <c r="G17" s="40" t="n">
        <f aca="false">MIN($F$3-F17,H16)</f>
        <v>668.142841820107</v>
      </c>
      <c r="H17" s="40" t="n">
        <f aca="false">H16-G17</f>
        <v>774741.387096804</v>
      </c>
      <c r="I17" s="40" t="n">
        <f aca="false">K16*Annahmen!$B$40/12</f>
        <v>8292.04770812465</v>
      </c>
      <c r="J17" s="40" t="n">
        <f aca="false">MIN($I$3-I17,K16)</f>
        <v>2161.44271655515</v>
      </c>
      <c r="K17" s="40" t="n">
        <f aca="false">K16-J17</f>
        <v>2485452.86972084</v>
      </c>
      <c r="L17" s="40" t="n">
        <f aca="false">C17+F17+I17</f>
        <v>12709.5417981025</v>
      </c>
      <c r="M17" s="40" t="n">
        <f aca="false">D17+G17+J17</f>
        <v>3850.61529324392</v>
      </c>
      <c r="N17" s="40" t="n">
        <f aca="false">L17+M17</f>
        <v>16560.1570913465</v>
      </c>
      <c r="O17" s="40" t="n">
        <f aca="false">E17+H17+K17</f>
        <v>4449078.95434582</v>
      </c>
    </row>
    <row r="18" customFormat="false" ht="15" hidden="false" customHeight="false" outlineLevel="0" collapsed="false">
      <c r="A18" s="39" t="n">
        <v>12</v>
      </c>
      <c r="B18" s="39" t="n">
        <f aca="false">ROUNDUP(A18/12,0)</f>
        <v>1</v>
      </c>
      <c r="C18" s="40" t="n">
        <f aca="false">E17*Annahmen!$B$38/12</f>
        <v>2476.84311985036</v>
      </c>
      <c r="D18" s="40" t="n">
        <f aca="false">MIN($C$3-C18,E17)</f>
        <v>1023.15688014964</v>
      </c>
      <c r="E18" s="40" t="n">
        <f aca="false">E17-D18</f>
        <v>1187861.54064802</v>
      </c>
      <c r="F18" s="40" t="n">
        <f aca="false">H17*Annahmen!$B$39/12</f>
        <v>1936.85346774201</v>
      </c>
      <c r="G18" s="40" t="n">
        <f aca="false">MIN($F$3-F18,H17)</f>
        <v>669.813198924657</v>
      </c>
      <c r="H18" s="40" t="n">
        <f aca="false">H17-G18</f>
        <v>774071.573897879</v>
      </c>
      <c r="I18" s="40" t="n">
        <f aca="false">K17*Annahmen!$B$40/12</f>
        <v>8284.84289906947</v>
      </c>
      <c r="J18" s="40" t="n">
        <f aca="false">MIN($I$3-I18,K17)</f>
        <v>2168.64752561033</v>
      </c>
      <c r="K18" s="40" t="n">
        <f aca="false">K17-J18</f>
        <v>2483284.22219523</v>
      </c>
      <c r="L18" s="40" t="n">
        <f aca="false">C18+F18+I18</f>
        <v>12698.5394866618</v>
      </c>
      <c r="M18" s="40" t="n">
        <f aca="false">D18+G18+J18</f>
        <v>3861.61760468463</v>
      </c>
      <c r="N18" s="40" t="n">
        <f aca="false">L18+M18</f>
        <v>16560.1570913465</v>
      </c>
      <c r="O18" s="40" t="n">
        <f aca="false">E18+H18+K18</f>
        <v>4445217.33674113</v>
      </c>
    </row>
    <row r="19" customFormat="false" ht="15" hidden="false" customHeight="false" outlineLevel="0" collapsed="false">
      <c r="A19" s="39" t="n">
        <v>13</v>
      </c>
      <c r="B19" s="39" t="n">
        <f aca="false">ROUNDUP(A19/12,0)</f>
        <v>2</v>
      </c>
      <c r="C19" s="40" t="n">
        <f aca="false">E18*Annahmen!$B$38/12</f>
        <v>2474.71154301671</v>
      </c>
      <c r="D19" s="40" t="n">
        <f aca="false">MIN($C$3-C19,E18)</f>
        <v>1025.28845698329</v>
      </c>
      <c r="E19" s="40" t="n">
        <f aca="false">E18-D19</f>
        <v>1186836.25219104</v>
      </c>
      <c r="F19" s="40" t="n">
        <f aca="false">H18*Annahmen!$B$39/12</f>
        <v>1935.1789347447</v>
      </c>
      <c r="G19" s="40" t="n">
        <f aca="false">MIN($F$3-F19,H18)</f>
        <v>671.487731921968</v>
      </c>
      <c r="H19" s="40" t="n">
        <f aca="false">H18-G19</f>
        <v>773400.086165957</v>
      </c>
      <c r="I19" s="40" t="n">
        <f aca="false">K18*Annahmen!$B$40/12</f>
        <v>8277.6140739841</v>
      </c>
      <c r="J19" s="40" t="n">
        <f aca="false">MIN($I$3-I19,K18)</f>
        <v>2175.8763506957</v>
      </c>
      <c r="K19" s="40" t="n">
        <f aca="false">K18-J19</f>
        <v>2481108.34584453</v>
      </c>
      <c r="L19" s="40" t="n">
        <f aca="false">C19+F19+I19</f>
        <v>12687.5045517455</v>
      </c>
      <c r="M19" s="40" t="n">
        <f aca="false">D19+G19+J19</f>
        <v>3872.65253960096</v>
      </c>
      <c r="N19" s="40" t="n">
        <f aca="false">L19+M19</f>
        <v>16560.1570913465</v>
      </c>
      <c r="O19" s="40" t="n">
        <f aca="false">E19+H19+K19</f>
        <v>4441344.68420153</v>
      </c>
    </row>
    <row r="20" customFormat="false" ht="15" hidden="false" customHeight="false" outlineLevel="0" collapsed="false">
      <c r="A20" s="39" t="n">
        <v>14</v>
      </c>
      <c r="B20" s="39" t="n">
        <f aca="false">ROUNDUP(A20/12,0)</f>
        <v>2</v>
      </c>
      <c r="C20" s="40" t="n">
        <f aca="false">E19*Annahmen!$B$38/12</f>
        <v>2472.575525398</v>
      </c>
      <c r="D20" s="40" t="n">
        <f aca="false">MIN($C$3-C20,E19)</f>
        <v>1027.424474602</v>
      </c>
      <c r="E20" s="40" t="n">
        <f aca="false">E19-D20</f>
        <v>1185808.82771644</v>
      </c>
      <c r="F20" s="40" t="n">
        <f aca="false">H19*Annahmen!$B$39/12</f>
        <v>1933.50021541489</v>
      </c>
      <c r="G20" s="40" t="n">
        <f aca="false">MIN($F$3-F20,H19)</f>
        <v>673.166451251773</v>
      </c>
      <c r="H20" s="40" t="n">
        <f aca="false">H19-G20</f>
        <v>772726.919714705</v>
      </c>
      <c r="I20" s="40" t="n">
        <f aca="false">K19*Annahmen!$B$40/12</f>
        <v>8270.36115281512</v>
      </c>
      <c r="J20" s="40" t="n">
        <f aca="false">MIN($I$3-I20,K19)</f>
        <v>2183.12927186469</v>
      </c>
      <c r="K20" s="40" t="n">
        <f aca="false">K19-J20</f>
        <v>2478925.21657267</v>
      </c>
      <c r="L20" s="40" t="n">
        <f aca="false">C20+F20+I20</f>
        <v>12676.436893628</v>
      </c>
      <c r="M20" s="40" t="n">
        <f aca="false">D20+G20+J20</f>
        <v>3883.72019771846</v>
      </c>
      <c r="N20" s="40" t="n">
        <f aca="false">L20+M20</f>
        <v>16560.1570913465</v>
      </c>
      <c r="O20" s="40" t="n">
        <f aca="false">E20+H20+K20</f>
        <v>4437460.96400381</v>
      </c>
    </row>
    <row r="21" customFormat="false" ht="15" hidden="false" customHeight="false" outlineLevel="0" collapsed="false">
      <c r="A21" s="39" t="n">
        <v>15</v>
      </c>
      <c r="B21" s="39" t="n">
        <f aca="false">ROUNDUP(A21/12,0)</f>
        <v>2</v>
      </c>
      <c r="C21" s="40" t="n">
        <f aca="false">E20*Annahmen!$B$38/12</f>
        <v>2470.43505774258</v>
      </c>
      <c r="D21" s="40" t="n">
        <f aca="false">MIN($C$3-C21,E20)</f>
        <v>1029.56494225742</v>
      </c>
      <c r="E21" s="40" t="n">
        <f aca="false">E20-D21</f>
        <v>1184779.26277418</v>
      </c>
      <c r="F21" s="40" t="n">
        <f aca="false">H20*Annahmen!$B$39/12</f>
        <v>1931.81729928676</v>
      </c>
      <c r="G21" s="40" t="n">
        <f aca="false">MIN($F$3-F21,H20)</f>
        <v>674.849367379903</v>
      </c>
      <c r="H21" s="40" t="n">
        <f aca="false">H20-G21</f>
        <v>772052.070347325</v>
      </c>
      <c r="I21" s="40" t="n">
        <f aca="false">K20*Annahmen!$B$40/12</f>
        <v>8263.08405524223</v>
      </c>
      <c r="J21" s="40" t="n">
        <f aca="false">MIN($I$3-I21,K20)</f>
        <v>2190.40636943757</v>
      </c>
      <c r="K21" s="40" t="n">
        <f aca="false">K20-J21</f>
        <v>2476734.81020323</v>
      </c>
      <c r="L21" s="40" t="n">
        <f aca="false">C21+F21+I21</f>
        <v>12665.3364122716</v>
      </c>
      <c r="M21" s="40" t="n">
        <f aca="false">D21+G21+J21</f>
        <v>3894.8206790749</v>
      </c>
      <c r="N21" s="40" t="n">
        <f aca="false">L21+M21</f>
        <v>16560.1570913465</v>
      </c>
      <c r="O21" s="40" t="n">
        <f aca="false">E21+H21+K21</f>
        <v>4433566.14332474</v>
      </c>
    </row>
    <row r="22" customFormat="false" ht="15" hidden="false" customHeight="false" outlineLevel="0" collapsed="false">
      <c r="A22" s="39" t="n">
        <v>16</v>
      </c>
      <c r="B22" s="39" t="n">
        <f aca="false">ROUNDUP(A22/12,0)</f>
        <v>2</v>
      </c>
      <c r="C22" s="40" t="n">
        <f aca="false">E21*Annahmen!$B$38/12</f>
        <v>2468.29013077954</v>
      </c>
      <c r="D22" s="40" t="n">
        <f aca="false">MIN($C$3-C22,E21)</f>
        <v>1031.70986922046</v>
      </c>
      <c r="E22" s="40" t="n">
        <f aca="false">E21-D22</f>
        <v>1183747.55290496</v>
      </c>
      <c r="F22" s="40" t="n">
        <f aca="false">H21*Annahmen!$B$39/12</f>
        <v>1930.13017586831</v>
      </c>
      <c r="G22" s="40" t="n">
        <f aca="false">MIN($F$3-F22,H21)</f>
        <v>676.536490798353</v>
      </c>
      <c r="H22" s="40" t="n">
        <f aca="false">H21-G22</f>
        <v>771375.533856527</v>
      </c>
      <c r="I22" s="40" t="n">
        <f aca="false">K21*Annahmen!$B$40/12</f>
        <v>8255.78270067744</v>
      </c>
      <c r="J22" s="40" t="n">
        <f aca="false">MIN($I$3-I22,K21)</f>
        <v>2197.70772400236</v>
      </c>
      <c r="K22" s="40" t="n">
        <f aca="false">K21-J22</f>
        <v>2474537.10247923</v>
      </c>
      <c r="L22" s="40" t="n">
        <f aca="false">C22+F22+I22</f>
        <v>12654.2030073253</v>
      </c>
      <c r="M22" s="40" t="n">
        <f aca="false">D22+G22+J22</f>
        <v>3905.95408402117</v>
      </c>
      <c r="N22" s="40" t="n">
        <f aca="false">L22+M22</f>
        <v>16560.1570913465</v>
      </c>
      <c r="O22" s="40" t="n">
        <f aca="false">E22+H22+K22</f>
        <v>4429660.18924072</v>
      </c>
    </row>
    <row r="23" customFormat="false" ht="15" hidden="false" customHeight="false" outlineLevel="0" collapsed="false">
      <c r="A23" s="39" t="n">
        <v>17</v>
      </c>
      <c r="B23" s="39" t="n">
        <f aca="false">ROUNDUP(A23/12,0)</f>
        <v>2</v>
      </c>
      <c r="C23" s="40" t="n">
        <f aca="false">E22*Annahmen!$B$38/12</f>
        <v>2466.14073521866</v>
      </c>
      <c r="D23" s="40" t="n">
        <f aca="false">MIN($C$3-C23,E22)</f>
        <v>1033.85926478134</v>
      </c>
      <c r="E23" s="40" t="n">
        <f aca="false">E22-D23</f>
        <v>1182713.69364018</v>
      </c>
      <c r="F23" s="40" t="n">
        <f aca="false">H22*Annahmen!$B$39/12</f>
        <v>1928.43883464132</v>
      </c>
      <c r="G23" s="40" t="n">
        <f aca="false">MIN($F$3-F23,H22)</f>
        <v>678.227832025348</v>
      </c>
      <c r="H23" s="40" t="n">
        <f aca="false">H22-G23</f>
        <v>770697.306024502</v>
      </c>
      <c r="I23" s="40" t="n">
        <f aca="false">K22*Annahmen!$B$40/12</f>
        <v>8248.4570082641</v>
      </c>
      <c r="J23" s="40" t="n">
        <f aca="false">MIN($I$3-I23,K22)</f>
        <v>2205.0334164157</v>
      </c>
      <c r="K23" s="40" t="n">
        <f aca="false">K22-J23</f>
        <v>2472332.06906281</v>
      </c>
      <c r="L23" s="40" t="n">
        <f aca="false">C23+F23+I23</f>
        <v>12643.0365781241</v>
      </c>
      <c r="M23" s="40" t="n">
        <f aca="false">D23+G23+J23</f>
        <v>3917.12051322239</v>
      </c>
      <c r="N23" s="40" t="n">
        <f aca="false">L23+M23</f>
        <v>16560.1570913465</v>
      </c>
      <c r="O23" s="40" t="n">
        <f aca="false">E23+H23+K23</f>
        <v>4425743.06872749</v>
      </c>
    </row>
    <row r="24" customFormat="false" ht="15" hidden="false" customHeight="false" outlineLevel="0" collapsed="false">
      <c r="A24" s="39" t="n">
        <v>18</v>
      </c>
      <c r="B24" s="39" t="n">
        <f aca="false">ROUNDUP(A24/12,0)</f>
        <v>2</v>
      </c>
      <c r="C24" s="40" t="n">
        <f aca="false">E23*Annahmen!$B$38/12</f>
        <v>2463.98686175037</v>
      </c>
      <c r="D24" s="40" t="n">
        <f aca="false">MIN($C$3-C24,E23)</f>
        <v>1036.01313824963</v>
      </c>
      <c r="E24" s="40" t="n">
        <f aca="false">E23-D24</f>
        <v>1181677.68050193</v>
      </c>
      <c r="F24" s="40" t="n">
        <f aca="false">H23*Annahmen!$B$39/12</f>
        <v>1926.74326506125</v>
      </c>
      <c r="G24" s="40" t="n">
        <f aca="false">MIN($F$3-F24,H23)</f>
        <v>679.923401605412</v>
      </c>
      <c r="H24" s="40" t="n">
        <f aca="false">H23-G24</f>
        <v>770017.382622896</v>
      </c>
      <c r="I24" s="40" t="n">
        <f aca="false">K23*Annahmen!$B$40/12</f>
        <v>8241.10689687605</v>
      </c>
      <c r="J24" s="40" t="n">
        <f aca="false">MIN($I$3-I24,K23)</f>
        <v>2212.38352780375</v>
      </c>
      <c r="K24" s="40" t="n">
        <f aca="false">K23-J24</f>
        <v>2470119.68553501</v>
      </c>
      <c r="L24" s="40" t="n">
        <f aca="false">C24+F24+I24</f>
        <v>12631.8370236877</v>
      </c>
      <c r="M24" s="40" t="n">
        <f aca="false">D24+G24+J24</f>
        <v>3928.3200676588</v>
      </c>
      <c r="N24" s="40" t="n">
        <f aca="false">L24+M24</f>
        <v>16560.1570913465</v>
      </c>
      <c r="O24" s="40" t="n">
        <f aca="false">E24+H24+K24</f>
        <v>4421814.74865983</v>
      </c>
    </row>
    <row r="25" customFormat="false" ht="15" hidden="false" customHeight="false" outlineLevel="0" collapsed="false">
      <c r="A25" s="39" t="n">
        <v>19</v>
      </c>
      <c r="B25" s="39" t="n">
        <f aca="false">ROUNDUP(A25/12,0)</f>
        <v>2</v>
      </c>
      <c r="C25" s="40" t="n">
        <f aca="false">E24*Annahmen!$B$38/12</f>
        <v>2461.82850104568</v>
      </c>
      <c r="D25" s="40" t="n">
        <f aca="false">MIN($C$3-C25,E24)</f>
        <v>1038.17149895432</v>
      </c>
      <c r="E25" s="40" t="n">
        <f aca="false">E24-D25</f>
        <v>1180639.50900297</v>
      </c>
      <c r="F25" s="40" t="n">
        <f aca="false">H24*Annahmen!$B$39/12</f>
        <v>1925.04345655724</v>
      </c>
      <c r="G25" s="40" t="n">
        <f aca="false">MIN($F$3-F25,H24)</f>
        <v>681.623210109425</v>
      </c>
      <c r="H25" s="40" t="n">
        <f aca="false">H24-G25</f>
        <v>769335.759412787</v>
      </c>
      <c r="I25" s="40" t="n">
        <f aca="false">K24*Annahmen!$B$40/12</f>
        <v>8233.7322851167</v>
      </c>
      <c r="J25" s="40" t="n">
        <f aca="false">MIN($I$3-I25,K24)</f>
        <v>2219.7581395631</v>
      </c>
      <c r="K25" s="40" t="n">
        <f aca="false">K24-J25</f>
        <v>2467899.92739545</v>
      </c>
      <c r="L25" s="40" t="n">
        <f aca="false">C25+F25+I25</f>
        <v>12620.6042427196</v>
      </c>
      <c r="M25" s="40" t="n">
        <f aca="false">D25+G25+J25</f>
        <v>3939.55284862684</v>
      </c>
      <c r="N25" s="40" t="n">
        <f aca="false">L25+M25</f>
        <v>16560.1570913465</v>
      </c>
      <c r="O25" s="40" t="n">
        <f aca="false">E25+H25+K25</f>
        <v>4417875.19581121</v>
      </c>
    </row>
    <row r="26" customFormat="false" ht="15" hidden="false" customHeight="false" outlineLevel="0" collapsed="false">
      <c r="A26" s="39" t="n">
        <v>20</v>
      </c>
      <c r="B26" s="39" t="n">
        <f aca="false">ROUNDUP(A26/12,0)</f>
        <v>2</v>
      </c>
      <c r="C26" s="40" t="n">
        <f aca="false">E25*Annahmen!$B$38/12</f>
        <v>2459.66564375619</v>
      </c>
      <c r="D26" s="40" t="n">
        <f aca="false">MIN($C$3-C26,E25)</f>
        <v>1040.3343562438</v>
      </c>
      <c r="E26" s="40" t="n">
        <f aca="false">E25-D26</f>
        <v>1179599.17464673</v>
      </c>
      <c r="F26" s="40" t="n">
        <f aca="false">H25*Annahmen!$B$39/12</f>
        <v>1923.33939853197</v>
      </c>
      <c r="G26" s="40" t="n">
        <f aca="false">MIN($F$3-F26,H25)</f>
        <v>683.327268134699</v>
      </c>
      <c r="H26" s="40" t="n">
        <f aca="false">H25-G26</f>
        <v>768652.432144652</v>
      </c>
      <c r="I26" s="40" t="n">
        <f aca="false">K25*Annahmen!$B$40/12</f>
        <v>8226.33309131816</v>
      </c>
      <c r="J26" s="40" t="n">
        <f aca="false">MIN($I$3-I26,K25)</f>
        <v>2227.15733336164</v>
      </c>
      <c r="K26" s="40" t="n">
        <f aca="false">K25-J26</f>
        <v>2465672.77006209</v>
      </c>
      <c r="L26" s="40" t="n">
        <f aca="false">C26+F26+I26</f>
        <v>12609.3381336063</v>
      </c>
      <c r="M26" s="40" t="n">
        <f aca="false">D26+G26+J26</f>
        <v>3950.81895774015</v>
      </c>
      <c r="N26" s="40" t="n">
        <f aca="false">L26+M26</f>
        <v>16560.1570913465</v>
      </c>
      <c r="O26" s="40" t="n">
        <f aca="false">E26+H26+K26</f>
        <v>4413924.37685347</v>
      </c>
    </row>
    <row r="27" customFormat="false" ht="15" hidden="false" customHeight="false" outlineLevel="0" collapsed="false">
      <c r="A27" s="39" t="n">
        <v>21</v>
      </c>
      <c r="B27" s="39" t="n">
        <f aca="false">ROUNDUP(A27/12,0)</f>
        <v>2</v>
      </c>
      <c r="C27" s="40" t="n">
        <f aca="false">E26*Annahmen!$B$38/12</f>
        <v>2457.49828051402</v>
      </c>
      <c r="D27" s="40" t="n">
        <f aca="false">MIN($C$3-C27,E26)</f>
        <v>1042.50171948598</v>
      </c>
      <c r="E27" s="40" t="n">
        <f aca="false">E26-D27</f>
        <v>1178556.67292724</v>
      </c>
      <c r="F27" s="40" t="n">
        <f aca="false">H26*Annahmen!$B$39/12</f>
        <v>1921.63108036163</v>
      </c>
      <c r="G27" s="40" t="n">
        <f aca="false">MIN($F$3-F27,H26)</f>
        <v>685.035586305036</v>
      </c>
      <c r="H27" s="40" t="n">
        <f aca="false">H26-G27</f>
        <v>767967.396558347</v>
      </c>
      <c r="I27" s="40" t="n">
        <f aca="false">K26*Annahmen!$B$40/12</f>
        <v>8218.90923354029</v>
      </c>
      <c r="J27" s="40" t="n">
        <f aca="false">MIN($I$3-I27,K26)</f>
        <v>2234.58119113951</v>
      </c>
      <c r="K27" s="40" t="n">
        <f aca="false">K26-J27</f>
        <v>2463438.18887095</v>
      </c>
      <c r="L27" s="40" t="n">
        <f aca="false">C27+F27+I27</f>
        <v>12598.0385944159</v>
      </c>
      <c r="M27" s="40" t="n">
        <f aca="false">D27+G27+J27</f>
        <v>3962.11849693053</v>
      </c>
      <c r="N27" s="40" t="n">
        <f aca="false">L27+M27</f>
        <v>16560.1570913465</v>
      </c>
      <c r="O27" s="40" t="n">
        <f aca="false">E27+H27+K27</f>
        <v>4409962.25835654</v>
      </c>
    </row>
    <row r="28" customFormat="false" ht="15" hidden="false" customHeight="false" outlineLevel="0" collapsed="false">
      <c r="A28" s="39" t="n">
        <v>22</v>
      </c>
      <c r="B28" s="39" t="n">
        <f aca="false">ROUNDUP(A28/12,0)</f>
        <v>2</v>
      </c>
      <c r="C28" s="40" t="n">
        <f aca="false">E27*Annahmen!$B$38/12</f>
        <v>2455.32640193176</v>
      </c>
      <c r="D28" s="40" t="n">
        <f aca="false">MIN($C$3-C28,E27)</f>
        <v>1044.67359806824</v>
      </c>
      <c r="E28" s="40" t="n">
        <f aca="false">E27-D28</f>
        <v>1177511.99932918</v>
      </c>
      <c r="F28" s="40" t="n">
        <f aca="false">H27*Annahmen!$B$39/12</f>
        <v>1919.91849139587</v>
      </c>
      <c r="G28" s="40" t="n">
        <f aca="false">MIN($F$3-F28,H27)</f>
        <v>686.748175270798</v>
      </c>
      <c r="H28" s="40" t="n">
        <f aca="false">H27-G28</f>
        <v>767280.648383076</v>
      </c>
      <c r="I28" s="40" t="n">
        <f aca="false">K27*Annahmen!$B$40/12</f>
        <v>8211.46062956982</v>
      </c>
      <c r="J28" s="40" t="n">
        <f aca="false">MIN($I$3-I28,K27)</f>
        <v>2242.02979510998</v>
      </c>
      <c r="K28" s="40" t="n">
        <f aca="false">K27-J28</f>
        <v>2461196.15907584</v>
      </c>
      <c r="L28" s="40" t="n">
        <f aca="false">C28+F28+I28</f>
        <v>12586.7055228974</v>
      </c>
      <c r="M28" s="40" t="n">
        <f aca="false">D28+G28+J28</f>
        <v>3973.45156844902</v>
      </c>
      <c r="N28" s="40" t="n">
        <f aca="false">L28+M28</f>
        <v>16560.1570913465</v>
      </c>
      <c r="O28" s="40" t="n">
        <f aca="false">E28+H28+K28</f>
        <v>4405988.80678809</v>
      </c>
    </row>
    <row r="29" customFormat="false" ht="15" hidden="false" customHeight="false" outlineLevel="0" collapsed="false">
      <c r="A29" s="39" t="n">
        <v>23</v>
      </c>
      <c r="B29" s="39" t="n">
        <f aca="false">ROUNDUP(A29/12,0)</f>
        <v>2</v>
      </c>
      <c r="C29" s="40" t="n">
        <f aca="false">E28*Annahmen!$B$38/12</f>
        <v>2453.14999860245</v>
      </c>
      <c r="D29" s="40" t="n">
        <f aca="false">MIN($C$3-C29,E28)</f>
        <v>1046.85000139755</v>
      </c>
      <c r="E29" s="40" t="n">
        <f aca="false">E28-D29</f>
        <v>1176465.14932778</v>
      </c>
      <c r="F29" s="40" t="n">
        <f aca="false">H28*Annahmen!$B$39/12</f>
        <v>1918.20162095769</v>
      </c>
      <c r="G29" s="40" t="n">
        <f aca="false">MIN($F$3-F29,H28)</f>
        <v>688.465045708975</v>
      </c>
      <c r="H29" s="40" t="n">
        <f aca="false">H28-G29</f>
        <v>766592.183337367</v>
      </c>
      <c r="I29" s="40" t="n">
        <f aca="false">K28*Annahmen!$B$40/12</f>
        <v>8203.98719691946</v>
      </c>
      <c r="J29" s="40" t="n">
        <f aca="false">MIN($I$3-I29,K28)</f>
        <v>2249.50322776034</v>
      </c>
      <c r="K29" s="40" t="n">
        <f aca="false">K28-J29</f>
        <v>2458946.65584808</v>
      </c>
      <c r="L29" s="40" t="n">
        <f aca="false">C29+F29+I29</f>
        <v>12575.3388164796</v>
      </c>
      <c r="M29" s="40" t="n">
        <f aca="false">D29+G29+J29</f>
        <v>3984.81827486687</v>
      </c>
      <c r="N29" s="40" t="n">
        <f aca="false">L29+M29</f>
        <v>16560.1570913465</v>
      </c>
      <c r="O29" s="40" t="n">
        <f aca="false">E29+H29+K29</f>
        <v>4402003.98851322</v>
      </c>
    </row>
    <row r="30" customFormat="false" ht="15" hidden="false" customHeight="false" outlineLevel="0" collapsed="false">
      <c r="A30" s="39" t="n">
        <v>24</v>
      </c>
      <c r="B30" s="39" t="n">
        <f aca="false">ROUNDUP(A30/12,0)</f>
        <v>2</v>
      </c>
      <c r="C30" s="40" t="n">
        <f aca="false">E29*Annahmen!$B$38/12</f>
        <v>2450.96906109954</v>
      </c>
      <c r="D30" s="40" t="n">
        <f aca="false">MIN($C$3-C30,E29)</f>
        <v>1049.03093890046</v>
      </c>
      <c r="E30" s="40" t="n">
        <f aca="false">E29-D30</f>
        <v>1175416.11838888</v>
      </c>
      <c r="F30" s="40" t="n">
        <f aca="false">H29*Annahmen!$B$39/12</f>
        <v>1916.48045834342</v>
      </c>
      <c r="G30" s="40" t="n">
        <f aca="false">MIN($F$3-F30,H29)</f>
        <v>690.186208323248</v>
      </c>
      <c r="H30" s="40" t="n">
        <f aca="false">H29-G30</f>
        <v>765901.997129044</v>
      </c>
      <c r="I30" s="40" t="n">
        <f aca="false">K29*Annahmen!$B$40/12</f>
        <v>8196.48885282692</v>
      </c>
      <c r="J30" s="40" t="n">
        <f aca="false">MIN($I$3-I30,K29)</f>
        <v>2257.00157185288</v>
      </c>
      <c r="K30" s="40" t="n">
        <f aca="false">K29-J30</f>
        <v>2456689.65427622</v>
      </c>
      <c r="L30" s="40" t="n">
        <f aca="false">C30+F30+I30</f>
        <v>12563.9383722699</v>
      </c>
      <c r="M30" s="40" t="n">
        <f aca="false">D30+G30+J30</f>
        <v>3996.21871907659</v>
      </c>
      <c r="N30" s="40" t="n">
        <f aca="false">L30+M30</f>
        <v>16560.1570913465</v>
      </c>
      <c r="O30" s="40" t="n">
        <f aca="false">E30+H30+K30</f>
        <v>4398007.76979415</v>
      </c>
    </row>
    <row r="31" customFormat="false" ht="15" hidden="false" customHeight="false" outlineLevel="0" collapsed="false">
      <c r="A31" s="39" t="n">
        <v>25</v>
      </c>
      <c r="B31" s="39" t="n">
        <f aca="false">ROUNDUP(A31/12,0)</f>
        <v>3</v>
      </c>
      <c r="C31" s="40" t="n">
        <f aca="false">E30*Annahmen!$B$38/12</f>
        <v>2448.78357997683</v>
      </c>
      <c r="D31" s="40" t="n">
        <f aca="false">MIN($C$3-C31,E30)</f>
        <v>1051.21642002317</v>
      </c>
      <c r="E31" s="40" t="n">
        <f aca="false">E30-D31</f>
        <v>1174364.90196885</v>
      </c>
      <c r="F31" s="40" t="n">
        <f aca="false">H30*Annahmen!$B$39/12</f>
        <v>1914.75499282261</v>
      </c>
      <c r="G31" s="40" t="n">
        <f aca="false">MIN($F$3-F31,H30)</f>
        <v>691.911673844056</v>
      </c>
      <c r="H31" s="40" t="n">
        <f aca="false">H30-G31</f>
        <v>765210.0854552</v>
      </c>
      <c r="I31" s="40" t="n">
        <f aca="false">K30*Annahmen!$B$40/12</f>
        <v>8188.96551425408</v>
      </c>
      <c r="J31" s="40" t="n">
        <f aca="false">MIN($I$3-I31,K30)</f>
        <v>2264.52491042572</v>
      </c>
      <c r="K31" s="40" t="n">
        <f aca="false">K30-J31</f>
        <v>2454425.1293658</v>
      </c>
      <c r="L31" s="40" t="n">
        <f aca="false">C31+F31+I31</f>
        <v>12552.5040870535</v>
      </c>
      <c r="M31" s="40" t="n">
        <f aca="false">D31+G31+J31</f>
        <v>4007.65300429295</v>
      </c>
      <c r="N31" s="40" t="n">
        <f aca="false">L31+M31</f>
        <v>16560.1570913465</v>
      </c>
      <c r="O31" s="40" t="n">
        <f aca="false">E31+H31+K31</f>
        <v>4394000.11678985</v>
      </c>
    </row>
    <row r="32" customFormat="false" ht="15" hidden="false" customHeight="false" outlineLevel="0" collapsed="false">
      <c r="A32" s="39" t="n">
        <v>26</v>
      </c>
      <c r="B32" s="39" t="n">
        <f aca="false">ROUNDUP(A32/12,0)</f>
        <v>3</v>
      </c>
      <c r="C32" s="40" t="n">
        <f aca="false">E31*Annahmen!$B$38/12</f>
        <v>2446.59354576845</v>
      </c>
      <c r="D32" s="40" t="n">
        <f aca="false">MIN($C$3-C32,E31)</f>
        <v>1053.40645423155</v>
      </c>
      <c r="E32" s="40" t="n">
        <f aca="false">E31-D32</f>
        <v>1173311.49551462</v>
      </c>
      <c r="F32" s="40" t="n">
        <f aca="false">H31*Annahmen!$B$39/12</f>
        <v>1913.025213638</v>
      </c>
      <c r="G32" s="40" t="n">
        <f aca="false">MIN($F$3-F32,H31)</f>
        <v>693.641453028666</v>
      </c>
      <c r="H32" s="40" t="n">
        <f aca="false">H31-G32</f>
        <v>764516.444002171</v>
      </c>
      <c r="I32" s="40" t="n">
        <f aca="false">K31*Annahmen!$B$40/12</f>
        <v>8181.41709788599</v>
      </c>
      <c r="J32" s="40" t="n">
        <f aca="false">MIN($I$3-I32,K31)</f>
        <v>2272.07332679381</v>
      </c>
      <c r="K32" s="40" t="n">
        <f aca="false">K31-J32</f>
        <v>2452153.056039</v>
      </c>
      <c r="L32" s="40" t="n">
        <f aca="false">C32+F32+I32</f>
        <v>12541.0358572924</v>
      </c>
      <c r="M32" s="40" t="n">
        <f aca="false">D32+G32+J32</f>
        <v>4019.12123405403</v>
      </c>
      <c r="N32" s="40" t="n">
        <f aca="false">L32+M32</f>
        <v>16560.1570913465</v>
      </c>
      <c r="O32" s="40" t="n">
        <f aca="false">E32+H32+K32</f>
        <v>4389980.9955558</v>
      </c>
    </row>
    <row r="33" customFormat="false" ht="15" hidden="false" customHeight="false" outlineLevel="0" collapsed="false">
      <c r="A33" s="39" t="n">
        <v>27</v>
      </c>
      <c r="B33" s="39" t="n">
        <f aca="false">ROUNDUP(A33/12,0)</f>
        <v>3</v>
      </c>
      <c r="C33" s="40" t="n">
        <f aca="false">E32*Annahmen!$B$38/12</f>
        <v>2444.3989489888</v>
      </c>
      <c r="D33" s="40" t="n">
        <f aca="false">MIN($C$3-C33,E32)</f>
        <v>1055.6010510112</v>
      </c>
      <c r="E33" s="40" t="n">
        <f aca="false">E32-D33</f>
        <v>1172255.89446361</v>
      </c>
      <c r="F33" s="40" t="n">
        <f aca="false">H32*Annahmen!$B$39/12</f>
        <v>1911.29111000543</v>
      </c>
      <c r="G33" s="40" t="n">
        <f aca="false">MIN($F$3-F33,H32)</f>
        <v>695.375556661238</v>
      </c>
      <c r="H33" s="40" t="n">
        <f aca="false">H32-G33</f>
        <v>763821.06844551</v>
      </c>
      <c r="I33" s="40" t="n">
        <f aca="false">K32*Annahmen!$B$40/12</f>
        <v>8173.84352013001</v>
      </c>
      <c r="J33" s="40" t="n">
        <f aca="false">MIN($I$3-I33,K32)</f>
        <v>2279.64690454979</v>
      </c>
      <c r="K33" s="40" t="n">
        <f aca="false">K32-J33</f>
        <v>2449873.40913445</v>
      </c>
      <c r="L33" s="40" t="n">
        <f aca="false">C33+F33+I33</f>
        <v>12529.5335791242</v>
      </c>
      <c r="M33" s="40" t="n">
        <f aca="false">D33+G33+J33</f>
        <v>4030.62351222223</v>
      </c>
      <c r="N33" s="40" t="n">
        <f aca="false">L33+M33</f>
        <v>16560.1570913465</v>
      </c>
      <c r="O33" s="40" t="n">
        <f aca="false">E33+H33+K33</f>
        <v>4385950.37204358</v>
      </c>
    </row>
    <row r="34" customFormat="false" ht="15" hidden="false" customHeight="false" outlineLevel="0" collapsed="false">
      <c r="A34" s="39" t="n">
        <v>28</v>
      </c>
      <c r="B34" s="39" t="n">
        <f aca="false">ROUNDUP(A34/12,0)</f>
        <v>3</v>
      </c>
      <c r="C34" s="40" t="n">
        <f aca="false">E33*Annahmen!$B$38/12</f>
        <v>2442.19978013252</v>
      </c>
      <c r="D34" s="40" t="n">
        <f aca="false">MIN($C$3-C34,E33)</f>
        <v>1057.80021986748</v>
      </c>
      <c r="E34" s="40" t="n">
        <f aca="false">E33-D34</f>
        <v>1171198.09424374</v>
      </c>
      <c r="F34" s="40" t="n">
        <f aca="false">H33*Annahmen!$B$39/12</f>
        <v>1909.55267111377</v>
      </c>
      <c r="G34" s="40" t="n">
        <f aca="false">MIN($F$3-F34,H33)</f>
        <v>697.113995552891</v>
      </c>
      <c r="H34" s="40" t="n">
        <f aca="false">H33-G34</f>
        <v>763123.954449957</v>
      </c>
      <c r="I34" s="40" t="n">
        <f aca="false">K33*Annahmen!$B$40/12</f>
        <v>8166.24469711485</v>
      </c>
      <c r="J34" s="40" t="n">
        <f aca="false">MIN($I$3-I34,K33)</f>
        <v>2287.24572756495</v>
      </c>
      <c r="K34" s="40" t="n">
        <f aca="false">K33-J34</f>
        <v>2447586.16340689</v>
      </c>
      <c r="L34" s="40" t="n">
        <f aca="false">C34+F34+I34</f>
        <v>12517.9971483611</v>
      </c>
      <c r="M34" s="40" t="n">
        <f aca="false">D34+G34+J34</f>
        <v>4042.15994298532</v>
      </c>
      <c r="N34" s="40" t="n">
        <f aca="false">L34+M34</f>
        <v>16560.1570913465</v>
      </c>
      <c r="O34" s="40" t="n">
        <f aca="false">E34+H34+K34</f>
        <v>4381908.21210059</v>
      </c>
    </row>
    <row r="35" customFormat="false" ht="15" hidden="false" customHeight="false" outlineLevel="0" collapsed="false">
      <c r="A35" s="39" t="n">
        <v>29</v>
      </c>
      <c r="B35" s="39" t="n">
        <f aca="false">ROUNDUP(A35/12,0)</f>
        <v>3</v>
      </c>
      <c r="C35" s="40" t="n">
        <f aca="false">E34*Annahmen!$B$38/12</f>
        <v>2439.99602967447</v>
      </c>
      <c r="D35" s="40" t="n">
        <f aca="false">MIN($C$3-C35,E34)</f>
        <v>1060.00397032553</v>
      </c>
      <c r="E35" s="40" t="n">
        <f aca="false">E34-D35</f>
        <v>1170138.09027342</v>
      </c>
      <c r="F35" s="40" t="n">
        <f aca="false">H34*Annahmen!$B$39/12</f>
        <v>1907.80988612489</v>
      </c>
      <c r="G35" s="40" t="n">
        <f aca="false">MIN($F$3-F35,H34)</f>
        <v>698.856780541773</v>
      </c>
      <c r="H35" s="40" t="n">
        <f aca="false">H34-G35</f>
        <v>762425.097669415</v>
      </c>
      <c r="I35" s="40" t="n">
        <f aca="false">K34*Annahmen!$B$40/12</f>
        <v>8158.62054468963</v>
      </c>
      <c r="J35" s="40" t="n">
        <f aca="false">MIN($I$3-I35,K34)</f>
        <v>2294.86987999017</v>
      </c>
      <c r="K35" s="40" t="n">
        <f aca="false">K34-J35</f>
        <v>2445291.2935269</v>
      </c>
      <c r="L35" s="40" t="n">
        <f aca="false">C35+F35+I35</f>
        <v>12506.426460489</v>
      </c>
      <c r="M35" s="40" t="n">
        <f aca="false">D35+G35+J35</f>
        <v>4053.73063085748</v>
      </c>
      <c r="N35" s="40" t="n">
        <f aca="false">L35+M35</f>
        <v>16560.1570913465</v>
      </c>
      <c r="O35" s="40" t="n">
        <f aca="false">E35+H35+K35</f>
        <v>4377854.48146973</v>
      </c>
    </row>
    <row r="36" customFormat="false" ht="15" hidden="false" customHeight="false" outlineLevel="0" collapsed="false">
      <c r="A36" s="39" t="n">
        <v>30</v>
      </c>
      <c r="B36" s="39" t="n">
        <f aca="false">ROUNDUP(A36/12,0)</f>
        <v>3</v>
      </c>
      <c r="C36" s="40" t="n">
        <f aca="false">E35*Annahmen!$B$38/12</f>
        <v>2437.78768806962</v>
      </c>
      <c r="D36" s="40" t="n">
        <f aca="false">MIN($C$3-C36,E35)</f>
        <v>1062.21231193038</v>
      </c>
      <c r="E36" s="40" t="n">
        <f aca="false">E35-D36</f>
        <v>1169075.87796149</v>
      </c>
      <c r="F36" s="40" t="n">
        <f aca="false">H35*Annahmen!$B$39/12</f>
        <v>1906.06274417354</v>
      </c>
      <c r="G36" s="40" t="n">
        <f aca="false">MIN($F$3-F36,H35)</f>
        <v>700.603922493128</v>
      </c>
      <c r="H36" s="40" t="n">
        <f aca="false">H35-G36</f>
        <v>761724.493746922</v>
      </c>
      <c r="I36" s="40" t="n">
        <f aca="false">K35*Annahmen!$B$40/12</f>
        <v>8150.970978423</v>
      </c>
      <c r="J36" s="40" t="n">
        <f aca="false">MIN($I$3-I36,K35)</f>
        <v>2302.5194462568</v>
      </c>
      <c r="K36" s="40" t="n">
        <f aca="false">K35-J36</f>
        <v>2442988.77408064</v>
      </c>
      <c r="L36" s="40" t="n">
        <f aca="false">C36+F36+I36</f>
        <v>12494.8214106662</v>
      </c>
      <c r="M36" s="40" t="n">
        <f aca="false">D36+G36+J36</f>
        <v>4065.33568068031</v>
      </c>
      <c r="N36" s="40" t="n">
        <f aca="false">L36+M36</f>
        <v>16560.1570913465</v>
      </c>
      <c r="O36" s="40" t="n">
        <f aca="false">E36+H36+K36</f>
        <v>4373789.14578905</v>
      </c>
    </row>
    <row r="37" customFormat="false" ht="15" hidden="false" customHeight="false" outlineLevel="0" collapsed="false">
      <c r="A37" s="39" t="n">
        <v>31</v>
      </c>
      <c r="B37" s="39" t="n">
        <f aca="false">ROUNDUP(A37/12,0)</f>
        <v>3</v>
      </c>
      <c r="C37" s="40" t="n">
        <f aca="false">E36*Annahmen!$B$38/12</f>
        <v>2435.5747457531</v>
      </c>
      <c r="D37" s="40" t="n">
        <f aca="false">MIN($C$3-C37,E36)</f>
        <v>1064.4252542469</v>
      </c>
      <c r="E37" s="40" t="n">
        <f aca="false">E36-D37</f>
        <v>1168011.45270724</v>
      </c>
      <c r="F37" s="40" t="n">
        <f aca="false">H36*Annahmen!$B$39/12</f>
        <v>1904.31123436731</v>
      </c>
      <c r="G37" s="40" t="n">
        <f aca="false">MIN($F$3-F37,H36)</f>
        <v>702.355432299361</v>
      </c>
      <c r="H37" s="40" t="n">
        <f aca="false">H36-G37</f>
        <v>761022.138314623</v>
      </c>
      <c r="I37" s="40" t="n">
        <f aca="false">K36*Annahmen!$B$40/12</f>
        <v>8143.29591360214</v>
      </c>
      <c r="J37" s="40" t="n">
        <f aca="false">MIN($I$3-I37,K36)</f>
        <v>2310.19451107766</v>
      </c>
      <c r="K37" s="40" t="n">
        <f aca="false">K36-J37</f>
        <v>2440678.57956956</v>
      </c>
      <c r="L37" s="40" t="n">
        <f aca="false">C37+F37+I37</f>
        <v>12483.1818937225</v>
      </c>
      <c r="M37" s="40" t="n">
        <f aca="false">D37+G37+J37</f>
        <v>4076.97519762392</v>
      </c>
      <c r="N37" s="40" t="n">
        <f aca="false">L37+M37</f>
        <v>16560.1570913465</v>
      </c>
      <c r="O37" s="40" t="n">
        <f aca="false">E37+H37+K37</f>
        <v>4369712.17059143</v>
      </c>
    </row>
    <row r="38" customFormat="false" ht="15" hidden="false" customHeight="false" outlineLevel="0" collapsed="false">
      <c r="A38" s="39" t="n">
        <v>32</v>
      </c>
      <c r="B38" s="39" t="n">
        <f aca="false">ROUNDUP(A38/12,0)</f>
        <v>3</v>
      </c>
      <c r="C38" s="40" t="n">
        <f aca="false">E37*Annahmen!$B$38/12</f>
        <v>2433.35719314009</v>
      </c>
      <c r="D38" s="40" t="n">
        <f aca="false">MIN($C$3-C38,E37)</f>
        <v>1066.64280685991</v>
      </c>
      <c r="E38" s="40" t="n">
        <f aca="false">E37-D38</f>
        <v>1166944.80990038</v>
      </c>
      <c r="F38" s="40" t="n">
        <f aca="false">H37*Annahmen!$B$39/12</f>
        <v>1902.55534578656</v>
      </c>
      <c r="G38" s="40" t="n">
        <f aca="false">MIN($F$3-F38,H37)</f>
        <v>704.111320880109</v>
      </c>
      <c r="H38" s="40" t="n">
        <f aca="false">H37-G38</f>
        <v>760318.026993743</v>
      </c>
      <c r="I38" s="40" t="n">
        <f aca="false">K37*Annahmen!$B$40/12</f>
        <v>8135.59526523188</v>
      </c>
      <c r="J38" s="40" t="n">
        <f aca="false">MIN($I$3-I38,K37)</f>
        <v>2317.89515944792</v>
      </c>
      <c r="K38" s="40" t="n">
        <f aca="false">K37-J38</f>
        <v>2438360.68441012</v>
      </c>
      <c r="L38" s="40" t="n">
        <f aca="false">C38+F38+I38</f>
        <v>12471.5078041585</v>
      </c>
      <c r="M38" s="40" t="n">
        <f aca="false">D38+G38+J38</f>
        <v>4088.64928718794</v>
      </c>
      <c r="N38" s="40" t="n">
        <f aca="false">L38+M38</f>
        <v>16560.1570913465</v>
      </c>
      <c r="O38" s="40" t="n">
        <f aca="false">E38+H38+K38</f>
        <v>4365623.52130424</v>
      </c>
    </row>
    <row r="39" customFormat="false" ht="15" hidden="false" customHeight="false" outlineLevel="0" collapsed="false">
      <c r="A39" s="39" t="n">
        <v>33</v>
      </c>
      <c r="B39" s="39" t="n">
        <f aca="false">ROUNDUP(A39/12,0)</f>
        <v>3</v>
      </c>
      <c r="C39" s="40" t="n">
        <f aca="false">E38*Annahmen!$B$38/12</f>
        <v>2431.13502062579</v>
      </c>
      <c r="D39" s="40" t="n">
        <f aca="false">MIN($C$3-C39,E38)</f>
        <v>1068.86497937421</v>
      </c>
      <c r="E39" s="40" t="n">
        <f aca="false">E38-D39</f>
        <v>1165875.94492101</v>
      </c>
      <c r="F39" s="40" t="n">
        <f aca="false">H38*Annahmen!$B$39/12</f>
        <v>1900.79506748436</v>
      </c>
      <c r="G39" s="40" t="n">
        <f aca="false">MIN($F$3-F39,H38)</f>
        <v>705.871599182309</v>
      </c>
      <c r="H39" s="40" t="n">
        <f aca="false">H38-G39</f>
        <v>759612.15539456</v>
      </c>
      <c r="I39" s="40" t="n">
        <f aca="false">K38*Annahmen!$B$40/12</f>
        <v>8127.86894803372</v>
      </c>
      <c r="J39" s="40" t="n">
        <f aca="false">MIN($I$3-I39,K38)</f>
        <v>2325.62147664608</v>
      </c>
      <c r="K39" s="40" t="n">
        <f aca="false">K38-J39</f>
        <v>2436035.06293347</v>
      </c>
      <c r="L39" s="40" t="n">
        <f aca="false">C39+F39+I39</f>
        <v>12459.7990361439</v>
      </c>
      <c r="M39" s="40" t="n">
        <f aca="false">D39+G39+J39</f>
        <v>4100.3580552026</v>
      </c>
      <c r="N39" s="40" t="n">
        <f aca="false">L39+M39</f>
        <v>16560.1570913465</v>
      </c>
      <c r="O39" s="40" t="n">
        <f aca="false">E39+H39+K39</f>
        <v>4361523.16324904</v>
      </c>
    </row>
    <row r="40" customFormat="false" ht="15" hidden="false" customHeight="false" outlineLevel="0" collapsed="false">
      <c r="A40" s="39" t="n">
        <v>34</v>
      </c>
      <c r="B40" s="39" t="n">
        <f aca="false">ROUNDUP(A40/12,0)</f>
        <v>3</v>
      </c>
      <c r="C40" s="40" t="n">
        <f aca="false">E39*Annahmen!$B$38/12</f>
        <v>2428.90821858543</v>
      </c>
      <c r="D40" s="40" t="n">
        <f aca="false">MIN($C$3-C40,E39)</f>
        <v>1071.09178141457</v>
      </c>
      <c r="E40" s="40" t="n">
        <f aca="false">E39-D40</f>
        <v>1164804.85313959</v>
      </c>
      <c r="F40" s="40" t="n">
        <f aca="false">H39*Annahmen!$B$39/12</f>
        <v>1899.0303884864</v>
      </c>
      <c r="G40" s="40" t="n">
        <f aca="false">MIN($F$3-F40,H39)</f>
        <v>707.636278180265</v>
      </c>
      <c r="H40" s="40" t="n">
        <f aca="false">H39-G40</f>
        <v>758904.51911638</v>
      </c>
      <c r="I40" s="40" t="n">
        <f aca="false">K39*Annahmen!$B$40/12</f>
        <v>8120.1168764449</v>
      </c>
      <c r="J40" s="40" t="n">
        <f aca="false">MIN($I$3-I40,K39)</f>
        <v>2333.3735482349</v>
      </c>
      <c r="K40" s="40" t="n">
        <f aca="false">K39-J40</f>
        <v>2433701.68938524</v>
      </c>
      <c r="L40" s="40" t="n">
        <f aca="false">C40+F40+I40</f>
        <v>12448.0554835167</v>
      </c>
      <c r="M40" s="40" t="n">
        <f aca="false">D40+G40+J40</f>
        <v>4112.10160782973</v>
      </c>
      <c r="N40" s="40" t="n">
        <f aca="false">L40+M40</f>
        <v>16560.1570913465</v>
      </c>
      <c r="O40" s="40" t="n">
        <f aca="false">E40+H40+K40</f>
        <v>4357411.06164121</v>
      </c>
    </row>
    <row r="41" customFormat="false" ht="15" hidden="false" customHeight="false" outlineLevel="0" collapsed="false">
      <c r="A41" s="39" t="n">
        <v>35</v>
      </c>
      <c r="B41" s="39" t="n">
        <f aca="false">ROUNDUP(A41/12,0)</f>
        <v>3</v>
      </c>
      <c r="C41" s="40" t="n">
        <f aca="false">E40*Annahmen!$B$38/12</f>
        <v>2426.67677737415</v>
      </c>
      <c r="D41" s="40" t="n">
        <f aca="false">MIN($C$3-C41,E40)</f>
        <v>1073.32322262585</v>
      </c>
      <c r="E41" s="40" t="n">
        <f aca="false">E40-D41</f>
        <v>1163731.52991697</v>
      </c>
      <c r="F41" s="40" t="n">
        <f aca="false">H40*Annahmen!$B$39/12</f>
        <v>1897.26129779095</v>
      </c>
      <c r="G41" s="40" t="n">
        <f aca="false">MIN($F$3-F41,H40)</f>
        <v>709.405368875716</v>
      </c>
      <c r="H41" s="40" t="n">
        <f aca="false">H40-G41</f>
        <v>758195.113747504</v>
      </c>
      <c r="I41" s="40" t="n">
        <f aca="false">K40*Annahmen!$B$40/12</f>
        <v>8112.33896461745</v>
      </c>
      <c r="J41" s="40" t="n">
        <f aca="false">MIN($I$3-I41,K40)</f>
        <v>2341.15146006235</v>
      </c>
      <c r="K41" s="40" t="n">
        <f aca="false">K40-J41</f>
        <v>2431360.53792517</v>
      </c>
      <c r="L41" s="40" t="n">
        <f aca="false">C41+F41+I41</f>
        <v>12436.2770397826</v>
      </c>
      <c r="M41" s="40" t="n">
        <f aca="false">D41+G41+J41</f>
        <v>4123.88005156391</v>
      </c>
      <c r="N41" s="40" t="n">
        <f aca="false">L41+M41</f>
        <v>16560.1570913465</v>
      </c>
      <c r="O41" s="40" t="n">
        <f aca="false">E41+H41+K41</f>
        <v>4353287.18158964</v>
      </c>
    </row>
    <row r="42" customFormat="false" ht="15" hidden="false" customHeight="false" outlineLevel="0" collapsed="false">
      <c r="A42" s="39" t="n">
        <v>36</v>
      </c>
      <c r="B42" s="39" t="n">
        <f aca="false">ROUNDUP(A42/12,0)</f>
        <v>3</v>
      </c>
      <c r="C42" s="40" t="n">
        <f aca="false">E41*Annahmen!$B$38/12</f>
        <v>2424.44068732701</v>
      </c>
      <c r="D42" s="40" t="n">
        <f aca="false">MIN($C$3-C42,E41)</f>
        <v>1075.55931267299</v>
      </c>
      <c r="E42" s="40" t="n">
        <f aca="false">E41-D42</f>
        <v>1162655.97060429</v>
      </c>
      <c r="F42" s="40" t="n">
        <f aca="false">H41*Annahmen!$B$39/12</f>
        <v>1895.48778436876</v>
      </c>
      <c r="G42" s="40" t="n">
        <f aca="false">MIN($F$3-F42,H41)</f>
        <v>711.178882297905</v>
      </c>
      <c r="H42" s="40" t="n">
        <f aca="false">H41-G42</f>
        <v>757483.934865206</v>
      </c>
      <c r="I42" s="40" t="n">
        <f aca="false">K41*Annahmen!$B$40/12</f>
        <v>8104.53512641724</v>
      </c>
      <c r="J42" s="40" t="n">
        <f aca="false">MIN($I$3-I42,K41)</f>
        <v>2348.95529826256</v>
      </c>
      <c r="K42" s="40" t="n">
        <f aca="false">K41-J42</f>
        <v>2429011.58262691</v>
      </c>
      <c r="L42" s="40" t="n">
        <f aca="false">C42+F42+I42</f>
        <v>12424.463598113</v>
      </c>
      <c r="M42" s="40" t="n">
        <f aca="false">D42+G42+J42</f>
        <v>4135.69349323345</v>
      </c>
      <c r="N42" s="40" t="n">
        <f aca="false">L42+M42</f>
        <v>16560.1570913465</v>
      </c>
      <c r="O42" s="40" t="n">
        <f aca="false">E42+H42+K42</f>
        <v>4349151.48809641</v>
      </c>
    </row>
    <row r="43" customFormat="false" ht="15" hidden="false" customHeight="false" outlineLevel="0" collapsed="false">
      <c r="A43" s="39" t="n">
        <v>37</v>
      </c>
      <c r="B43" s="39" t="n">
        <f aca="false">ROUNDUP(A43/12,0)</f>
        <v>4</v>
      </c>
      <c r="C43" s="40" t="n">
        <f aca="false">E42*Annahmen!$B$38/12</f>
        <v>2422.19993875894</v>
      </c>
      <c r="D43" s="40" t="n">
        <f aca="false">MIN($C$3-C43,E42)</f>
        <v>1077.80006124105</v>
      </c>
      <c r="E43" s="40" t="n">
        <f aca="false">E42-D43</f>
        <v>1161578.17054305</v>
      </c>
      <c r="F43" s="40" t="n">
        <f aca="false">H42*Annahmen!$B$39/12</f>
        <v>1893.70983716302</v>
      </c>
      <c r="G43" s="40" t="n">
        <f aca="false">MIN($F$3-F43,H42)</f>
        <v>712.95682950365</v>
      </c>
      <c r="H43" s="40" t="n">
        <f aca="false">H42-G43</f>
        <v>756770.978035703</v>
      </c>
      <c r="I43" s="40" t="n">
        <f aca="false">K42*Annahmen!$B$40/12</f>
        <v>8096.70527542304</v>
      </c>
      <c r="J43" s="40" t="n">
        <f aca="false">MIN($I$3-I43,K42)</f>
        <v>2356.78514925677</v>
      </c>
      <c r="K43" s="40" t="n">
        <f aca="false">K42-J43</f>
        <v>2426654.79747765</v>
      </c>
      <c r="L43" s="40" t="n">
        <f aca="false">C43+F43+I43</f>
        <v>12412.615051345</v>
      </c>
      <c r="M43" s="40" t="n">
        <f aca="false">D43+G43+J43</f>
        <v>4147.54204000147</v>
      </c>
      <c r="N43" s="40" t="n">
        <f aca="false">L43+M43</f>
        <v>16560.1570913465</v>
      </c>
      <c r="O43" s="40" t="n">
        <f aca="false">E43+H43+K43</f>
        <v>4345003.94605641</v>
      </c>
    </row>
    <row r="44" customFormat="false" ht="15" hidden="false" customHeight="false" outlineLevel="0" collapsed="false">
      <c r="A44" s="39" t="n">
        <v>38</v>
      </c>
      <c r="B44" s="39" t="n">
        <f aca="false">ROUNDUP(A44/12,0)</f>
        <v>4</v>
      </c>
      <c r="C44" s="40" t="n">
        <f aca="false">E43*Annahmen!$B$38/12</f>
        <v>2419.95452196469</v>
      </c>
      <c r="D44" s="40" t="n">
        <f aca="false">MIN($C$3-C44,E43)</f>
        <v>1080.04547803531</v>
      </c>
      <c r="E44" s="40" t="n">
        <f aca="false">E43-D44</f>
        <v>1160498.12506502</v>
      </c>
      <c r="F44" s="40" t="n">
        <f aca="false">H43*Annahmen!$B$39/12</f>
        <v>1891.92744508926</v>
      </c>
      <c r="G44" s="40" t="n">
        <f aca="false">MIN($F$3-F44,H43)</f>
        <v>714.739221577409</v>
      </c>
      <c r="H44" s="40" t="n">
        <f aca="false">H43-G44</f>
        <v>756056.238814125</v>
      </c>
      <c r="I44" s="40" t="n">
        <f aca="false">K43*Annahmen!$B$40/12</f>
        <v>8088.84932492551</v>
      </c>
      <c r="J44" s="40" t="n">
        <f aca="false">MIN($I$3-I44,K43)</f>
        <v>2364.64109975429</v>
      </c>
      <c r="K44" s="40" t="n">
        <f aca="false">K43-J44</f>
        <v>2424290.1563779</v>
      </c>
      <c r="L44" s="40" t="n">
        <f aca="false">C44+F44+I44</f>
        <v>12400.7312919795</v>
      </c>
      <c r="M44" s="40" t="n">
        <f aca="false">D44+G44+J44</f>
        <v>4159.425799367</v>
      </c>
      <c r="N44" s="40" t="n">
        <f aca="false">L44+M44</f>
        <v>16560.1570913465</v>
      </c>
      <c r="O44" s="40" t="n">
        <f aca="false">E44+H44+K44</f>
        <v>4340844.52025704</v>
      </c>
    </row>
    <row r="45" customFormat="false" ht="15" hidden="false" customHeight="false" outlineLevel="0" collapsed="false">
      <c r="A45" s="39" t="n">
        <v>39</v>
      </c>
      <c r="B45" s="39" t="n">
        <f aca="false">ROUNDUP(A45/12,0)</f>
        <v>4</v>
      </c>
      <c r="C45" s="40" t="n">
        <f aca="false">E44*Annahmen!$B$38/12</f>
        <v>2417.70442721879</v>
      </c>
      <c r="D45" s="40" t="n">
        <f aca="false">MIN($C$3-C45,E44)</f>
        <v>1082.29557278121</v>
      </c>
      <c r="E45" s="40" t="n">
        <f aca="false">E44-D45</f>
        <v>1159415.82949224</v>
      </c>
      <c r="F45" s="40" t="n">
        <f aca="false">H44*Annahmen!$B$39/12</f>
        <v>1890.14059703531</v>
      </c>
      <c r="G45" s="40" t="n">
        <f aca="false">MIN($F$3-F45,H44)</f>
        <v>716.526069631352</v>
      </c>
      <c r="H45" s="40" t="n">
        <f aca="false">H44-G45</f>
        <v>755339.712744494</v>
      </c>
      <c r="I45" s="40" t="n">
        <f aca="false">K44*Annahmen!$B$40/12</f>
        <v>8080.96718792633</v>
      </c>
      <c r="J45" s="40" t="n">
        <f aca="false">MIN($I$3-I45,K44)</f>
        <v>2372.52323675347</v>
      </c>
      <c r="K45" s="40" t="n">
        <f aca="false">K44-J45</f>
        <v>2421917.63314115</v>
      </c>
      <c r="L45" s="40" t="n">
        <f aca="false">C45+F45+I45</f>
        <v>12388.8122121804</v>
      </c>
      <c r="M45" s="40" t="n">
        <f aca="false">D45+G45+J45</f>
        <v>4171.34487916604</v>
      </c>
      <c r="N45" s="40" t="n">
        <f aca="false">L45+M45</f>
        <v>16560.1570913465</v>
      </c>
      <c r="O45" s="40" t="n">
        <f aca="false">E45+H45+K45</f>
        <v>4336673.17537788</v>
      </c>
    </row>
    <row r="46" customFormat="false" ht="15" hidden="false" customHeight="false" outlineLevel="0" collapsed="false">
      <c r="A46" s="39" t="n">
        <v>40</v>
      </c>
      <c r="B46" s="39" t="n">
        <f aca="false">ROUNDUP(A46/12,0)</f>
        <v>4</v>
      </c>
      <c r="C46" s="40" t="n">
        <f aca="false">E45*Annahmen!$B$38/12</f>
        <v>2415.44964477549</v>
      </c>
      <c r="D46" s="40" t="n">
        <f aca="false">MIN($C$3-C46,E45)</f>
        <v>1084.55035522451</v>
      </c>
      <c r="E46" s="40" t="n">
        <f aca="false">E45-D46</f>
        <v>1158331.27913701</v>
      </c>
      <c r="F46" s="40" t="n">
        <f aca="false">H45*Annahmen!$B$39/12</f>
        <v>1888.34928186123</v>
      </c>
      <c r="G46" s="40" t="n">
        <f aca="false">MIN($F$3-F46,H45)</f>
        <v>718.317384805431</v>
      </c>
      <c r="H46" s="40" t="n">
        <f aca="false">H45-G46</f>
        <v>754621.395359689</v>
      </c>
      <c r="I46" s="40" t="n">
        <f aca="false">K45*Annahmen!$B$40/12</f>
        <v>8073.05877713715</v>
      </c>
      <c r="J46" s="40" t="n">
        <f aca="false">MIN($I$3-I46,K45)</f>
        <v>2380.43164754265</v>
      </c>
      <c r="K46" s="40" t="n">
        <f aca="false">K45-J46</f>
        <v>2419537.2014936</v>
      </c>
      <c r="L46" s="40" t="n">
        <f aca="false">C46+F46+I46</f>
        <v>12376.8577037739</v>
      </c>
      <c r="M46" s="40" t="n">
        <f aca="false">D46+G46+J46</f>
        <v>4183.29938757259</v>
      </c>
      <c r="N46" s="40" t="n">
        <f aca="false">L46+M46</f>
        <v>16560.1570913465</v>
      </c>
      <c r="O46" s="40" t="n">
        <f aca="false">E46+H46+K46</f>
        <v>4332489.8759903</v>
      </c>
    </row>
    <row r="47" customFormat="false" ht="15" hidden="false" customHeight="false" outlineLevel="0" collapsed="false">
      <c r="A47" s="39" t="n">
        <v>41</v>
      </c>
      <c r="B47" s="39" t="n">
        <f aca="false">ROUNDUP(A47/12,0)</f>
        <v>4</v>
      </c>
      <c r="C47" s="40" t="n">
        <f aca="false">E46*Annahmen!$B$38/12</f>
        <v>2413.19016486877</v>
      </c>
      <c r="D47" s="40" t="n">
        <f aca="false">MIN($C$3-C47,E46)</f>
        <v>1086.80983513122</v>
      </c>
      <c r="E47" s="40" t="n">
        <f aca="false">E46-D47</f>
        <v>1157244.46930188</v>
      </c>
      <c r="F47" s="40" t="n">
        <f aca="false">H46*Annahmen!$B$39/12</f>
        <v>1886.55348839922</v>
      </c>
      <c r="G47" s="40" t="n">
        <f aca="false">MIN($F$3-F47,H46)</f>
        <v>720.113178267444</v>
      </c>
      <c r="H47" s="40" t="n">
        <f aca="false">H46-G47</f>
        <v>753901.282181421</v>
      </c>
      <c r="I47" s="40" t="n">
        <f aca="false">K46*Annahmen!$B$40/12</f>
        <v>8065.12400497868</v>
      </c>
      <c r="J47" s="40" t="n">
        <f aca="false">MIN($I$3-I47,K46)</f>
        <v>2388.36641970113</v>
      </c>
      <c r="K47" s="40" t="n">
        <f aca="false">K46-J47</f>
        <v>2417148.8350739</v>
      </c>
      <c r="L47" s="40" t="n">
        <f aca="false">C47+F47+I47</f>
        <v>12364.8676582467</v>
      </c>
      <c r="M47" s="40" t="n">
        <f aca="false">D47+G47+J47</f>
        <v>4195.28943309979</v>
      </c>
      <c r="N47" s="40" t="n">
        <f aca="false">L47+M47</f>
        <v>16560.1570913465</v>
      </c>
      <c r="O47" s="40" t="n">
        <f aca="false">E47+H47+K47</f>
        <v>4328294.5865572</v>
      </c>
    </row>
    <row r="48" customFormat="false" ht="15" hidden="false" customHeight="false" outlineLevel="0" collapsed="false">
      <c r="A48" s="39" t="n">
        <v>42</v>
      </c>
      <c r="B48" s="39" t="n">
        <f aca="false">ROUNDUP(A48/12,0)</f>
        <v>4</v>
      </c>
      <c r="C48" s="40" t="n">
        <f aca="false">E47*Annahmen!$B$38/12</f>
        <v>2410.92597771225</v>
      </c>
      <c r="D48" s="40" t="n">
        <f aca="false">MIN($C$3-C48,E47)</f>
        <v>1089.07402228775</v>
      </c>
      <c r="E48" s="40" t="n">
        <f aca="false">E47-D48</f>
        <v>1156155.39527959</v>
      </c>
      <c r="F48" s="40" t="n">
        <f aca="false">H47*Annahmen!$B$39/12</f>
        <v>1884.75320545355</v>
      </c>
      <c r="G48" s="40" t="n">
        <f aca="false">MIN($F$3-F48,H47)</f>
        <v>721.913461213113</v>
      </c>
      <c r="H48" s="40" t="n">
        <f aca="false">H47-G48</f>
        <v>753179.368720208</v>
      </c>
      <c r="I48" s="40" t="n">
        <f aca="false">K47*Annahmen!$B$40/12</f>
        <v>8057.16278357967</v>
      </c>
      <c r="J48" s="40" t="n">
        <f aca="false">MIN($I$3-I48,K47)</f>
        <v>2396.32764110013</v>
      </c>
      <c r="K48" s="40" t="n">
        <f aca="false">K47-J48</f>
        <v>2414752.5074328</v>
      </c>
      <c r="L48" s="40" t="n">
        <f aca="false">C48+F48+I48</f>
        <v>12352.8419667455</v>
      </c>
      <c r="M48" s="40" t="n">
        <f aca="false">D48+G48+J48</f>
        <v>4207.31512460099</v>
      </c>
      <c r="N48" s="40" t="n">
        <f aca="false">L48+M48</f>
        <v>16560.1570913465</v>
      </c>
      <c r="O48" s="40" t="n">
        <f aca="false">E48+H48+K48</f>
        <v>4324087.2714326</v>
      </c>
    </row>
    <row r="49" customFormat="false" ht="15" hidden="false" customHeight="false" outlineLevel="0" collapsed="false">
      <c r="A49" s="39" t="n">
        <v>43</v>
      </c>
      <c r="B49" s="39" t="n">
        <f aca="false">ROUNDUP(A49/12,0)</f>
        <v>4</v>
      </c>
      <c r="C49" s="40" t="n">
        <f aca="false">E48*Annahmen!$B$38/12</f>
        <v>2408.65707349915</v>
      </c>
      <c r="D49" s="40" t="n">
        <f aca="false">MIN($C$3-C49,E48)</f>
        <v>1091.34292650085</v>
      </c>
      <c r="E49" s="40" t="n">
        <f aca="false">E48-D49</f>
        <v>1155064.05235309</v>
      </c>
      <c r="F49" s="40" t="n">
        <f aca="false">H48*Annahmen!$B$39/12</f>
        <v>1882.94842180052</v>
      </c>
      <c r="G49" s="40" t="n">
        <f aca="false">MIN($F$3-F49,H48)</f>
        <v>723.718244866146</v>
      </c>
      <c r="H49" s="40" t="n">
        <f aca="false">H48-G49</f>
        <v>752455.650475342</v>
      </c>
      <c r="I49" s="40" t="n">
        <f aca="false">K48*Annahmen!$B$40/12</f>
        <v>8049.17502477601</v>
      </c>
      <c r="J49" s="40" t="n">
        <f aca="false">MIN($I$3-I49,K48)</f>
        <v>2404.31539990379</v>
      </c>
      <c r="K49" s="40" t="n">
        <f aca="false">K48-J49</f>
        <v>2412348.1920329</v>
      </c>
      <c r="L49" s="40" t="n">
        <f aca="false">C49+F49+I49</f>
        <v>12340.7805200757</v>
      </c>
      <c r="M49" s="40" t="n">
        <f aca="false">D49+G49+J49</f>
        <v>4219.37657127079</v>
      </c>
      <c r="N49" s="40" t="n">
        <f aca="false">L49+M49</f>
        <v>16560.1570913465</v>
      </c>
      <c r="O49" s="40" t="n">
        <f aca="false">E49+H49+K49</f>
        <v>4319867.89486133</v>
      </c>
    </row>
    <row r="50" customFormat="false" ht="15" hidden="false" customHeight="false" outlineLevel="0" collapsed="false">
      <c r="A50" s="39" t="n">
        <v>44</v>
      </c>
      <c r="B50" s="39" t="n">
        <f aca="false">ROUNDUP(A50/12,0)</f>
        <v>4</v>
      </c>
      <c r="C50" s="40" t="n">
        <f aca="false">E49*Annahmen!$B$38/12</f>
        <v>2406.38344240227</v>
      </c>
      <c r="D50" s="40" t="n">
        <f aca="false">MIN($C$3-C50,E49)</f>
        <v>1093.61655759772</v>
      </c>
      <c r="E50" s="40" t="n">
        <f aca="false">E49-D50</f>
        <v>1153970.43579549</v>
      </c>
      <c r="F50" s="40" t="n">
        <f aca="false">H49*Annahmen!$B$39/12</f>
        <v>1881.13912618835</v>
      </c>
      <c r="G50" s="40" t="n">
        <f aca="false">MIN($F$3-F50,H49)</f>
        <v>725.527540478311</v>
      </c>
      <c r="H50" s="40" t="n">
        <f aca="false">H49-G50</f>
        <v>751730.122934864</v>
      </c>
      <c r="I50" s="40" t="n">
        <f aca="false">K49*Annahmen!$B$40/12</f>
        <v>8041.16064010966</v>
      </c>
      <c r="J50" s="40" t="n">
        <f aca="false">MIN($I$3-I50,K49)</f>
        <v>2412.32978457014</v>
      </c>
      <c r="K50" s="40" t="n">
        <f aca="false">K49-J50</f>
        <v>2409935.86224833</v>
      </c>
      <c r="L50" s="40" t="n">
        <f aca="false">C50+F50+I50</f>
        <v>12328.6832087003</v>
      </c>
      <c r="M50" s="40" t="n">
        <f aca="false">D50+G50+J50</f>
        <v>4231.47388264618</v>
      </c>
      <c r="N50" s="40" t="n">
        <f aca="false">L50+M50</f>
        <v>16560.1570913465</v>
      </c>
      <c r="O50" s="40" t="n">
        <f aca="false">E50+H50+K50</f>
        <v>4315636.42097869</v>
      </c>
    </row>
    <row r="51" customFormat="false" ht="15" hidden="false" customHeight="false" outlineLevel="0" collapsed="false">
      <c r="A51" s="39" t="n">
        <v>45</v>
      </c>
      <c r="B51" s="39" t="n">
        <f aca="false">ROUNDUP(A51/12,0)</f>
        <v>4</v>
      </c>
      <c r="C51" s="40" t="n">
        <f aca="false">E50*Annahmen!$B$38/12</f>
        <v>2404.10507457395</v>
      </c>
      <c r="D51" s="40" t="n">
        <f aca="false">MIN($C$3-C51,E50)</f>
        <v>1095.89492542605</v>
      </c>
      <c r="E51" s="40" t="n">
        <f aca="false">E50-D51</f>
        <v>1152874.54087007</v>
      </c>
      <c r="F51" s="40" t="n">
        <f aca="false">H50*Annahmen!$B$39/12</f>
        <v>1879.32530733716</v>
      </c>
      <c r="G51" s="40" t="n">
        <f aca="false">MIN($F$3-F51,H50)</f>
        <v>727.341359329507</v>
      </c>
      <c r="H51" s="40" t="n">
        <f aca="false">H50-G51</f>
        <v>751002.781575534</v>
      </c>
      <c r="I51" s="40" t="n">
        <f aca="false">K50*Annahmen!$B$40/12</f>
        <v>8033.11954082776</v>
      </c>
      <c r="J51" s="40" t="n">
        <f aca="false">MIN($I$3-I51,K50)</f>
        <v>2420.37088385204</v>
      </c>
      <c r="K51" s="40" t="n">
        <f aca="false">K50-J51</f>
        <v>2407515.49136448</v>
      </c>
      <c r="L51" s="40" t="n">
        <f aca="false">C51+F51+I51</f>
        <v>12316.5499227389</v>
      </c>
      <c r="M51" s="40" t="n">
        <f aca="false">D51+G51+J51</f>
        <v>4243.6071686076</v>
      </c>
      <c r="N51" s="40" t="n">
        <f aca="false">L51+M51</f>
        <v>16560.1570913465</v>
      </c>
      <c r="O51" s="40" t="n">
        <f aca="false">E51+H51+K51</f>
        <v>4311392.81381008</v>
      </c>
    </row>
    <row r="52" customFormat="false" ht="15" hidden="false" customHeight="false" outlineLevel="0" collapsed="false">
      <c r="A52" s="39" t="n">
        <v>46</v>
      </c>
      <c r="B52" s="39" t="n">
        <f aca="false">ROUNDUP(A52/12,0)</f>
        <v>4</v>
      </c>
      <c r="C52" s="40" t="n">
        <f aca="false">E51*Annahmen!$B$38/12</f>
        <v>2401.82196014598</v>
      </c>
      <c r="D52" s="40" t="n">
        <f aca="false">MIN($C$3-C52,E51)</f>
        <v>1098.17803985402</v>
      </c>
      <c r="E52" s="40" t="n">
        <f aca="false">E51-D52</f>
        <v>1151776.36283021</v>
      </c>
      <c r="F52" s="40" t="n">
        <f aca="false">H51*Annahmen!$B$39/12</f>
        <v>1877.50695393884</v>
      </c>
      <c r="G52" s="40" t="n">
        <f aca="false">MIN($F$3-F52,H51)</f>
        <v>729.159712727831</v>
      </c>
      <c r="H52" s="40" t="n">
        <f aca="false">H51-G52</f>
        <v>750273.621862806</v>
      </c>
      <c r="I52" s="40" t="n">
        <f aca="false">K51*Annahmen!$B$40/12</f>
        <v>8025.05163788159</v>
      </c>
      <c r="J52" s="40" t="n">
        <f aca="false">MIN($I$3-I52,K51)</f>
        <v>2428.43878679822</v>
      </c>
      <c r="K52" s="40" t="n">
        <f aca="false">K51-J52</f>
        <v>2405087.05257768</v>
      </c>
      <c r="L52" s="40" t="n">
        <f aca="false">C52+F52+I52</f>
        <v>12304.3805519664</v>
      </c>
      <c r="M52" s="40" t="n">
        <f aca="false">D52+G52+J52</f>
        <v>4255.77653938007</v>
      </c>
      <c r="N52" s="40" t="n">
        <f aca="false">L52+M52</f>
        <v>16560.1570913465</v>
      </c>
      <c r="O52" s="40" t="n">
        <f aca="false">E52+H52+K52</f>
        <v>4307137.0372707</v>
      </c>
    </row>
    <row r="53" customFormat="false" ht="15" hidden="false" customHeight="false" outlineLevel="0" collapsed="false">
      <c r="A53" s="39" t="n">
        <v>47</v>
      </c>
      <c r="B53" s="39" t="n">
        <f aca="false">ROUNDUP(A53/12,0)</f>
        <v>4</v>
      </c>
      <c r="C53" s="40" t="n">
        <f aca="false">E52*Annahmen!$B$38/12</f>
        <v>2399.53408922961</v>
      </c>
      <c r="D53" s="40" t="n">
        <f aca="false">MIN($C$3-C53,E52)</f>
        <v>1100.46591077039</v>
      </c>
      <c r="E53" s="40" t="n">
        <f aca="false">E52-D53</f>
        <v>1150675.89691944</v>
      </c>
      <c r="F53" s="40" t="n">
        <f aca="false">H52*Annahmen!$B$39/12</f>
        <v>1875.68405465702</v>
      </c>
      <c r="G53" s="40" t="n">
        <f aca="false">MIN($F$3-F53,H52)</f>
        <v>730.98261200965</v>
      </c>
      <c r="H53" s="40" t="n">
        <f aca="false">H52-G53</f>
        <v>749542.639250797</v>
      </c>
      <c r="I53" s="40" t="n">
        <f aca="false">K52*Annahmen!$B$40/12</f>
        <v>8016.95684192559</v>
      </c>
      <c r="J53" s="40" t="n">
        <f aca="false">MIN($I$3-I53,K52)</f>
        <v>2436.53358275421</v>
      </c>
      <c r="K53" s="40" t="n">
        <f aca="false">K52-J53</f>
        <v>2402650.51899492</v>
      </c>
      <c r="L53" s="40" t="n">
        <f aca="false">C53+F53+I53</f>
        <v>12292.1749858122</v>
      </c>
      <c r="M53" s="40" t="n">
        <f aca="false">D53+G53+J53</f>
        <v>4267.98210553425</v>
      </c>
      <c r="N53" s="40" t="n">
        <f aca="false">L53+M53</f>
        <v>16560.1570913465</v>
      </c>
      <c r="O53" s="40" t="n">
        <f aca="false">E53+H53+K53</f>
        <v>4302869.05516516</v>
      </c>
    </row>
    <row r="54" customFormat="false" ht="15" hidden="false" customHeight="false" outlineLevel="0" collapsed="false">
      <c r="A54" s="39" t="n">
        <v>48</v>
      </c>
      <c r="B54" s="39" t="n">
        <f aca="false">ROUNDUP(A54/12,0)</f>
        <v>4</v>
      </c>
      <c r="C54" s="40" t="n">
        <f aca="false">E53*Annahmen!$B$38/12</f>
        <v>2397.24145191551</v>
      </c>
      <c r="D54" s="40" t="n">
        <f aca="false">MIN($C$3-C54,E53)</f>
        <v>1102.75854808449</v>
      </c>
      <c r="E54" s="40" t="n">
        <f aca="false">E53-D54</f>
        <v>1149573.13837136</v>
      </c>
      <c r="F54" s="40" t="n">
        <f aca="false">H53*Annahmen!$B$39/12</f>
        <v>1873.85659812699</v>
      </c>
      <c r="G54" s="40" t="n">
        <f aca="false">MIN($F$3-F54,H53)</f>
        <v>732.810068539674</v>
      </c>
      <c r="H54" s="40" t="n">
        <f aca="false">H53-G54</f>
        <v>748809.829182257</v>
      </c>
      <c r="I54" s="40" t="n">
        <f aca="false">K53*Annahmen!$B$40/12</f>
        <v>8008.83506331641</v>
      </c>
      <c r="J54" s="40" t="n">
        <f aca="false">MIN($I$3-I54,K53)</f>
        <v>2444.65536136339</v>
      </c>
      <c r="K54" s="40" t="n">
        <f aca="false">K53-J54</f>
        <v>2400205.86363356</v>
      </c>
      <c r="L54" s="40" t="n">
        <f aca="false">C54+F54+I54</f>
        <v>12279.9331133589</v>
      </c>
      <c r="M54" s="40" t="n">
        <f aca="false">D54+G54+J54</f>
        <v>4280.22397798756</v>
      </c>
      <c r="N54" s="40" t="n">
        <f aca="false">L54+M54</f>
        <v>16560.1570913465</v>
      </c>
      <c r="O54" s="40" t="n">
        <f aca="false">E54+H54+K54</f>
        <v>4298588.83118718</v>
      </c>
    </row>
    <row r="55" customFormat="false" ht="15" hidden="false" customHeight="false" outlineLevel="0" collapsed="false">
      <c r="A55" s="39" t="n">
        <v>49</v>
      </c>
      <c r="B55" s="39" t="n">
        <f aca="false">ROUNDUP(A55/12,0)</f>
        <v>5</v>
      </c>
      <c r="C55" s="40" t="n">
        <f aca="false">E54*Annahmen!$B$38/12</f>
        <v>2394.94403827367</v>
      </c>
      <c r="D55" s="40" t="n">
        <f aca="false">MIN($C$3-C55,E54)</f>
        <v>1105.05596172633</v>
      </c>
      <c r="E55" s="40" t="n">
        <f aca="false">E54-D55</f>
        <v>1148468.08240963</v>
      </c>
      <c r="F55" s="40" t="n">
        <f aca="false">H54*Annahmen!$B$39/12</f>
        <v>1872.02457295564</v>
      </c>
      <c r="G55" s="40" t="n">
        <f aca="false">MIN($F$3-F55,H54)</f>
        <v>734.642093711024</v>
      </c>
      <c r="H55" s="40" t="n">
        <f aca="false">H54-G55</f>
        <v>748075.187088546</v>
      </c>
      <c r="I55" s="40" t="n">
        <f aca="false">K54*Annahmen!$B$40/12</f>
        <v>8000.68621211187</v>
      </c>
      <c r="J55" s="40" t="n">
        <f aca="false">MIN($I$3-I55,K54)</f>
        <v>2452.80421256793</v>
      </c>
      <c r="K55" s="40" t="n">
        <f aca="false">K54-J55</f>
        <v>2397753.05942099</v>
      </c>
      <c r="L55" s="40" t="n">
        <f aca="false">C55+F55+I55</f>
        <v>12267.6548233412</v>
      </c>
      <c r="M55" s="40" t="n">
        <f aca="false">D55+G55+J55</f>
        <v>4292.50226800529</v>
      </c>
      <c r="N55" s="40" t="n">
        <f aca="false">L55+M55</f>
        <v>16560.1570913465</v>
      </c>
      <c r="O55" s="40" t="n">
        <f aca="false">E55+H55+K55</f>
        <v>4294296.32891917</v>
      </c>
    </row>
    <row r="56" customFormat="false" ht="15" hidden="false" customHeight="false" outlineLevel="0" collapsed="false">
      <c r="A56" s="39" t="n">
        <v>50</v>
      </c>
      <c r="B56" s="39" t="n">
        <f aca="false">ROUNDUP(A56/12,0)</f>
        <v>5</v>
      </c>
      <c r="C56" s="40" t="n">
        <f aca="false">E55*Annahmen!$B$38/12</f>
        <v>2392.6418383534</v>
      </c>
      <c r="D56" s="40" t="n">
        <f aca="false">MIN($C$3-C56,E55)</f>
        <v>1107.3581616466</v>
      </c>
      <c r="E56" s="40" t="n">
        <f aca="false">E55-D56</f>
        <v>1147360.72424799</v>
      </c>
      <c r="F56" s="40" t="n">
        <f aca="false">H55*Annahmen!$B$39/12</f>
        <v>1870.18796772136</v>
      </c>
      <c r="G56" s="40" t="n">
        <f aca="false">MIN($F$3-F56,H55)</f>
        <v>736.478698945301</v>
      </c>
      <c r="H56" s="40" t="n">
        <f aca="false">H55-G56</f>
        <v>747338.708389601</v>
      </c>
      <c r="I56" s="40" t="n">
        <f aca="false">K55*Annahmen!$B$40/12</f>
        <v>7992.51019806997</v>
      </c>
      <c r="J56" s="40" t="n">
        <f aca="false">MIN($I$3-I56,K55)</f>
        <v>2460.98022660983</v>
      </c>
      <c r="K56" s="40" t="n">
        <f aca="false">K55-J56</f>
        <v>2395292.07919438</v>
      </c>
      <c r="L56" s="40" t="n">
        <f aca="false">C56+F56+I56</f>
        <v>12255.3400041447</v>
      </c>
      <c r="M56" s="40" t="n">
        <f aca="false">D56+G56+J56</f>
        <v>4304.81708720173</v>
      </c>
      <c r="N56" s="40" t="n">
        <f aca="false">L56+M56</f>
        <v>16560.1570913465</v>
      </c>
      <c r="O56" s="40" t="n">
        <f aca="false">E56+H56+K56</f>
        <v>4289991.51183197</v>
      </c>
    </row>
    <row r="57" customFormat="false" ht="15" hidden="false" customHeight="false" outlineLevel="0" collapsed="false">
      <c r="A57" s="39" t="n">
        <v>51</v>
      </c>
      <c r="B57" s="39" t="n">
        <f aca="false">ROUNDUP(A57/12,0)</f>
        <v>5</v>
      </c>
      <c r="C57" s="40" t="n">
        <f aca="false">E56*Annahmen!$B$38/12</f>
        <v>2390.3348421833</v>
      </c>
      <c r="D57" s="40" t="n">
        <f aca="false">MIN($C$3-C57,E56)</f>
        <v>1109.66515781669</v>
      </c>
      <c r="E57" s="40" t="n">
        <f aca="false">E56-D57</f>
        <v>1146251.05909017</v>
      </c>
      <c r="F57" s="40" t="n">
        <f aca="false">H56*Annahmen!$B$39/12</f>
        <v>1868.346770974</v>
      </c>
      <c r="G57" s="40" t="n">
        <f aca="false">MIN($F$3-F57,H56)</f>
        <v>738.319895692664</v>
      </c>
      <c r="H57" s="40" t="n">
        <f aca="false">H56-G57</f>
        <v>746600.388493908</v>
      </c>
      <c r="I57" s="40" t="n">
        <f aca="false">K56*Annahmen!$B$40/12</f>
        <v>7984.30693064794</v>
      </c>
      <c r="J57" s="40" t="n">
        <f aca="false">MIN($I$3-I57,K56)</f>
        <v>2469.18349403186</v>
      </c>
      <c r="K57" s="40" t="n">
        <f aca="false">K56-J57</f>
        <v>2392822.89570035</v>
      </c>
      <c r="L57" s="40" t="n">
        <f aca="false">C57+F57+I57</f>
        <v>12242.9885438052</v>
      </c>
      <c r="M57" s="40" t="n">
        <f aca="false">D57+G57+J57</f>
        <v>4317.16854754122</v>
      </c>
      <c r="N57" s="40" t="n">
        <f aca="false">L57+M57</f>
        <v>16560.1570913465</v>
      </c>
      <c r="O57" s="40" t="n">
        <f aca="false">E57+H57+K57</f>
        <v>4285674.34328443</v>
      </c>
    </row>
    <row r="58" customFormat="false" ht="15" hidden="false" customHeight="false" outlineLevel="0" collapsed="false">
      <c r="A58" s="39" t="n">
        <v>52</v>
      </c>
      <c r="B58" s="39" t="n">
        <f aca="false">ROUNDUP(A58/12,0)</f>
        <v>5</v>
      </c>
      <c r="C58" s="40" t="n">
        <f aca="false">E57*Annahmen!$B$38/12</f>
        <v>2388.02303977119</v>
      </c>
      <c r="D58" s="40" t="n">
        <f aca="false">MIN($C$3-C58,E57)</f>
        <v>1111.97696022881</v>
      </c>
      <c r="E58" s="40" t="n">
        <f aca="false">E57-D58</f>
        <v>1145139.08212994</v>
      </c>
      <c r="F58" s="40" t="n">
        <f aca="false">H57*Annahmen!$B$39/12</f>
        <v>1866.50097123477</v>
      </c>
      <c r="G58" s="40" t="n">
        <f aca="false">MIN($F$3-F58,H57)</f>
        <v>740.165695431896</v>
      </c>
      <c r="H58" s="40" t="n">
        <f aca="false">H57-G58</f>
        <v>745860.222798476</v>
      </c>
      <c r="I58" s="40" t="n">
        <f aca="false">K57*Annahmen!$B$40/12</f>
        <v>7976.07631900117</v>
      </c>
      <c r="J58" s="40" t="n">
        <f aca="false">MIN($I$3-I58,K57)</f>
        <v>2477.41410567863</v>
      </c>
      <c r="K58" s="40" t="n">
        <f aca="false">K57-J58</f>
        <v>2390345.48159467</v>
      </c>
      <c r="L58" s="40" t="n">
        <f aca="false">C58+F58+I58</f>
        <v>12230.6003300071</v>
      </c>
      <c r="M58" s="40" t="n">
        <f aca="false">D58+G58+J58</f>
        <v>4329.55676133934</v>
      </c>
      <c r="N58" s="40" t="n">
        <f aca="false">L58+M58</f>
        <v>16560.1570913465</v>
      </c>
      <c r="O58" s="40" t="n">
        <f aca="false">E58+H58+K58</f>
        <v>4281344.78652309</v>
      </c>
    </row>
    <row r="59" customFormat="false" ht="15" hidden="false" customHeight="false" outlineLevel="0" collapsed="false">
      <c r="A59" s="39" t="n">
        <v>53</v>
      </c>
      <c r="B59" s="39" t="n">
        <f aca="false">ROUNDUP(A59/12,0)</f>
        <v>5</v>
      </c>
      <c r="C59" s="40" t="n">
        <f aca="false">E58*Annahmen!$B$38/12</f>
        <v>2385.70642110404</v>
      </c>
      <c r="D59" s="40" t="n">
        <f aca="false">MIN($C$3-C59,E58)</f>
        <v>1114.29357889595</v>
      </c>
      <c r="E59" s="40" t="n">
        <f aca="false">E58-D59</f>
        <v>1144024.78855104</v>
      </c>
      <c r="F59" s="40" t="n">
        <f aca="false">H58*Annahmen!$B$39/12</f>
        <v>1864.65055699619</v>
      </c>
      <c r="G59" s="40" t="n">
        <f aca="false">MIN($F$3-F59,H58)</f>
        <v>742.016109670476</v>
      </c>
      <c r="H59" s="40" t="n">
        <f aca="false">H58-G59</f>
        <v>745118.206688806</v>
      </c>
      <c r="I59" s="40" t="n">
        <f aca="false">K58*Annahmen!$B$40/12</f>
        <v>7967.81827198224</v>
      </c>
      <c r="J59" s="40" t="n">
        <f aca="false">MIN($I$3-I59,K58)</f>
        <v>2485.67215269756</v>
      </c>
      <c r="K59" s="40" t="n">
        <f aca="false">K58-J59</f>
        <v>2387859.80944197</v>
      </c>
      <c r="L59" s="40" t="n">
        <f aca="false">C59+F59+I59</f>
        <v>12218.1752500825</v>
      </c>
      <c r="M59" s="40" t="n">
        <f aca="false">D59+G59+J59</f>
        <v>4341.98184126399</v>
      </c>
      <c r="N59" s="40" t="n">
        <f aca="false">L59+M59</f>
        <v>16560.1570913465</v>
      </c>
      <c r="O59" s="40" t="n">
        <f aca="false">E59+H59+K59</f>
        <v>4277002.80468182</v>
      </c>
    </row>
    <row r="60" customFormat="false" ht="15" hidden="false" customHeight="false" outlineLevel="0" collapsed="false">
      <c r="A60" s="39" t="n">
        <v>54</v>
      </c>
      <c r="B60" s="39" t="n">
        <f aca="false">ROUNDUP(A60/12,0)</f>
        <v>5</v>
      </c>
      <c r="C60" s="40" t="n">
        <f aca="false">E59*Annahmen!$B$38/12</f>
        <v>2383.38497614801</v>
      </c>
      <c r="D60" s="40" t="n">
        <f aca="false">MIN($C$3-C60,E59)</f>
        <v>1116.61502385199</v>
      </c>
      <c r="E60" s="40" t="n">
        <f aca="false">E59-D60</f>
        <v>1142908.17352719</v>
      </c>
      <c r="F60" s="40" t="n">
        <f aca="false">H59*Annahmen!$B$39/12</f>
        <v>1862.79551672201</v>
      </c>
      <c r="G60" s="40" t="n">
        <f aca="false">MIN($F$3-F60,H59)</f>
        <v>743.871149944652</v>
      </c>
      <c r="H60" s="40" t="n">
        <f aca="false">H59-G60</f>
        <v>744374.335538861</v>
      </c>
      <c r="I60" s="40" t="n">
        <f aca="false">K59*Annahmen!$B$40/12</f>
        <v>7959.53269813992</v>
      </c>
      <c r="J60" s="40" t="n">
        <f aca="false">MIN($I$3-I60,K59)</f>
        <v>2493.95772653989</v>
      </c>
      <c r="K60" s="40" t="n">
        <f aca="false">K59-J60</f>
        <v>2385365.85171543</v>
      </c>
      <c r="L60" s="40" t="n">
        <f aca="false">C60+F60+I60</f>
        <v>12205.7131910099</v>
      </c>
      <c r="M60" s="40" t="n">
        <f aca="false">D60+G60+J60</f>
        <v>4354.44390033653</v>
      </c>
      <c r="N60" s="40" t="n">
        <f aca="false">L60+M60</f>
        <v>16560.1570913465</v>
      </c>
      <c r="O60" s="40" t="n">
        <f aca="false">E60+H60+K60</f>
        <v>4272648.36078149</v>
      </c>
    </row>
    <row r="61" customFormat="false" ht="15" hidden="false" customHeight="false" outlineLevel="0" collapsed="false">
      <c r="A61" s="39" t="n">
        <v>55</v>
      </c>
      <c r="B61" s="39" t="n">
        <f aca="false">ROUNDUP(A61/12,0)</f>
        <v>5</v>
      </c>
      <c r="C61" s="40" t="n">
        <f aca="false">E60*Annahmen!$B$38/12</f>
        <v>2381.05869484832</v>
      </c>
      <c r="D61" s="40" t="n">
        <f aca="false">MIN($C$3-C61,E60)</f>
        <v>1118.94130515168</v>
      </c>
      <c r="E61" s="40" t="n">
        <f aca="false">E60-D61</f>
        <v>1141789.23222204</v>
      </c>
      <c r="F61" s="40" t="n">
        <f aca="false">H60*Annahmen!$B$39/12</f>
        <v>1860.93583884715</v>
      </c>
      <c r="G61" s="40" t="n">
        <f aca="false">MIN($F$3-F61,H60)</f>
        <v>745.730827819514</v>
      </c>
      <c r="H61" s="40" t="n">
        <f aca="false">H60-G61</f>
        <v>743628.604711041</v>
      </c>
      <c r="I61" s="40" t="n">
        <f aca="false">K60*Annahmen!$B$40/12</f>
        <v>7951.21950571812</v>
      </c>
      <c r="J61" s="40" t="n">
        <f aca="false">MIN($I$3-I61,K60)</f>
        <v>2502.27091896169</v>
      </c>
      <c r="K61" s="40" t="n">
        <f aca="false">K60-J61</f>
        <v>2382863.58079647</v>
      </c>
      <c r="L61" s="40" t="n">
        <f aca="false">C61+F61+I61</f>
        <v>12193.2140394136</v>
      </c>
      <c r="M61" s="40" t="n">
        <f aca="false">D61+G61+J61</f>
        <v>4366.94305193288</v>
      </c>
      <c r="N61" s="40" t="n">
        <f aca="false">L61+M61</f>
        <v>16560.1570913465</v>
      </c>
      <c r="O61" s="40" t="n">
        <f aca="false">E61+H61+K61</f>
        <v>4268281.41772956</v>
      </c>
    </row>
    <row r="62" customFormat="false" ht="15" hidden="false" customHeight="false" outlineLevel="0" collapsed="false">
      <c r="A62" s="39" t="n">
        <v>56</v>
      </c>
      <c r="B62" s="39" t="n">
        <f aca="false">ROUNDUP(A62/12,0)</f>
        <v>5</v>
      </c>
      <c r="C62" s="40" t="n">
        <f aca="false">E61*Annahmen!$B$38/12</f>
        <v>2378.72756712925</v>
      </c>
      <c r="D62" s="40" t="n">
        <f aca="false">MIN($C$3-C62,E61)</f>
        <v>1121.27243287075</v>
      </c>
      <c r="E62" s="40" t="n">
        <f aca="false">E61-D62</f>
        <v>1140667.95978917</v>
      </c>
      <c r="F62" s="40" t="n">
        <f aca="false">H61*Annahmen!$B$39/12</f>
        <v>1859.0715117776</v>
      </c>
      <c r="G62" s="40" t="n">
        <f aca="false">MIN($F$3-F62,H61)</f>
        <v>747.595154889062</v>
      </c>
      <c r="H62" s="40" t="n">
        <f aca="false">H61-G62</f>
        <v>742881.009556152</v>
      </c>
      <c r="I62" s="40" t="n">
        <f aca="false">K61*Annahmen!$B$40/12</f>
        <v>7942.87860265491</v>
      </c>
      <c r="J62" s="40" t="n">
        <f aca="false">MIN($I$3-I62,K61)</f>
        <v>2510.61182202489</v>
      </c>
      <c r="K62" s="40" t="n">
        <f aca="false">K61-J62</f>
        <v>2380352.96897445</v>
      </c>
      <c r="L62" s="40" t="n">
        <f aca="false">C62+F62+I62</f>
        <v>12180.6776815618</v>
      </c>
      <c r="M62" s="40" t="n">
        <f aca="false">D62+G62+J62</f>
        <v>4379.4794097847</v>
      </c>
      <c r="N62" s="40" t="n">
        <f aca="false">L62+M62</f>
        <v>16560.1570913465</v>
      </c>
      <c r="O62" s="40" t="n">
        <f aca="false">E62+H62+K62</f>
        <v>4263901.93831977</v>
      </c>
    </row>
    <row r="63" customFormat="false" ht="15" hidden="false" customHeight="false" outlineLevel="0" collapsed="false">
      <c r="A63" s="39" t="n">
        <v>57</v>
      </c>
      <c r="B63" s="39" t="n">
        <f aca="false">ROUNDUP(A63/12,0)</f>
        <v>5</v>
      </c>
      <c r="C63" s="40" t="n">
        <f aca="false">E62*Annahmen!$B$38/12</f>
        <v>2376.39158289411</v>
      </c>
      <c r="D63" s="40" t="n">
        <f aca="false">MIN($C$3-C63,E62)</f>
        <v>1123.60841710589</v>
      </c>
      <c r="E63" s="40" t="n">
        <f aca="false">E62-D63</f>
        <v>1139544.35137206</v>
      </c>
      <c r="F63" s="40" t="n">
        <f aca="false">H62*Annahmen!$B$39/12</f>
        <v>1857.20252389038</v>
      </c>
      <c r="G63" s="40" t="n">
        <f aca="false">MIN($F$3-F63,H62)</f>
        <v>749.464142776285</v>
      </c>
      <c r="H63" s="40" t="n">
        <f aca="false">H62-G63</f>
        <v>742131.545413376</v>
      </c>
      <c r="I63" s="40" t="n">
        <f aca="false">K62*Annahmen!$B$40/12</f>
        <v>7934.50989658149</v>
      </c>
      <c r="J63" s="40" t="n">
        <f aca="false">MIN($I$3-I63,K62)</f>
        <v>2518.98052809831</v>
      </c>
      <c r="K63" s="40" t="n">
        <f aca="false">K62-J63</f>
        <v>2377833.98844635</v>
      </c>
      <c r="L63" s="40" t="n">
        <f aca="false">C63+F63+I63</f>
        <v>12168.104003366</v>
      </c>
      <c r="M63" s="40" t="n">
        <f aca="false">D63+G63+J63</f>
        <v>4392.05308798049</v>
      </c>
      <c r="N63" s="40" t="n">
        <f aca="false">L63+M63</f>
        <v>16560.1570913465</v>
      </c>
      <c r="O63" s="40" t="n">
        <f aca="false">E63+H63+K63</f>
        <v>4259509.88523179</v>
      </c>
    </row>
    <row r="64" customFormat="false" ht="15" hidden="false" customHeight="false" outlineLevel="0" collapsed="false">
      <c r="A64" s="39" t="n">
        <v>58</v>
      </c>
      <c r="B64" s="39" t="n">
        <f aca="false">ROUNDUP(A64/12,0)</f>
        <v>5</v>
      </c>
      <c r="C64" s="40" t="n">
        <f aca="false">E63*Annahmen!$B$38/12</f>
        <v>2374.05073202513</v>
      </c>
      <c r="D64" s="40" t="n">
        <f aca="false">MIN($C$3-C64,E63)</f>
        <v>1125.94926797486</v>
      </c>
      <c r="E64" s="40" t="n">
        <f aca="false">E63-D64</f>
        <v>1138418.40210409</v>
      </c>
      <c r="F64" s="40" t="n">
        <f aca="false">H63*Annahmen!$B$39/12</f>
        <v>1855.32886353344</v>
      </c>
      <c r="G64" s="40" t="n">
        <f aca="false">MIN($F$3-F64,H63)</f>
        <v>751.337803133226</v>
      </c>
      <c r="H64" s="40" t="n">
        <f aca="false">H63-G64</f>
        <v>741380.207610243</v>
      </c>
      <c r="I64" s="40" t="n">
        <f aca="false">K63*Annahmen!$B$40/12</f>
        <v>7926.11329482116</v>
      </c>
      <c r="J64" s="40" t="n">
        <f aca="false">MIN($I$3-I64,K63)</f>
        <v>2527.37712985864</v>
      </c>
      <c r="K64" s="40" t="n">
        <f aca="false">K63-J64</f>
        <v>2375306.61131649</v>
      </c>
      <c r="L64" s="40" t="n">
        <f aca="false">C64+F64+I64</f>
        <v>12155.4928903797</v>
      </c>
      <c r="M64" s="40" t="n">
        <f aca="false">D64+G64+J64</f>
        <v>4404.66420096673</v>
      </c>
      <c r="N64" s="40" t="n">
        <f aca="false">L64+M64</f>
        <v>16560.1570913465</v>
      </c>
      <c r="O64" s="40" t="n">
        <f aca="false">E64+H64+K64</f>
        <v>4255105.22103082</v>
      </c>
    </row>
    <row r="65" customFormat="false" ht="15" hidden="false" customHeight="false" outlineLevel="0" collapsed="false">
      <c r="A65" s="39" t="n">
        <v>59</v>
      </c>
      <c r="B65" s="39" t="n">
        <f aca="false">ROUNDUP(A65/12,0)</f>
        <v>5</v>
      </c>
      <c r="C65" s="40" t="n">
        <f aca="false">E64*Annahmen!$B$38/12</f>
        <v>2371.70500438352</v>
      </c>
      <c r="D65" s="40" t="n">
        <f aca="false">MIN($C$3-C65,E64)</f>
        <v>1128.29499561648</v>
      </c>
      <c r="E65" s="40" t="n">
        <f aca="false">E64-D65</f>
        <v>1137290.10710847</v>
      </c>
      <c r="F65" s="40" t="n">
        <f aca="false">H64*Annahmen!$B$39/12</f>
        <v>1853.45051902561</v>
      </c>
      <c r="G65" s="40" t="n">
        <f aca="false">MIN($F$3-F65,H64)</f>
        <v>753.216147641059</v>
      </c>
      <c r="H65" s="40" t="n">
        <f aca="false">H64-G65</f>
        <v>740626.991462602</v>
      </c>
      <c r="I65" s="40" t="n">
        <f aca="false">K64*Annahmen!$B$40/12</f>
        <v>7917.6887043883</v>
      </c>
      <c r="J65" s="40" t="n">
        <f aca="false">MIN($I$3-I65,K64)</f>
        <v>2535.8017202915</v>
      </c>
      <c r="K65" s="40" t="n">
        <f aca="false">K64-J65</f>
        <v>2372770.8095962</v>
      </c>
      <c r="L65" s="40" t="n">
        <f aca="false">C65+F65+I65</f>
        <v>12142.8442277974</v>
      </c>
      <c r="M65" s="40" t="n">
        <f aca="false">D65+G65+J65</f>
        <v>4417.31286354904</v>
      </c>
      <c r="N65" s="40" t="n">
        <f aca="false">L65+M65</f>
        <v>16560.1570913465</v>
      </c>
      <c r="O65" s="40" t="n">
        <f aca="false">E65+H65+K65</f>
        <v>4250687.90816728</v>
      </c>
    </row>
    <row r="66" customFormat="false" ht="15" hidden="false" customHeight="false" outlineLevel="0" collapsed="false">
      <c r="A66" s="39" t="n">
        <v>60</v>
      </c>
      <c r="B66" s="39" t="n">
        <f aca="false">ROUNDUP(A66/12,0)</f>
        <v>5</v>
      </c>
      <c r="C66" s="40" t="n">
        <f aca="false">E65*Annahmen!$B$38/12</f>
        <v>2369.35438980932</v>
      </c>
      <c r="D66" s="40" t="n">
        <f aca="false">MIN($C$3-C66,E65)</f>
        <v>1130.64561019068</v>
      </c>
      <c r="E66" s="40" t="n">
        <f aca="false">E65-D66</f>
        <v>1136159.46149828</v>
      </c>
      <c r="F66" s="40" t="n">
        <f aca="false">H65*Annahmen!$B$39/12</f>
        <v>1851.5674786565</v>
      </c>
      <c r="G66" s="40" t="n">
        <f aca="false">MIN($F$3-F66,H65)</f>
        <v>755.099188010162</v>
      </c>
      <c r="H66" s="40" t="n">
        <f aca="false">H65-G66</f>
        <v>739871.892274592</v>
      </c>
      <c r="I66" s="40" t="n">
        <f aca="false">K65*Annahmen!$B$40/12</f>
        <v>7909.23603198733</v>
      </c>
      <c r="J66" s="40" t="n">
        <f aca="false">MIN($I$3-I66,K65)</f>
        <v>2544.25439269247</v>
      </c>
      <c r="K66" s="40" t="n">
        <f aca="false">K65-J66</f>
        <v>2370226.55520351</v>
      </c>
      <c r="L66" s="40" t="n">
        <f aca="false">C66+F66+I66</f>
        <v>12130.1579004532</v>
      </c>
      <c r="M66" s="40" t="n">
        <f aca="false">D66+G66+J66</f>
        <v>4429.99919089331</v>
      </c>
      <c r="N66" s="40" t="n">
        <f aca="false">L66+M66</f>
        <v>16560.1570913465</v>
      </c>
      <c r="O66" s="40" t="n">
        <f aca="false">E66+H66+K66</f>
        <v>4246257.90897638</v>
      </c>
    </row>
    <row r="67" customFormat="false" ht="15" hidden="false" customHeight="false" outlineLevel="0" collapsed="false">
      <c r="A67" s="39" t="n">
        <v>61</v>
      </c>
      <c r="B67" s="39" t="n">
        <f aca="false">ROUNDUP(A67/12,0)</f>
        <v>6</v>
      </c>
      <c r="C67" s="40" t="n">
        <f aca="false">E66*Annahmen!$B$38/12</f>
        <v>2366.99887812142</v>
      </c>
      <c r="D67" s="40" t="n">
        <f aca="false">MIN($C$3-C67,E66)</f>
        <v>1133.00112187858</v>
      </c>
      <c r="E67" s="40" t="n">
        <f aca="false">E66-D67</f>
        <v>1135026.4603764</v>
      </c>
      <c r="F67" s="40" t="n">
        <f aca="false">H66*Annahmen!$B$39/12</f>
        <v>1849.67973068648</v>
      </c>
      <c r="G67" s="40" t="n">
        <f aca="false">MIN($F$3-F67,H66)</f>
        <v>756.986935980187</v>
      </c>
      <c r="H67" s="40" t="n">
        <f aca="false">H66-G67</f>
        <v>739114.905338611</v>
      </c>
      <c r="I67" s="40" t="n">
        <f aca="false">K66*Annahmen!$B$40/12</f>
        <v>7900.75518401169</v>
      </c>
      <c r="J67" s="40" t="n">
        <f aca="false">MIN($I$3-I67,K66)</f>
        <v>2552.73524066811</v>
      </c>
      <c r="K67" s="40" t="n">
        <f aca="false">K66-J67</f>
        <v>2367673.81996284</v>
      </c>
      <c r="L67" s="40" t="n">
        <f aca="false">C67+F67+I67</f>
        <v>12117.4337928196</v>
      </c>
      <c r="M67" s="40" t="n">
        <f aca="false">D67+G67+J67</f>
        <v>4442.72329852688</v>
      </c>
      <c r="N67" s="40" t="n">
        <f aca="false">L67+M67</f>
        <v>16560.1570913465</v>
      </c>
      <c r="O67" s="40" t="n">
        <f aca="false">E67+H67+K67</f>
        <v>4241815.18567785</v>
      </c>
    </row>
    <row r="68" customFormat="false" ht="15" hidden="false" customHeight="false" outlineLevel="0" collapsed="false">
      <c r="A68" s="39" t="n">
        <v>62</v>
      </c>
      <c r="B68" s="39" t="n">
        <f aca="false">ROUNDUP(A68/12,0)</f>
        <v>6</v>
      </c>
      <c r="C68" s="40" t="n">
        <f aca="false">E67*Annahmen!$B$38/12</f>
        <v>2364.63845911751</v>
      </c>
      <c r="D68" s="40" t="n">
        <f aca="false">MIN($C$3-C68,E67)</f>
        <v>1135.36154088249</v>
      </c>
      <c r="E68" s="40" t="n">
        <f aca="false">E67-D68</f>
        <v>1133891.09883552</v>
      </c>
      <c r="F68" s="40" t="n">
        <f aca="false">H67*Annahmen!$B$39/12</f>
        <v>1847.78726334653</v>
      </c>
      <c r="G68" s="40" t="n">
        <f aca="false">MIN($F$3-F68,H67)</f>
        <v>758.879403320137</v>
      </c>
      <c r="H68" s="40" t="n">
        <f aca="false">H67-G68</f>
        <v>738356.025935291</v>
      </c>
      <c r="I68" s="40" t="n">
        <f aca="false">K67*Annahmen!$B$40/12</f>
        <v>7892.2460665428</v>
      </c>
      <c r="J68" s="40" t="n">
        <f aca="false">MIN($I$3-I68,K67)</f>
        <v>2561.24435813701</v>
      </c>
      <c r="K68" s="40" t="n">
        <f aca="false">K67-J68</f>
        <v>2365112.5756047</v>
      </c>
      <c r="L68" s="40" t="n">
        <f aca="false">C68+F68+I68</f>
        <v>12104.6717890068</v>
      </c>
      <c r="M68" s="40" t="n">
        <f aca="false">D68+G68+J68</f>
        <v>4455.48530233963</v>
      </c>
      <c r="N68" s="40" t="n">
        <f aca="false">L68+M68</f>
        <v>16560.1570913465</v>
      </c>
      <c r="O68" s="40" t="n">
        <f aca="false">E68+H68+K68</f>
        <v>4237359.70037551</v>
      </c>
    </row>
    <row r="69" customFormat="false" ht="15" hidden="false" customHeight="false" outlineLevel="0" collapsed="false">
      <c r="A69" s="39" t="n">
        <v>63</v>
      </c>
      <c r="B69" s="39" t="n">
        <f aca="false">ROUNDUP(A69/12,0)</f>
        <v>6</v>
      </c>
      <c r="C69" s="40" t="n">
        <f aca="false">E68*Annahmen!$B$38/12</f>
        <v>2362.273122574</v>
      </c>
      <c r="D69" s="40" t="n">
        <f aca="false">MIN($C$3-C69,E68)</f>
        <v>1137.726877426</v>
      </c>
      <c r="E69" s="40" t="n">
        <f aca="false">E68-D69</f>
        <v>1132753.3719581</v>
      </c>
      <c r="F69" s="40" t="n">
        <f aca="false">H68*Annahmen!$B$39/12</f>
        <v>1845.89006483823</v>
      </c>
      <c r="G69" s="40" t="n">
        <f aca="false">MIN($F$3-F69,H68)</f>
        <v>760.776601828438</v>
      </c>
      <c r="H69" s="40" t="n">
        <f aca="false">H68-G69</f>
        <v>737595.249333463</v>
      </c>
      <c r="I69" s="40" t="n">
        <f aca="false">K68*Annahmen!$B$40/12</f>
        <v>7883.70858534901</v>
      </c>
      <c r="J69" s="40" t="n">
        <f aca="false">MIN($I$3-I69,K68)</f>
        <v>2569.7818393308</v>
      </c>
      <c r="K69" s="40" t="n">
        <f aca="false">K68-J69</f>
        <v>2362542.79376537</v>
      </c>
      <c r="L69" s="40" t="n">
        <f aca="false">C69+F69+I69</f>
        <v>12091.8717727612</v>
      </c>
      <c r="M69" s="40" t="n">
        <f aca="false">D69+G69+J69</f>
        <v>4468.28531858523</v>
      </c>
      <c r="N69" s="40" t="n">
        <f aca="false">L69+M69</f>
        <v>16560.1570913465</v>
      </c>
      <c r="O69" s="40" t="n">
        <f aca="false">E69+H69+K69</f>
        <v>4232891.41505693</v>
      </c>
    </row>
    <row r="70" customFormat="false" ht="15" hidden="false" customHeight="false" outlineLevel="0" collapsed="false">
      <c r="A70" s="39" t="n">
        <v>64</v>
      </c>
      <c r="B70" s="39" t="n">
        <f aca="false">ROUNDUP(A70/12,0)</f>
        <v>6</v>
      </c>
      <c r="C70" s="40" t="n">
        <f aca="false">E69*Annahmen!$B$38/12</f>
        <v>2359.90285824603</v>
      </c>
      <c r="D70" s="40" t="n">
        <f aca="false">MIN($C$3-C70,E69)</f>
        <v>1140.09714175397</v>
      </c>
      <c r="E70" s="40" t="n">
        <f aca="false">E69-D70</f>
        <v>1131613.27481634</v>
      </c>
      <c r="F70" s="40" t="n">
        <f aca="false">H69*Annahmen!$B$39/12</f>
        <v>1843.98812333366</v>
      </c>
      <c r="G70" s="40" t="n">
        <f aca="false">MIN($F$3-F70,H69)</f>
        <v>762.678543333009</v>
      </c>
      <c r="H70" s="40" t="n">
        <f aca="false">H69-G70</f>
        <v>736832.57079013</v>
      </c>
      <c r="I70" s="40" t="n">
        <f aca="false">K69*Annahmen!$B$40/12</f>
        <v>7875.14264588457</v>
      </c>
      <c r="J70" s="40" t="n">
        <f aca="false">MIN($I$3-I70,K69)</f>
        <v>2578.34777879523</v>
      </c>
      <c r="K70" s="40" t="n">
        <f aca="false">K69-J70</f>
        <v>2359964.44598658</v>
      </c>
      <c r="L70" s="40" t="n">
        <f aca="false">C70+F70+I70</f>
        <v>12079.0336274643</v>
      </c>
      <c r="M70" s="40" t="n">
        <f aca="false">D70+G70+J70</f>
        <v>4481.12346388221</v>
      </c>
      <c r="N70" s="40" t="n">
        <f aca="false">L70+M70</f>
        <v>16560.1570913465</v>
      </c>
      <c r="O70" s="40" t="n">
        <f aca="false">E70+H70+K70</f>
        <v>4228410.29159305</v>
      </c>
    </row>
    <row r="71" customFormat="false" ht="15" hidden="false" customHeight="false" outlineLevel="0" collapsed="false">
      <c r="A71" s="39" t="n">
        <v>65</v>
      </c>
      <c r="B71" s="39" t="n">
        <f aca="false">ROUNDUP(A71/12,0)</f>
        <v>6</v>
      </c>
      <c r="C71" s="40" t="n">
        <f aca="false">E70*Annahmen!$B$38/12</f>
        <v>2357.52765586738</v>
      </c>
      <c r="D71" s="40" t="n">
        <f aca="false">MIN($C$3-C71,E70)</f>
        <v>1142.47234413262</v>
      </c>
      <c r="E71" s="40" t="n">
        <f aca="false">E70-D71</f>
        <v>1130470.80247221</v>
      </c>
      <c r="F71" s="40" t="n">
        <f aca="false">H70*Annahmen!$B$39/12</f>
        <v>1842.08142697532</v>
      </c>
      <c r="G71" s="40" t="n">
        <f aca="false">MIN($F$3-F71,H70)</f>
        <v>764.585239691341</v>
      </c>
      <c r="H71" s="40" t="n">
        <f aca="false">H70-G71</f>
        <v>736067.985550439</v>
      </c>
      <c r="I71" s="40" t="n">
        <f aca="false">K70*Annahmen!$B$40/12</f>
        <v>7866.54815328859</v>
      </c>
      <c r="J71" s="40" t="n">
        <f aca="false">MIN($I$3-I71,K70)</f>
        <v>2586.94227139122</v>
      </c>
      <c r="K71" s="40" t="n">
        <f aca="false">K70-J71</f>
        <v>2357377.50371518</v>
      </c>
      <c r="L71" s="40" t="n">
        <f aca="false">C71+F71+I71</f>
        <v>12066.1572361313</v>
      </c>
      <c r="M71" s="40" t="n">
        <f aca="false">D71+G71+J71</f>
        <v>4493.99985521518</v>
      </c>
      <c r="N71" s="40" t="n">
        <f aca="false">L71+M71</f>
        <v>16560.1570913465</v>
      </c>
      <c r="O71" s="40" t="n">
        <f aca="false">E71+H71+K71</f>
        <v>4223916.29173783</v>
      </c>
    </row>
    <row r="72" customFormat="false" ht="15" hidden="false" customHeight="false" outlineLevel="0" collapsed="false">
      <c r="A72" s="39" t="n">
        <v>66</v>
      </c>
      <c r="B72" s="39" t="n">
        <f aca="false">ROUNDUP(A72/12,0)</f>
        <v>6</v>
      </c>
      <c r="C72" s="40" t="n">
        <f aca="false">E71*Annahmen!$B$38/12</f>
        <v>2355.14750515044</v>
      </c>
      <c r="D72" s="40" t="n">
        <f aca="false">MIN($C$3-C72,E71)</f>
        <v>1144.85249484956</v>
      </c>
      <c r="E72" s="40" t="n">
        <f aca="false">E71-D72</f>
        <v>1129325.94997736</v>
      </c>
      <c r="F72" s="40" t="n">
        <f aca="false">H71*Annahmen!$B$39/12</f>
        <v>1840.1699638761</v>
      </c>
      <c r="G72" s="40" t="n">
        <f aca="false">MIN($F$3-F72,H71)</f>
        <v>766.496702790569</v>
      </c>
      <c r="H72" s="40" t="n">
        <f aca="false">H71-G72</f>
        <v>735301.488847648</v>
      </c>
      <c r="I72" s="40" t="n">
        <f aca="false">K71*Annahmen!$B$40/12</f>
        <v>7857.92501238395</v>
      </c>
      <c r="J72" s="40" t="n">
        <f aca="false">MIN($I$3-I72,K71)</f>
        <v>2595.56541229585</v>
      </c>
      <c r="K72" s="40" t="n">
        <f aca="false">K71-J72</f>
        <v>2354781.93830289</v>
      </c>
      <c r="L72" s="40" t="n">
        <f aca="false">C72+F72+I72</f>
        <v>12053.2424814105</v>
      </c>
      <c r="M72" s="40" t="n">
        <f aca="false">D72+G72+J72</f>
        <v>4506.91460993599</v>
      </c>
      <c r="N72" s="40" t="n">
        <f aca="false">L72+M72</f>
        <v>16560.1570913465</v>
      </c>
      <c r="O72" s="40" t="n">
        <f aca="false">E72+H72+K72</f>
        <v>4219409.3771279</v>
      </c>
    </row>
    <row r="73" customFormat="false" ht="15" hidden="false" customHeight="false" outlineLevel="0" collapsed="false">
      <c r="A73" s="39" t="n">
        <v>67</v>
      </c>
      <c r="B73" s="39" t="n">
        <f aca="false">ROUNDUP(A73/12,0)</f>
        <v>6</v>
      </c>
      <c r="C73" s="40" t="n">
        <f aca="false">E72*Annahmen!$B$38/12</f>
        <v>2352.76239578617</v>
      </c>
      <c r="D73" s="40" t="n">
        <f aca="false">MIN($C$3-C73,E72)</f>
        <v>1147.23760421383</v>
      </c>
      <c r="E73" s="40" t="n">
        <f aca="false">E72-D73</f>
        <v>1128178.71237315</v>
      </c>
      <c r="F73" s="40" t="n">
        <f aca="false">H72*Annahmen!$B$39/12</f>
        <v>1838.25372211912</v>
      </c>
      <c r="G73" s="40" t="n">
        <f aca="false">MIN($F$3-F73,H72)</f>
        <v>768.412944547546</v>
      </c>
      <c r="H73" s="40" t="n">
        <f aca="false">H72-G73</f>
        <v>734533.0759031</v>
      </c>
      <c r="I73" s="40" t="n">
        <f aca="false">K72*Annahmen!$B$40/12</f>
        <v>7849.2731276763</v>
      </c>
      <c r="J73" s="40" t="n">
        <f aca="false">MIN($I$3-I73,K72)</f>
        <v>2604.21729700351</v>
      </c>
      <c r="K73" s="40" t="n">
        <f aca="false">K72-J73</f>
        <v>2352177.72100589</v>
      </c>
      <c r="L73" s="40" t="n">
        <f aca="false">C73+F73+I73</f>
        <v>12040.2892455816</v>
      </c>
      <c r="M73" s="40" t="n">
        <f aca="false">D73+G73+J73</f>
        <v>4519.86784576488</v>
      </c>
      <c r="N73" s="40" t="n">
        <f aca="false">L73+M73</f>
        <v>16560.1570913465</v>
      </c>
      <c r="O73" s="40" t="n">
        <f aca="false">E73+H73+K73</f>
        <v>4214889.50928213</v>
      </c>
    </row>
    <row r="74" customFormat="false" ht="15" hidden="false" customHeight="false" outlineLevel="0" collapsed="false">
      <c r="A74" s="39" t="n">
        <v>68</v>
      </c>
      <c r="B74" s="39" t="n">
        <f aca="false">ROUNDUP(A74/12,0)</f>
        <v>6</v>
      </c>
      <c r="C74" s="40" t="n">
        <f aca="false">E73*Annahmen!$B$38/12</f>
        <v>2350.37231744405</v>
      </c>
      <c r="D74" s="40" t="n">
        <f aca="false">MIN($C$3-C74,E73)</f>
        <v>1149.62768255595</v>
      </c>
      <c r="E74" s="40" t="n">
        <f aca="false">E73-D74</f>
        <v>1127029.08469059</v>
      </c>
      <c r="F74" s="40" t="n">
        <f aca="false">H73*Annahmen!$B$39/12</f>
        <v>1836.33268975775</v>
      </c>
      <c r="G74" s="40" t="n">
        <f aca="false">MIN($F$3-F74,H73)</f>
        <v>770.333976908915</v>
      </c>
      <c r="H74" s="40" t="n">
        <f aca="false">H73-G74</f>
        <v>733762.741926191</v>
      </c>
      <c r="I74" s="40" t="n">
        <f aca="false">K73*Annahmen!$B$40/12</f>
        <v>7840.59240335295</v>
      </c>
      <c r="J74" s="40" t="n">
        <f aca="false">MIN($I$3-I74,K73)</f>
        <v>2612.89802132685</v>
      </c>
      <c r="K74" s="40" t="n">
        <f aca="false">K73-J74</f>
        <v>2349564.82298456</v>
      </c>
      <c r="L74" s="40" t="n">
        <f aca="false">C74+F74+I74</f>
        <v>12027.2974105548</v>
      </c>
      <c r="M74" s="40" t="n">
        <f aca="false">D74+G74+J74</f>
        <v>4532.85968079171</v>
      </c>
      <c r="N74" s="40" t="n">
        <f aca="false">L74+M74</f>
        <v>16560.1570913465</v>
      </c>
      <c r="O74" s="40" t="n">
        <f aca="false">E74+H74+K74</f>
        <v>4210356.64960134</v>
      </c>
    </row>
    <row r="75" customFormat="false" ht="15" hidden="false" customHeight="false" outlineLevel="0" collapsed="false">
      <c r="A75" s="39" t="n">
        <v>69</v>
      </c>
      <c r="B75" s="39" t="n">
        <f aca="false">ROUNDUP(A75/12,0)</f>
        <v>6</v>
      </c>
      <c r="C75" s="40" t="n">
        <f aca="false">E74*Annahmen!$B$38/12</f>
        <v>2347.97725977206</v>
      </c>
      <c r="D75" s="40" t="n">
        <f aca="false">MIN($C$3-C75,E74)</f>
        <v>1152.02274022794</v>
      </c>
      <c r="E75" s="40" t="n">
        <f aca="false">E74-D75</f>
        <v>1125877.06195036</v>
      </c>
      <c r="F75" s="40" t="n">
        <f aca="false">H74*Annahmen!$B$39/12</f>
        <v>1834.40685481548</v>
      </c>
      <c r="G75" s="40" t="n">
        <f aca="false">MIN($F$3-F75,H74)</f>
        <v>772.259811851187</v>
      </c>
      <c r="H75" s="40" t="n">
        <f aca="false">H74-G75</f>
        <v>732990.48211434</v>
      </c>
      <c r="I75" s="40" t="n">
        <f aca="false">K74*Annahmen!$B$40/12</f>
        <v>7831.88274328186</v>
      </c>
      <c r="J75" s="40" t="n">
        <f aca="false">MIN($I$3-I75,K74)</f>
        <v>2621.60768139794</v>
      </c>
      <c r="K75" s="40" t="n">
        <f aca="false">K74-J75</f>
        <v>2346943.21530316</v>
      </c>
      <c r="L75" s="40" t="n">
        <f aca="false">C75+F75+I75</f>
        <v>12014.2668578694</v>
      </c>
      <c r="M75" s="40" t="n">
        <f aca="false">D75+G75+J75</f>
        <v>4545.89023347707</v>
      </c>
      <c r="N75" s="40" t="n">
        <f aca="false">L75+M75</f>
        <v>16560.1570913465</v>
      </c>
      <c r="O75" s="40" t="n">
        <f aca="false">E75+H75+K75</f>
        <v>4205810.75936786</v>
      </c>
    </row>
    <row r="76" customFormat="false" ht="15" hidden="false" customHeight="false" outlineLevel="0" collapsed="false">
      <c r="A76" s="39" t="n">
        <v>70</v>
      </c>
      <c r="B76" s="39" t="n">
        <f aca="false">ROUNDUP(A76/12,0)</f>
        <v>6</v>
      </c>
      <c r="C76" s="40" t="n">
        <f aca="false">E75*Annahmen!$B$38/12</f>
        <v>2345.57721239659</v>
      </c>
      <c r="D76" s="40" t="n">
        <f aca="false">MIN($C$3-C76,E75)</f>
        <v>1154.42278760341</v>
      </c>
      <c r="E76" s="40" t="n">
        <f aca="false">E75-D76</f>
        <v>1124722.63916276</v>
      </c>
      <c r="F76" s="40" t="n">
        <f aca="false">H75*Annahmen!$B$39/12</f>
        <v>1832.47620528585</v>
      </c>
      <c r="G76" s="40" t="n">
        <f aca="false">MIN($F$3-F76,H75)</f>
        <v>774.190461380815</v>
      </c>
      <c r="H76" s="40" t="n">
        <f aca="false">H75-G76</f>
        <v>732216.291652959</v>
      </c>
      <c r="I76" s="40" t="n">
        <f aca="false">K75*Annahmen!$B$40/12</f>
        <v>7823.14405101054</v>
      </c>
      <c r="J76" s="40" t="n">
        <f aca="false">MIN($I$3-I76,K75)</f>
        <v>2630.34637366927</v>
      </c>
      <c r="K76" s="40" t="n">
        <f aca="false">K75-J76</f>
        <v>2344312.86892949</v>
      </c>
      <c r="L76" s="40" t="n">
        <f aca="false">C76+F76+I76</f>
        <v>12001.197468693</v>
      </c>
      <c r="M76" s="40" t="n">
        <f aca="false">D76+G76+J76</f>
        <v>4558.95962265349</v>
      </c>
      <c r="N76" s="40" t="n">
        <f aca="false">L76+M76</f>
        <v>16560.1570913465</v>
      </c>
      <c r="O76" s="40" t="n">
        <f aca="false">E76+H76+K76</f>
        <v>4201251.79974521</v>
      </c>
    </row>
    <row r="77" customFormat="false" ht="15" hidden="false" customHeight="false" outlineLevel="0" collapsed="false">
      <c r="A77" s="39" t="n">
        <v>71</v>
      </c>
      <c r="B77" s="39" t="n">
        <f aca="false">ROUNDUP(A77/12,0)</f>
        <v>6</v>
      </c>
      <c r="C77" s="40" t="n">
        <f aca="false">E76*Annahmen!$B$38/12</f>
        <v>2343.17216492241</v>
      </c>
      <c r="D77" s="40" t="n">
        <f aca="false">MIN($C$3-C77,E76)</f>
        <v>1156.82783507759</v>
      </c>
      <c r="E77" s="40" t="n">
        <f aca="false">E76-D77</f>
        <v>1123565.81132768</v>
      </c>
      <c r="F77" s="40" t="n">
        <f aca="false">H76*Annahmen!$B$39/12</f>
        <v>1830.5407291324</v>
      </c>
      <c r="G77" s="40" t="n">
        <f aca="false">MIN($F$3-F77,H76)</f>
        <v>776.125937534268</v>
      </c>
      <c r="H77" s="40" t="n">
        <f aca="false">H76-G77</f>
        <v>731440.165715425</v>
      </c>
      <c r="I77" s="40" t="n">
        <f aca="false">K76*Annahmen!$B$40/12</f>
        <v>7814.37622976497</v>
      </c>
      <c r="J77" s="40" t="n">
        <f aca="false">MIN($I$3-I77,K76)</f>
        <v>2639.11419491483</v>
      </c>
      <c r="K77" s="40" t="n">
        <f aca="false">K76-J77</f>
        <v>2341673.75473458</v>
      </c>
      <c r="L77" s="40" t="n">
        <f aca="false">C77+F77+I77</f>
        <v>11988.0891238198</v>
      </c>
      <c r="M77" s="40" t="n">
        <f aca="false">D77+G77+J77</f>
        <v>4572.06796752668</v>
      </c>
      <c r="N77" s="40" t="n">
        <f aca="false">L77+M77</f>
        <v>16560.1570913465</v>
      </c>
      <c r="O77" s="40" t="n">
        <f aca="false">E77+H77+K77</f>
        <v>4196679.73177768</v>
      </c>
    </row>
    <row r="78" customFormat="false" ht="15" hidden="false" customHeight="false" outlineLevel="0" collapsed="false">
      <c r="A78" s="39" t="n">
        <v>72</v>
      </c>
      <c r="B78" s="39" t="n">
        <f aca="false">ROUNDUP(A78/12,0)</f>
        <v>6</v>
      </c>
      <c r="C78" s="40" t="n">
        <f aca="false">E77*Annahmen!$B$38/12</f>
        <v>2340.76210693267</v>
      </c>
      <c r="D78" s="40" t="n">
        <f aca="false">MIN($C$3-C78,E77)</f>
        <v>1159.23789306733</v>
      </c>
      <c r="E78" s="40" t="n">
        <f aca="false">E77-D78</f>
        <v>1122406.57343461</v>
      </c>
      <c r="F78" s="40" t="n">
        <f aca="false">H77*Annahmen!$B$39/12</f>
        <v>1828.60041428856</v>
      </c>
      <c r="G78" s="40" t="n">
        <f aca="false">MIN($F$3-F78,H77)</f>
        <v>778.066252378103</v>
      </c>
      <c r="H78" s="40" t="n">
        <f aca="false">H77-G78</f>
        <v>730662.099463047</v>
      </c>
      <c r="I78" s="40" t="n">
        <f aca="false">K77*Annahmen!$B$40/12</f>
        <v>7805.57918244859</v>
      </c>
      <c r="J78" s="40" t="n">
        <f aca="false">MIN($I$3-I78,K77)</f>
        <v>2647.91124223121</v>
      </c>
      <c r="K78" s="40" t="n">
        <f aca="false">K77-J78</f>
        <v>2339025.84349235</v>
      </c>
      <c r="L78" s="40" t="n">
        <f aca="false">C78+F78+I78</f>
        <v>11974.9417036698</v>
      </c>
      <c r="M78" s="40" t="n">
        <f aca="false">D78+G78+J78</f>
        <v>4585.21538767665</v>
      </c>
      <c r="N78" s="40" t="n">
        <f aca="false">L78+M78</f>
        <v>16560.1570913465</v>
      </c>
      <c r="O78" s="40" t="n">
        <f aca="false">E78+H78+K78</f>
        <v>4192094.51639001</v>
      </c>
    </row>
    <row r="79" customFormat="false" ht="15" hidden="false" customHeight="false" outlineLevel="0" collapsed="false">
      <c r="A79" s="39" t="n">
        <v>73</v>
      </c>
      <c r="B79" s="39" t="n">
        <f aca="false">ROUNDUP(A79/12,0)</f>
        <v>7</v>
      </c>
      <c r="C79" s="40" t="n">
        <f aca="false">E78*Annahmen!$B$38/12</f>
        <v>2338.34702798878</v>
      </c>
      <c r="D79" s="40" t="n">
        <f aca="false">MIN($C$3-C79,E78)</f>
        <v>1161.65297201122</v>
      </c>
      <c r="E79" s="40" t="n">
        <f aca="false">E78-D79</f>
        <v>1121244.9204626</v>
      </c>
      <c r="F79" s="40" t="n">
        <f aca="false">H78*Annahmen!$B$39/12</f>
        <v>1826.65524865762</v>
      </c>
      <c r="G79" s="40" t="n">
        <f aca="false">MIN($F$3-F79,H78)</f>
        <v>780.011418009048</v>
      </c>
      <c r="H79" s="40" t="n">
        <f aca="false">H78-G79</f>
        <v>729882.088045038</v>
      </c>
      <c r="I79" s="40" t="n">
        <f aca="false">K78*Annahmen!$B$40/12</f>
        <v>7796.75281164115</v>
      </c>
      <c r="J79" s="40" t="n">
        <f aca="false">MIN($I$3-I79,K78)</f>
        <v>2656.73761303865</v>
      </c>
      <c r="K79" s="40" t="n">
        <f aca="false">K78-J79</f>
        <v>2336369.10587931</v>
      </c>
      <c r="L79" s="40" t="n">
        <f aca="false">C79+F79+I79</f>
        <v>11961.7550882875</v>
      </c>
      <c r="M79" s="40" t="n">
        <f aca="false">D79+G79+J79</f>
        <v>4598.40200305892</v>
      </c>
      <c r="N79" s="40" t="n">
        <f aca="false">L79+M79</f>
        <v>16560.1570913465</v>
      </c>
      <c r="O79" s="40" t="n">
        <f aca="false">E79+H79+K79</f>
        <v>4187496.11438695</v>
      </c>
    </row>
    <row r="80" customFormat="false" ht="15" hidden="false" customHeight="false" outlineLevel="0" collapsed="false">
      <c r="A80" s="39" t="n">
        <v>74</v>
      </c>
      <c r="B80" s="39" t="n">
        <f aca="false">ROUNDUP(A80/12,0)</f>
        <v>7</v>
      </c>
      <c r="C80" s="40" t="n">
        <f aca="false">E79*Annahmen!$B$38/12</f>
        <v>2335.92691763042</v>
      </c>
      <c r="D80" s="40" t="n">
        <f aca="false">MIN($C$3-C80,E79)</f>
        <v>1164.07308236958</v>
      </c>
      <c r="E80" s="40" t="n">
        <f aca="false">E79-D80</f>
        <v>1120080.84738023</v>
      </c>
      <c r="F80" s="40" t="n">
        <f aca="false">H79*Annahmen!$B$39/12</f>
        <v>1824.70522011259</v>
      </c>
      <c r="G80" s="40" t="n">
        <f aca="false">MIN($F$3-F80,H79)</f>
        <v>781.961446554071</v>
      </c>
      <c r="H80" s="40" t="n">
        <f aca="false">H79-G80</f>
        <v>729100.126598484</v>
      </c>
      <c r="I80" s="40" t="n">
        <f aca="false">K79*Annahmen!$B$40/12</f>
        <v>7787.89701959769</v>
      </c>
      <c r="J80" s="40" t="n">
        <f aca="false">MIN($I$3-I80,K79)</f>
        <v>2665.59340508211</v>
      </c>
      <c r="K80" s="40" t="n">
        <f aca="false">K79-J80</f>
        <v>2333703.51247422</v>
      </c>
      <c r="L80" s="40" t="n">
        <f aca="false">C80+F80+I80</f>
        <v>11948.5291573407</v>
      </c>
      <c r="M80" s="40" t="n">
        <f aca="false">D80+G80+J80</f>
        <v>4611.62793400576</v>
      </c>
      <c r="N80" s="40" t="n">
        <f aca="false">L80+M80</f>
        <v>16560.1570913465</v>
      </c>
      <c r="O80" s="40" t="n">
        <f aca="false">E80+H80+K80</f>
        <v>4182884.48645294</v>
      </c>
    </row>
    <row r="81" customFormat="false" ht="15" hidden="false" customHeight="false" outlineLevel="0" collapsed="false">
      <c r="A81" s="39" t="n">
        <v>75</v>
      </c>
      <c r="B81" s="39" t="n">
        <f aca="false">ROUNDUP(A81/12,0)</f>
        <v>7</v>
      </c>
      <c r="C81" s="40" t="n">
        <f aca="false">E80*Annahmen!$B$38/12</f>
        <v>2333.50176537549</v>
      </c>
      <c r="D81" s="40" t="n">
        <f aca="false">MIN($C$3-C81,E80)</f>
        <v>1166.49823462451</v>
      </c>
      <c r="E81" s="40" t="n">
        <f aca="false">E80-D81</f>
        <v>1118914.34914561</v>
      </c>
      <c r="F81" s="40" t="n">
        <f aca="false">H80*Annahmen!$B$39/12</f>
        <v>1822.75031649621</v>
      </c>
      <c r="G81" s="40" t="n">
        <f aca="false">MIN($F$3-F81,H80)</f>
        <v>783.916350170456</v>
      </c>
      <c r="H81" s="40" t="n">
        <f aca="false">H80-G81</f>
        <v>728316.210248313</v>
      </c>
      <c r="I81" s="40" t="n">
        <f aca="false">K80*Annahmen!$B$40/12</f>
        <v>7779.01170824741</v>
      </c>
      <c r="J81" s="40" t="n">
        <f aca="false">MIN($I$3-I81,K80)</f>
        <v>2674.47871643239</v>
      </c>
      <c r="K81" s="40" t="n">
        <f aca="false">K80-J81</f>
        <v>2331029.03375779</v>
      </c>
      <c r="L81" s="40" t="n">
        <f aca="false">C81+F81+I81</f>
        <v>11935.2637901191</v>
      </c>
      <c r="M81" s="40" t="n">
        <f aca="false">D81+G81+J81</f>
        <v>4624.89330122736</v>
      </c>
      <c r="N81" s="40" t="n">
        <f aca="false">L81+M81</f>
        <v>16560.1570913465</v>
      </c>
      <c r="O81" s="40" t="n">
        <f aca="false">E81+H81+K81</f>
        <v>4178259.59315171</v>
      </c>
    </row>
    <row r="82" customFormat="false" ht="15" hidden="false" customHeight="false" outlineLevel="0" collapsed="false">
      <c r="A82" s="39" t="n">
        <v>76</v>
      </c>
      <c r="B82" s="39" t="n">
        <f aca="false">ROUNDUP(A82/12,0)</f>
        <v>7</v>
      </c>
      <c r="C82" s="40" t="n">
        <f aca="false">E81*Annahmen!$B$38/12</f>
        <v>2331.07156072002</v>
      </c>
      <c r="D82" s="40" t="n">
        <f aca="false">MIN($C$3-C82,E81)</f>
        <v>1168.92843927998</v>
      </c>
      <c r="E82" s="40" t="n">
        <f aca="false">E81-D82</f>
        <v>1117745.42070633</v>
      </c>
      <c r="F82" s="40" t="n">
        <f aca="false">H81*Annahmen!$B$39/12</f>
        <v>1820.79052562078</v>
      </c>
      <c r="G82" s="40" t="n">
        <f aca="false">MIN($F$3-F82,H81)</f>
        <v>785.876141045882</v>
      </c>
      <c r="H82" s="40" t="n">
        <f aca="false">H81-G82</f>
        <v>727530.334107268</v>
      </c>
      <c r="I82" s="40" t="n">
        <f aca="false">K81*Annahmen!$B$40/12</f>
        <v>7770.09677919264</v>
      </c>
      <c r="J82" s="40" t="n">
        <f aca="false">MIN($I$3-I82,K81)</f>
        <v>2683.39364548716</v>
      </c>
      <c r="K82" s="40" t="n">
        <f aca="false">K81-J82</f>
        <v>2328345.6401123</v>
      </c>
      <c r="L82" s="40" t="n">
        <f aca="false">C82+F82+I82</f>
        <v>11921.9588655334</v>
      </c>
      <c r="M82" s="40" t="n">
        <f aca="false">D82+G82+J82</f>
        <v>4638.19822581303</v>
      </c>
      <c r="N82" s="40" t="n">
        <f aca="false">L82+M82</f>
        <v>16560.1570913465</v>
      </c>
      <c r="O82" s="40" t="n">
        <f aca="false">E82+H82+K82</f>
        <v>4173621.3949259</v>
      </c>
    </row>
    <row r="83" customFormat="false" ht="15" hidden="false" customHeight="false" outlineLevel="0" collapsed="false">
      <c r="A83" s="39" t="n">
        <v>77</v>
      </c>
      <c r="B83" s="39" t="n">
        <f aca="false">ROUNDUP(A83/12,0)</f>
        <v>7</v>
      </c>
      <c r="C83" s="40" t="n">
        <f aca="false">E82*Annahmen!$B$38/12</f>
        <v>2328.63629313818</v>
      </c>
      <c r="D83" s="40" t="n">
        <f aca="false">MIN($C$3-C83,E82)</f>
        <v>1171.36370686181</v>
      </c>
      <c r="E83" s="40" t="n">
        <f aca="false">E82-D83</f>
        <v>1116574.05699947</v>
      </c>
      <c r="F83" s="40" t="n">
        <f aca="false">H82*Annahmen!$B$39/12</f>
        <v>1818.82583526817</v>
      </c>
      <c r="G83" s="40" t="n">
        <f aca="false">MIN($F$3-F83,H82)</f>
        <v>787.840831398497</v>
      </c>
      <c r="H83" s="40" t="n">
        <f aca="false">H82-G83</f>
        <v>726742.493275869</v>
      </c>
      <c r="I83" s="40" t="n">
        <f aca="false">K82*Annahmen!$B$40/12</f>
        <v>7761.15213370768</v>
      </c>
      <c r="J83" s="40" t="n">
        <f aca="false">MIN($I$3-I83,K82)</f>
        <v>2692.33829097212</v>
      </c>
      <c r="K83" s="40" t="n">
        <f aca="false">K82-J83</f>
        <v>2325653.30182133</v>
      </c>
      <c r="L83" s="40" t="n">
        <f aca="false">C83+F83+I83</f>
        <v>11908.614262114</v>
      </c>
      <c r="M83" s="40" t="n">
        <f aca="false">D83+G83+J83</f>
        <v>4651.54282923243</v>
      </c>
      <c r="N83" s="40" t="n">
        <f aca="false">L83+M83</f>
        <v>16560.1570913465</v>
      </c>
      <c r="O83" s="40" t="n">
        <f aca="false">E83+H83+K83</f>
        <v>4168969.85209667</v>
      </c>
    </row>
    <row r="84" customFormat="false" ht="15" hidden="false" customHeight="false" outlineLevel="0" collapsed="false">
      <c r="A84" s="39" t="n">
        <v>78</v>
      </c>
      <c r="B84" s="39" t="n">
        <f aca="false">ROUNDUP(A84/12,0)</f>
        <v>7</v>
      </c>
      <c r="C84" s="40" t="n">
        <f aca="false">E83*Annahmen!$B$38/12</f>
        <v>2326.19595208222</v>
      </c>
      <c r="D84" s="40" t="n">
        <f aca="false">MIN($C$3-C84,E83)</f>
        <v>1173.80404791778</v>
      </c>
      <c r="E84" s="40" t="n">
        <f aca="false">E83-D84</f>
        <v>1115400.25295155</v>
      </c>
      <c r="F84" s="40" t="n">
        <f aca="false">H83*Annahmen!$B$39/12</f>
        <v>1816.85623318967</v>
      </c>
      <c r="G84" s="40" t="n">
        <f aca="false">MIN($F$3-F84,H83)</f>
        <v>789.810433476993</v>
      </c>
      <c r="H84" s="40" t="n">
        <f aca="false">H83-G84</f>
        <v>725952.682842392</v>
      </c>
      <c r="I84" s="40" t="n">
        <f aca="false">K83*Annahmen!$B$40/12</f>
        <v>7752.17767273778</v>
      </c>
      <c r="J84" s="40" t="n">
        <f aca="false">MIN($I$3-I84,K83)</f>
        <v>2701.31275194203</v>
      </c>
      <c r="K84" s="40" t="n">
        <f aca="false">K83-J84</f>
        <v>2322951.98906939</v>
      </c>
      <c r="L84" s="40" t="n">
        <f aca="false">C84+F84+I84</f>
        <v>11895.2298580097</v>
      </c>
      <c r="M84" s="40" t="n">
        <f aca="false">D84+G84+J84</f>
        <v>4664.9272333368</v>
      </c>
      <c r="N84" s="40" t="n">
        <f aca="false">L84+M84</f>
        <v>16560.1570913465</v>
      </c>
      <c r="O84" s="40" t="n">
        <f aca="false">E84+H84+K84</f>
        <v>4164304.92486333</v>
      </c>
    </row>
    <row r="85" customFormat="false" ht="15" hidden="false" customHeight="false" outlineLevel="0" collapsed="false">
      <c r="A85" s="39" t="n">
        <v>79</v>
      </c>
      <c r="B85" s="39" t="n">
        <f aca="false">ROUNDUP(A85/12,0)</f>
        <v>7</v>
      </c>
      <c r="C85" s="40" t="n">
        <f aca="false">E84*Annahmen!$B$38/12</f>
        <v>2323.75052698239</v>
      </c>
      <c r="D85" s="40" t="n">
        <f aca="false">MIN($C$3-C85,E84)</f>
        <v>1176.24947301761</v>
      </c>
      <c r="E85" s="40" t="n">
        <f aca="false">E84-D85</f>
        <v>1114224.00347853</v>
      </c>
      <c r="F85" s="40" t="n">
        <f aca="false">H84*Annahmen!$B$39/12</f>
        <v>1814.88170710598</v>
      </c>
      <c r="G85" s="40" t="n">
        <f aca="false">MIN($F$3-F85,H84)</f>
        <v>791.784959560686</v>
      </c>
      <c r="H85" s="40" t="n">
        <f aca="false">H84-G85</f>
        <v>725160.897882831</v>
      </c>
      <c r="I85" s="40" t="n">
        <f aca="false">K84*Annahmen!$B$40/12</f>
        <v>7743.17329689797</v>
      </c>
      <c r="J85" s="40" t="n">
        <f aca="false">MIN($I$3-I85,K84)</f>
        <v>2710.31712778183</v>
      </c>
      <c r="K85" s="40" t="n">
        <f aca="false">K84-J85</f>
        <v>2320241.67194161</v>
      </c>
      <c r="L85" s="40" t="n">
        <f aca="false">C85+F85+I85</f>
        <v>11881.8055309863</v>
      </c>
      <c r="M85" s="40" t="n">
        <f aca="false">D85+G85+J85</f>
        <v>4678.35156036012</v>
      </c>
      <c r="N85" s="40" t="n">
        <f aca="false">L85+M85</f>
        <v>16560.1570913465</v>
      </c>
      <c r="O85" s="40" t="n">
        <f aca="false">E85+H85+K85</f>
        <v>4159626.57330297</v>
      </c>
    </row>
    <row r="86" customFormat="false" ht="15" hidden="false" customHeight="false" outlineLevel="0" collapsed="false">
      <c r="A86" s="39" t="n">
        <v>80</v>
      </c>
      <c r="B86" s="39" t="n">
        <f aca="false">ROUNDUP(A86/12,0)</f>
        <v>7</v>
      </c>
      <c r="C86" s="40" t="n">
        <f aca="false">E85*Annahmen!$B$38/12</f>
        <v>2321.30000724694</v>
      </c>
      <c r="D86" s="40" t="n">
        <f aca="false">MIN($C$3-C86,E85)</f>
        <v>1178.69999275306</v>
      </c>
      <c r="E86" s="40" t="n">
        <f aca="false">E85-D86</f>
        <v>1113045.30348578</v>
      </c>
      <c r="F86" s="40" t="n">
        <f aca="false">H85*Annahmen!$B$39/12</f>
        <v>1812.90224470708</v>
      </c>
      <c r="G86" s="40" t="n">
        <f aca="false">MIN($F$3-F86,H85)</f>
        <v>793.764421959588</v>
      </c>
      <c r="H86" s="40" t="n">
        <f aca="false">H85-G86</f>
        <v>724367.133460872</v>
      </c>
      <c r="I86" s="40" t="n">
        <f aca="false">K85*Annahmen!$B$40/12</f>
        <v>7734.13890647203</v>
      </c>
      <c r="J86" s="40" t="n">
        <f aca="false">MIN($I$3-I86,K85)</f>
        <v>2719.35151820777</v>
      </c>
      <c r="K86" s="40" t="n">
        <f aca="false">K85-J86</f>
        <v>2317522.3204234</v>
      </c>
      <c r="L86" s="40" t="n">
        <f aca="false">C86+F86+I86</f>
        <v>11868.341158426</v>
      </c>
      <c r="M86" s="40" t="n">
        <f aca="false">D86+G86+J86</f>
        <v>4691.81593292042</v>
      </c>
      <c r="N86" s="40" t="n">
        <f aca="false">L86+M86</f>
        <v>16560.1570913465</v>
      </c>
      <c r="O86" s="40" t="n">
        <f aca="false">E86+H86+K86</f>
        <v>4154934.75737005</v>
      </c>
    </row>
    <row r="87" customFormat="false" ht="15" hidden="false" customHeight="false" outlineLevel="0" collapsed="false">
      <c r="A87" s="39" t="n">
        <v>81</v>
      </c>
      <c r="B87" s="39" t="n">
        <f aca="false">ROUNDUP(A87/12,0)</f>
        <v>7</v>
      </c>
      <c r="C87" s="40" t="n">
        <f aca="false">E86*Annahmen!$B$38/12</f>
        <v>2318.84438226204</v>
      </c>
      <c r="D87" s="40" t="n">
        <f aca="false">MIN($C$3-C87,E86)</f>
        <v>1181.15561773796</v>
      </c>
      <c r="E87" s="40" t="n">
        <f aca="false">E86-D87</f>
        <v>1111864.14786804</v>
      </c>
      <c r="F87" s="40" t="n">
        <f aca="false">H86*Annahmen!$B$39/12</f>
        <v>1810.91783365218</v>
      </c>
      <c r="G87" s="40" t="n">
        <f aca="false">MIN($F$3-F87,H86)</f>
        <v>795.748833014487</v>
      </c>
      <c r="H87" s="40" t="n">
        <f aca="false">H86-G87</f>
        <v>723571.384627857</v>
      </c>
      <c r="I87" s="40" t="n">
        <f aca="false">K86*Annahmen!$B$40/12</f>
        <v>7725.07440141134</v>
      </c>
      <c r="J87" s="40" t="n">
        <f aca="false">MIN($I$3-I87,K86)</f>
        <v>2728.41602326846</v>
      </c>
      <c r="K87" s="40" t="n">
        <f aca="false">K86-J87</f>
        <v>2314793.90440013</v>
      </c>
      <c r="L87" s="40" t="n">
        <f aca="false">C87+F87+I87</f>
        <v>11854.8366173256</v>
      </c>
      <c r="M87" s="40" t="n">
        <f aca="false">D87+G87+J87</f>
        <v>4705.32047402091</v>
      </c>
      <c r="N87" s="40" t="n">
        <f aca="false">L87+M87</f>
        <v>16560.1570913465</v>
      </c>
      <c r="O87" s="40" t="n">
        <f aca="false">E87+H87+K87</f>
        <v>4150229.43689603</v>
      </c>
    </row>
    <row r="88" customFormat="false" ht="15" hidden="false" customHeight="false" outlineLevel="0" collapsed="false">
      <c r="A88" s="39" t="n">
        <v>82</v>
      </c>
      <c r="B88" s="39" t="n">
        <f aca="false">ROUNDUP(A88/12,0)</f>
        <v>7</v>
      </c>
      <c r="C88" s="40" t="n">
        <f aca="false">E87*Annahmen!$B$38/12</f>
        <v>2316.38364139175</v>
      </c>
      <c r="D88" s="40" t="n">
        <f aca="false">MIN($C$3-C88,E87)</f>
        <v>1183.61635860825</v>
      </c>
      <c r="E88" s="40" t="n">
        <f aca="false">E87-D88</f>
        <v>1110680.53150943</v>
      </c>
      <c r="F88" s="40" t="n">
        <f aca="false">H87*Annahmen!$B$39/12</f>
        <v>1808.92846156964</v>
      </c>
      <c r="G88" s="40" t="n">
        <f aca="false">MIN($F$3-F88,H87)</f>
        <v>797.738205097023</v>
      </c>
      <c r="H88" s="40" t="n">
        <f aca="false">H87-G88</f>
        <v>722773.64642276</v>
      </c>
      <c r="I88" s="40" t="n">
        <f aca="false">K87*Annahmen!$B$40/12</f>
        <v>7715.97968133378</v>
      </c>
      <c r="J88" s="40" t="n">
        <f aca="false">MIN($I$3-I88,K87)</f>
        <v>2737.51074334603</v>
      </c>
      <c r="K88" s="40" t="n">
        <f aca="false">K87-J88</f>
        <v>2312056.39365679</v>
      </c>
      <c r="L88" s="40" t="n">
        <f aca="false">C88+F88+I88</f>
        <v>11841.2917842952</v>
      </c>
      <c r="M88" s="40" t="n">
        <f aca="false">D88+G88+J88</f>
        <v>4718.8653070513</v>
      </c>
      <c r="N88" s="40" t="n">
        <f aca="false">L88+M88</f>
        <v>16560.1570913465</v>
      </c>
      <c r="O88" s="40" t="n">
        <f aca="false">E88+H88+K88</f>
        <v>4145510.57158898</v>
      </c>
    </row>
    <row r="89" customFormat="false" ht="15" hidden="false" customHeight="false" outlineLevel="0" collapsed="false">
      <c r="A89" s="39" t="n">
        <v>83</v>
      </c>
      <c r="B89" s="39" t="n">
        <f aca="false">ROUNDUP(A89/12,0)</f>
        <v>7</v>
      </c>
      <c r="C89" s="40" t="n">
        <f aca="false">E88*Annahmen!$B$38/12</f>
        <v>2313.91777397798</v>
      </c>
      <c r="D89" s="40" t="n">
        <f aca="false">MIN($C$3-C89,E88)</f>
        <v>1186.08222602202</v>
      </c>
      <c r="E89" s="40" t="n">
        <f aca="false">E88-D89</f>
        <v>1109494.44928341</v>
      </c>
      <c r="F89" s="40" t="n">
        <f aca="false">H88*Annahmen!$B$39/12</f>
        <v>1806.9341160569</v>
      </c>
      <c r="G89" s="40" t="n">
        <f aca="false">MIN($F$3-F89,H88)</f>
        <v>799.732550609765</v>
      </c>
      <c r="H89" s="40" t="n">
        <f aca="false">H88-G89</f>
        <v>721973.91387215</v>
      </c>
      <c r="I89" s="40" t="n">
        <f aca="false">K88*Annahmen!$B$40/12</f>
        <v>7706.85464552262</v>
      </c>
      <c r="J89" s="40" t="n">
        <f aca="false">MIN($I$3-I89,K88)</f>
        <v>2746.63577915718</v>
      </c>
      <c r="K89" s="40" t="n">
        <f aca="false">K88-J89</f>
        <v>2309309.75787763</v>
      </c>
      <c r="L89" s="40" t="n">
        <f aca="false">C89+F89+I89</f>
        <v>11827.7065355575</v>
      </c>
      <c r="M89" s="40" t="n">
        <f aca="false">D89+G89+J89</f>
        <v>4732.45055578896</v>
      </c>
      <c r="N89" s="40" t="n">
        <f aca="false">L89+M89</f>
        <v>16560.1570913465</v>
      </c>
      <c r="O89" s="40" t="n">
        <f aca="false">E89+H89+K89</f>
        <v>4140778.12103319</v>
      </c>
    </row>
    <row r="90" customFormat="false" ht="15" hidden="false" customHeight="false" outlineLevel="0" collapsed="false">
      <c r="A90" s="39" t="n">
        <v>84</v>
      </c>
      <c r="B90" s="39" t="n">
        <f aca="false">ROUNDUP(A90/12,0)</f>
        <v>7</v>
      </c>
      <c r="C90" s="40" t="n">
        <f aca="false">E89*Annahmen!$B$38/12</f>
        <v>2311.44676934044</v>
      </c>
      <c r="D90" s="40" t="n">
        <f aca="false">MIN($C$3-C90,E89)</f>
        <v>1188.55323065956</v>
      </c>
      <c r="E90" s="40" t="n">
        <f aca="false">E89-D90</f>
        <v>1108305.89605275</v>
      </c>
      <c r="F90" s="40" t="n">
        <f aca="false">H89*Annahmen!$B$39/12</f>
        <v>1804.93478468038</v>
      </c>
      <c r="G90" s="40" t="n">
        <f aca="false">MIN($F$3-F90,H89)</f>
        <v>801.73188198629</v>
      </c>
      <c r="H90" s="40" t="n">
        <f aca="false">H89-G90</f>
        <v>721172.181990164</v>
      </c>
      <c r="I90" s="40" t="n">
        <f aca="false">K89*Annahmen!$B$40/12</f>
        <v>7697.69919292543</v>
      </c>
      <c r="J90" s="40" t="n">
        <f aca="false">MIN($I$3-I90,K89)</f>
        <v>2755.79123175437</v>
      </c>
      <c r="K90" s="40" t="n">
        <f aca="false">K89-J90</f>
        <v>2306553.96664588</v>
      </c>
      <c r="L90" s="40" t="n">
        <f aca="false">C90+F90+I90</f>
        <v>11814.0807469462</v>
      </c>
      <c r="M90" s="40" t="n">
        <f aca="false">D90+G90+J90</f>
        <v>4746.07634440022</v>
      </c>
      <c r="N90" s="40" t="n">
        <f aca="false">L90+M90</f>
        <v>16560.1570913465</v>
      </c>
      <c r="O90" s="40" t="n">
        <f aca="false">E90+H90+K90</f>
        <v>4136032.04468879</v>
      </c>
    </row>
    <row r="91" customFormat="false" ht="15" hidden="false" customHeight="false" outlineLevel="0" collapsed="false">
      <c r="A91" s="39" t="n">
        <v>85</v>
      </c>
      <c r="B91" s="39" t="n">
        <f aca="false">ROUNDUP(A91/12,0)</f>
        <v>8</v>
      </c>
      <c r="C91" s="40" t="n">
        <f aca="false">E90*Annahmen!$B$38/12</f>
        <v>2308.97061677656</v>
      </c>
      <c r="D91" s="40" t="n">
        <f aca="false">MIN($C$3-C91,E90)</f>
        <v>1191.02938322344</v>
      </c>
      <c r="E91" s="40" t="n">
        <f aca="false">E90-D91</f>
        <v>1107114.86666953</v>
      </c>
      <c r="F91" s="40" t="n">
        <f aca="false">H90*Annahmen!$B$39/12</f>
        <v>1802.93045497541</v>
      </c>
      <c r="G91" s="40" t="n">
        <f aca="false">MIN($F$3-F91,H90)</f>
        <v>803.736211691255</v>
      </c>
      <c r="H91" s="40" t="n">
        <f aca="false">H90-G91</f>
        <v>720368.445778473</v>
      </c>
      <c r="I91" s="40" t="n">
        <f aca="false">K90*Annahmen!$B$40/12</f>
        <v>7688.51322215292</v>
      </c>
      <c r="J91" s="40" t="n">
        <f aca="false">MIN($I$3-I91,K90)</f>
        <v>2764.97720252689</v>
      </c>
      <c r="K91" s="40" t="n">
        <f aca="false">K90-J91</f>
        <v>2303788.98944335</v>
      </c>
      <c r="L91" s="40" t="n">
        <f aca="false">C91+F91+I91</f>
        <v>11800.4142939049</v>
      </c>
      <c r="M91" s="40" t="n">
        <f aca="false">D91+G91+J91</f>
        <v>4759.74279744158</v>
      </c>
      <c r="N91" s="40" t="n">
        <f aca="false">L91+M91</f>
        <v>16560.1570913465</v>
      </c>
      <c r="O91" s="40" t="n">
        <f aca="false">E91+H91+K91</f>
        <v>4131272.30189135</v>
      </c>
    </row>
    <row r="92" customFormat="false" ht="15" hidden="false" customHeight="false" outlineLevel="0" collapsed="false">
      <c r="A92" s="39" t="n">
        <v>86</v>
      </c>
      <c r="B92" s="39" t="n">
        <f aca="false">ROUNDUP(A92/12,0)</f>
        <v>8</v>
      </c>
      <c r="C92" s="40" t="n">
        <f aca="false">E91*Annahmen!$B$38/12</f>
        <v>2306.48930556151</v>
      </c>
      <c r="D92" s="40" t="n">
        <f aca="false">MIN($C$3-C92,E91)</f>
        <v>1193.51069443848</v>
      </c>
      <c r="E92" s="40" t="n">
        <f aca="false">E91-D92</f>
        <v>1105921.35597509</v>
      </c>
      <c r="F92" s="40" t="n">
        <f aca="false">H91*Annahmen!$B$39/12</f>
        <v>1800.92111444618</v>
      </c>
      <c r="G92" s="40" t="n">
        <f aca="false">MIN($F$3-F92,H91)</f>
        <v>805.745552220483</v>
      </c>
      <c r="H92" s="40" t="n">
        <f aca="false">H91-G92</f>
        <v>719562.700226252</v>
      </c>
      <c r="I92" s="40" t="n">
        <f aca="false">K91*Annahmen!$B$40/12</f>
        <v>7679.29663147783</v>
      </c>
      <c r="J92" s="40" t="n">
        <f aca="false">MIN($I$3-I92,K91)</f>
        <v>2774.19379320197</v>
      </c>
      <c r="K92" s="40" t="n">
        <f aca="false">K91-J92</f>
        <v>2301014.79565015</v>
      </c>
      <c r="L92" s="40" t="n">
        <f aca="false">C92+F92+I92</f>
        <v>11786.7070514855</v>
      </c>
      <c r="M92" s="40" t="n">
        <f aca="false">D92+G92+J92</f>
        <v>4773.45003986094</v>
      </c>
      <c r="N92" s="40" t="n">
        <f aca="false">L92+M92</f>
        <v>16560.1570913465</v>
      </c>
      <c r="O92" s="40" t="n">
        <f aca="false">E92+H92+K92</f>
        <v>4126498.85185149</v>
      </c>
    </row>
    <row r="93" customFormat="false" ht="15" hidden="false" customHeight="false" outlineLevel="0" collapsed="false">
      <c r="A93" s="39" t="n">
        <v>87</v>
      </c>
      <c r="B93" s="39" t="n">
        <f aca="false">ROUNDUP(A93/12,0)</f>
        <v>8</v>
      </c>
      <c r="C93" s="40" t="n">
        <f aca="false">E92*Annahmen!$B$38/12</f>
        <v>2304.0028249481</v>
      </c>
      <c r="D93" s="40" t="n">
        <f aca="false">MIN($C$3-C93,E92)</f>
        <v>1195.9971750519</v>
      </c>
      <c r="E93" s="40" t="n">
        <f aca="false">E92-D93</f>
        <v>1104725.35880004</v>
      </c>
      <c r="F93" s="40" t="n">
        <f aca="false">H92*Annahmen!$B$39/12</f>
        <v>1798.90675056563</v>
      </c>
      <c r="G93" s="40" t="n">
        <f aca="false">MIN($F$3-F93,H92)</f>
        <v>807.759916101035</v>
      </c>
      <c r="H93" s="40" t="n">
        <f aca="false">H92-G93</f>
        <v>718754.940310151</v>
      </c>
      <c r="I93" s="40" t="n">
        <f aca="false">K92*Annahmen!$B$40/12</f>
        <v>7670.04931883382</v>
      </c>
      <c r="J93" s="40" t="n">
        <f aca="false">MIN($I$3-I93,K92)</f>
        <v>2783.44110584598</v>
      </c>
      <c r="K93" s="40" t="n">
        <f aca="false">K92-J93</f>
        <v>2298231.3545443</v>
      </c>
      <c r="L93" s="40" t="n">
        <f aca="false">C93+F93+I93</f>
        <v>11772.9588943476</v>
      </c>
      <c r="M93" s="40" t="n">
        <f aca="false">D93+G93+J93</f>
        <v>4787.19819699891</v>
      </c>
      <c r="N93" s="40" t="n">
        <f aca="false">L93+M93</f>
        <v>16560.1570913465</v>
      </c>
      <c r="O93" s="40" t="n">
        <f aca="false">E93+H93+K93</f>
        <v>4121711.65365449</v>
      </c>
    </row>
    <row r="94" customFormat="false" ht="15" hidden="false" customHeight="false" outlineLevel="0" collapsed="false">
      <c r="A94" s="39" t="n">
        <v>88</v>
      </c>
      <c r="B94" s="39" t="n">
        <f aca="false">ROUNDUP(A94/12,0)</f>
        <v>8</v>
      </c>
      <c r="C94" s="40" t="n">
        <f aca="false">E93*Annahmen!$B$38/12</f>
        <v>2301.51116416674</v>
      </c>
      <c r="D94" s="40" t="n">
        <f aca="false">MIN($C$3-C94,E93)</f>
        <v>1198.48883583326</v>
      </c>
      <c r="E94" s="40" t="n">
        <f aca="false">E93-D94</f>
        <v>1103526.8699642</v>
      </c>
      <c r="F94" s="40" t="n">
        <f aca="false">H93*Annahmen!$B$39/12</f>
        <v>1796.88735077538</v>
      </c>
      <c r="G94" s="40" t="n">
        <f aca="false">MIN($F$3-F94,H93)</f>
        <v>809.779315891288</v>
      </c>
      <c r="H94" s="40" t="n">
        <f aca="false">H93-G94</f>
        <v>717945.16099426</v>
      </c>
      <c r="I94" s="40" t="n">
        <f aca="false">K93*Annahmen!$B$40/12</f>
        <v>7660.77118181434</v>
      </c>
      <c r="J94" s="40" t="n">
        <f aca="false">MIN($I$3-I94,K93)</f>
        <v>2792.71924286547</v>
      </c>
      <c r="K94" s="40" t="n">
        <f aca="false">K93-J94</f>
        <v>2295438.63530144</v>
      </c>
      <c r="L94" s="40" t="n">
        <f aca="false">C94+F94+I94</f>
        <v>11759.1696967565</v>
      </c>
      <c r="M94" s="40" t="n">
        <f aca="false">D94+G94+J94</f>
        <v>4800.98739459001</v>
      </c>
      <c r="N94" s="40" t="n">
        <f aca="false">L94+M94</f>
        <v>16560.1570913465</v>
      </c>
      <c r="O94" s="40" t="n">
        <f aca="false">E94+H94+K94</f>
        <v>4116910.6662599</v>
      </c>
    </row>
    <row r="95" customFormat="false" ht="15" hidden="false" customHeight="false" outlineLevel="0" collapsed="false">
      <c r="A95" s="39" t="n">
        <v>89</v>
      </c>
      <c r="B95" s="39" t="n">
        <f aca="false">ROUNDUP(A95/12,0)</f>
        <v>8</v>
      </c>
      <c r="C95" s="40" t="n">
        <f aca="false">E94*Annahmen!$B$38/12</f>
        <v>2299.01431242542</v>
      </c>
      <c r="D95" s="40" t="n">
        <f aca="false">MIN($C$3-C95,E94)</f>
        <v>1200.98568757458</v>
      </c>
      <c r="E95" s="40" t="n">
        <f aca="false">E94-D95</f>
        <v>1102325.88427663</v>
      </c>
      <c r="F95" s="40" t="n">
        <f aca="false">H94*Annahmen!$B$39/12</f>
        <v>1794.86290248565</v>
      </c>
      <c r="G95" s="40" t="n">
        <f aca="false">MIN($F$3-F95,H94)</f>
        <v>811.803764181016</v>
      </c>
      <c r="H95" s="40" t="n">
        <f aca="false">H94-G95</f>
        <v>717133.357230079</v>
      </c>
      <c r="I95" s="40" t="n">
        <f aca="false">K94*Annahmen!$B$40/12</f>
        <v>7651.46211767145</v>
      </c>
      <c r="J95" s="40" t="n">
        <f aca="false">MIN($I$3-I95,K94)</f>
        <v>2802.02830700835</v>
      </c>
      <c r="K95" s="40" t="n">
        <f aca="false">K94-J95</f>
        <v>2292636.60699443</v>
      </c>
      <c r="L95" s="40" t="n">
        <f aca="false">C95+F95+I95</f>
        <v>11745.3393325825</v>
      </c>
      <c r="M95" s="40" t="n">
        <f aca="false">D95+G95+J95</f>
        <v>4814.81775876394</v>
      </c>
      <c r="N95" s="40" t="n">
        <f aca="false">L95+M95</f>
        <v>16560.1570913465</v>
      </c>
      <c r="O95" s="40" t="n">
        <f aca="false">E95+H95+K95</f>
        <v>4112095.84850113</v>
      </c>
    </row>
    <row r="96" customFormat="false" ht="15" hidden="false" customHeight="false" outlineLevel="0" collapsed="false">
      <c r="A96" s="39" t="n">
        <v>90</v>
      </c>
      <c r="B96" s="39" t="n">
        <f aca="false">ROUNDUP(A96/12,0)</f>
        <v>8</v>
      </c>
      <c r="C96" s="40" t="n">
        <f aca="false">E95*Annahmen!$B$38/12</f>
        <v>2296.51225890964</v>
      </c>
      <c r="D96" s="40" t="n">
        <f aca="false">MIN($C$3-C96,E95)</f>
        <v>1203.48774109036</v>
      </c>
      <c r="E96" s="40" t="n">
        <f aca="false">E95-D96</f>
        <v>1101122.39653554</v>
      </c>
      <c r="F96" s="40" t="n">
        <f aca="false">H95*Annahmen!$B$39/12</f>
        <v>1792.8333930752</v>
      </c>
      <c r="G96" s="40" t="n">
        <f aca="false">MIN($F$3-F96,H95)</f>
        <v>813.833273591468</v>
      </c>
      <c r="H96" s="40" t="n">
        <f aca="false">H95-G96</f>
        <v>716319.523956488</v>
      </c>
      <c r="I96" s="40" t="n">
        <f aca="false">K95*Annahmen!$B$40/12</f>
        <v>7642.12202331475</v>
      </c>
      <c r="J96" s="40" t="n">
        <f aca="false">MIN($I$3-I96,K95)</f>
        <v>2811.36840136505</v>
      </c>
      <c r="K96" s="40" t="n">
        <f aca="false">K95-J96</f>
        <v>2289825.23859306</v>
      </c>
      <c r="L96" s="40" t="n">
        <f aca="false">C96+F96+I96</f>
        <v>11731.4676752996</v>
      </c>
      <c r="M96" s="40" t="n">
        <f aca="false">D96+G96+J96</f>
        <v>4828.68941604687</v>
      </c>
      <c r="N96" s="40" t="n">
        <f aca="false">L96+M96</f>
        <v>16560.1570913465</v>
      </c>
      <c r="O96" s="40" t="n">
        <f aca="false">E96+H96+K96</f>
        <v>4107267.15908509</v>
      </c>
    </row>
    <row r="97" customFormat="false" ht="15" hidden="false" customHeight="false" outlineLevel="0" collapsed="false">
      <c r="A97" s="39" t="n">
        <v>91</v>
      </c>
      <c r="B97" s="39" t="n">
        <f aca="false">ROUNDUP(A97/12,0)</f>
        <v>8</v>
      </c>
      <c r="C97" s="40" t="n">
        <f aca="false">E96*Annahmen!$B$38/12</f>
        <v>2294.00499278237</v>
      </c>
      <c r="D97" s="40" t="n">
        <f aca="false">MIN($C$3-C97,E96)</f>
        <v>1205.99500721763</v>
      </c>
      <c r="E97" s="40" t="n">
        <f aca="false">E96-D97</f>
        <v>1099916.40152832</v>
      </c>
      <c r="F97" s="40" t="n">
        <f aca="false">H96*Annahmen!$B$39/12</f>
        <v>1790.79880989122</v>
      </c>
      <c r="G97" s="40" t="n">
        <f aca="false">MIN($F$3-F97,H96)</f>
        <v>815.867856775447</v>
      </c>
      <c r="H97" s="40" t="n">
        <f aca="false">H96-G97</f>
        <v>715503.656099712</v>
      </c>
      <c r="I97" s="40" t="n">
        <f aca="false">K96*Annahmen!$B$40/12</f>
        <v>7632.75079531021</v>
      </c>
      <c r="J97" s="40" t="n">
        <f aca="false">MIN($I$3-I97,K96)</f>
        <v>2820.7396293696</v>
      </c>
      <c r="K97" s="40" t="n">
        <f aca="false">K96-J97</f>
        <v>2287004.49896369</v>
      </c>
      <c r="L97" s="40" t="n">
        <f aca="false">C97+F97+I97</f>
        <v>11717.5545979838</v>
      </c>
      <c r="M97" s="40" t="n">
        <f aca="false">D97+G97+J97</f>
        <v>4842.60249336267</v>
      </c>
      <c r="N97" s="40" t="n">
        <f aca="false">L97+M97</f>
        <v>16560.1570913465</v>
      </c>
      <c r="O97" s="40" t="n">
        <f aca="false">E97+H97+K97</f>
        <v>4102424.55659172</v>
      </c>
    </row>
    <row r="98" customFormat="false" ht="15" hidden="false" customHeight="false" outlineLevel="0" collapsed="false">
      <c r="A98" s="39" t="n">
        <v>92</v>
      </c>
      <c r="B98" s="39" t="n">
        <f aca="false">ROUNDUP(A98/12,0)</f>
        <v>8</v>
      </c>
      <c r="C98" s="40" t="n">
        <f aca="false">E97*Annahmen!$B$38/12</f>
        <v>2291.492503184</v>
      </c>
      <c r="D98" s="40" t="n">
        <f aca="false">MIN($C$3-C98,E97)</f>
        <v>1208.507496816</v>
      </c>
      <c r="E98" s="40" t="n">
        <f aca="false">E97-D98</f>
        <v>1098707.8940315</v>
      </c>
      <c r="F98" s="40" t="n">
        <f aca="false">H97*Annahmen!$B$39/12</f>
        <v>1788.75914024928</v>
      </c>
      <c r="G98" s="40" t="n">
        <f aca="false">MIN($F$3-F98,H97)</f>
        <v>817.907526417386</v>
      </c>
      <c r="H98" s="40" t="n">
        <f aca="false">H97-G98</f>
        <v>714685.748573295</v>
      </c>
      <c r="I98" s="40" t="n">
        <f aca="false">K97*Annahmen!$B$40/12</f>
        <v>7623.34832987897</v>
      </c>
      <c r="J98" s="40" t="n">
        <f aca="false">MIN($I$3-I98,K97)</f>
        <v>2830.14209480083</v>
      </c>
      <c r="K98" s="40" t="n">
        <f aca="false">K97-J98</f>
        <v>2284174.35686889</v>
      </c>
      <c r="L98" s="40" t="n">
        <f aca="false">C98+F98+I98</f>
        <v>11703.5999733123</v>
      </c>
      <c r="M98" s="40" t="n">
        <f aca="false">D98+G98+J98</f>
        <v>4856.55711803421</v>
      </c>
      <c r="N98" s="40" t="n">
        <f aca="false">L98+M98</f>
        <v>16560.1570913465</v>
      </c>
      <c r="O98" s="40" t="n">
        <f aca="false">E98+H98+K98</f>
        <v>4097567.99947369</v>
      </c>
    </row>
    <row r="99" customFormat="false" ht="15" hidden="false" customHeight="false" outlineLevel="0" collapsed="false">
      <c r="A99" s="39" t="n">
        <v>93</v>
      </c>
      <c r="B99" s="39" t="n">
        <f aca="false">ROUNDUP(A99/12,0)</f>
        <v>8</v>
      </c>
      <c r="C99" s="40" t="n">
        <f aca="false">E98*Annahmen!$B$38/12</f>
        <v>2288.9747792323</v>
      </c>
      <c r="D99" s="40" t="n">
        <f aca="false">MIN($C$3-C99,E98)</f>
        <v>1211.0252207677</v>
      </c>
      <c r="E99" s="40" t="n">
        <f aca="false">E98-D99</f>
        <v>1097496.86881074</v>
      </c>
      <c r="F99" s="40" t="n">
        <f aca="false">H98*Annahmen!$B$39/12</f>
        <v>1786.71437143324</v>
      </c>
      <c r="G99" s="40" t="n">
        <f aca="false">MIN($F$3-F99,H98)</f>
        <v>819.952295233429</v>
      </c>
      <c r="H99" s="40" t="n">
        <f aca="false">H98-G99</f>
        <v>713865.796278061</v>
      </c>
      <c r="I99" s="40" t="n">
        <f aca="false">K98*Annahmen!$B$40/12</f>
        <v>7613.9145228963</v>
      </c>
      <c r="J99" s="40" t="n">
        <f aca="false">MIN($I$3-I99,K98)</f>
        <v>2839.5759017835</v>
      </c>
      <c r="K99" s="40" t="n">
        <f aca="false">K98-J99</f>
        <v>2281334.78096711</v>
      </c>
      <c r="L99" s="40" t="n">
        <f aca="false">C99+F99+I99</f>
        <v>11689.6036735618</v>
      </c>
      <c r="M99" s="40" t="n">
        <f aca="false">D99+G99+J99</f>
        <v>4870.55341778463</v>
      </c>
      <c r="N99" s="40" t="n">
        <f aca="false">L99+M99</f>
        <v>16560.1570913465</v>
      </c>
      <c r="O99" s="40" t="n">
        <f aca="false">E99+H99+K99</f>
        <v>4092697.44605591</v>
      </c>
    </row>
    <row r="100" customFormat="false" ht="15" hidden="false" customHeight="false" outlineLevel="0" collapsed="false">
      <c r="A100" s="39" t="n">
        <v>94</v>
      </c>
      <c r="B100" s="39" t="n">
        <f aca="false">ROUNDUP(A100/12,0)</f>
        <v>8</v>
      </c>
      <c r="C100" s="40" t="n">
        <f aca="false">E99*Annahmen!$B$38/12</f>
        <v>2286.45181002237</v>
      </c>
      <c r="D100" s="40" t="n">
        <f aca="false">MIN($C$3-C100,E99)</f>
        <v>1213.54818997763</v>
      </c>
      <c r="E100" s="40" t="n">
        <f aca="false">E99-D100</f>
        <v>1096283.32062076</v>
      </c>
      <c r="F100" s="40" t="n">
        <f aca="false">H99*Annahmen!$B$39/12</f>
        <v>1784.66449069515</v>
      </c>
      <c r="G100" s="40" t="n">
        <f aca="false">MIN($F$3-F100,H99)</f>
        <v>822.002175971512</v>
      </c>
      <c r="H100" s="40" t="n">
        <f aca="false">H99-G100</f>
        <v>713043.79410209</v>
      </c>
      <c r="I100" s="40" t="n">
        <f aca="false">K99*Annahmen!$B$40/12</f>
        <v>7604.44926989036</v>
      </c>
      <c r="J100" s="40" t="n">
        <f aca="false">MIN($I$3-I100,K99)</f>
        <v>2849.04115478944</v>
      </c>
      <c r="K100" s="40" t="n">
        <f aca="false">K99-J100</f>
        <v>2278485.73981232</v>
      </c>
      <c r="L100" s="40" t="n">
        <f aca="false">C100+F100+I100</f>
        <v>11675.5655706079</v>
      </c>
      <c r="M100" s="40" t="n">
        <f aca="false">D100+G100+J100</f>
        <v>4884.59152073859</v>
      </c>
      <c r="N100" s="40" t="n">
        <f aca="false">L100+M100</f>
        <v>16560.1570913465</v>
      </c>
      <c r="O100" s="40" t="n">
        <f aca="false">E100+H100+K100</f>
        <v>4087812.85453517</v>
      </c>
    </row>
    <row r="101" customFormat="false" ht="15" hidden="false" customHeight="false" outlineLevel="0" collapsed="false">
      <c r="A101" s="39" t="n">
        <v>95</v>
      </c>
      <c r="B101" s="39" t="n">
        <f aca="false">ROUNDUP(A101/12,0)</f>
        <v>8</v>
      </c>
      <c r="C101" s="40" t="n">
        <f aca="false">E100*Annahmen!$B$38/12</f>
        <v>2283.92358462658</v>
      </c>
      <c r="D101" s="40" t="n">
        <f aca="false">MIN($C$3-C101,E100)</f>
        <v>1216.07641537342</v>
      </c>
      <c r="E101" s="40" t="n">
        <f aca="false">E100-D101</f>
        <v>1095067.24420539</v>
      </c>
      <c r="F101" s="40" t="n">
        <f aca="false">H100*Annahmen!$B$39/12</f>
        <v>1782.60948525522</v>
      </c>
      <c r="G101" s="40" t="n">
        <f aca="false">MIN($F$3-F101,H100)</f>
        <v>824.057181411441</v>
      </c>
      <c r="H101" s="40" t="n">
        <f aca="false">H100-G101</f>
        <v>712219.736920678</v>
      </c>
      <c r="I101" s="40" t="n">
        <f aca="false">K100*Annahmen!$B$40/12</f>
        <v>7594.95246604106</v>
      </c>
      <c r="J101" s="40" t="n">
        <f aca="false">MIN($I$3-I101,K100)</f>
        <v>2858.53795863874</v>
      </c>
      <c r="K101" s="40" t="n">
        <f aca="false">K100-J101</f>
        <v>2275627.20185368</v>
      </c>
      <c r="L101" s="40" t="n">
        <f aca="false">C101+F101+I101</f>
        <v>11661.4855359229</v>
      </c>
      <c r="M101" s="40" t="n">
        <f aca="false">D101+G101+J101</f>
        <v>4898.6715554236</v>
      </c>
      <c r="N101" s="40" t="n">
        <f aca="false">L101+M101</f>
        <v>16560.1570913465</v>
      </c>
      <c r="O101" s="40" t="n">
        <f aca="false">E101+H101+K101</f>
        <v>4082914.18297974</v>
      </c>
    </row>
    <row r="102" customFormat="false" ht="15" hidden="false" customHeight="false" outlineLevel="0" collapsed="false">
      <c r="A102" s="39" t="n">
        <v>96</v>
      </c>
      <c r="B102" s="39" t="n">
        <f aca="false">ROUNDUP(A102/12,0)</f>
        <v>8</v>
      </c>
      <c r="C102" s="40" t="n">
        <f aca="false">E101*Annahmen!$B$38/12</f>
        <v>2281.39009209455</v>
      </c>
      <c r="D102" s="40" t="n">
        <f aca="false">MIN($C$3-C102,E101)</f>
        <v>1218.60990790544</v>
      </c>
      <c r="E102" s="40" t="n">
        <f aca="false">E101-D102</f>
        <v>1093848.63429748</v>
      </c>
      <c r="F102" s="40" t="n">
        <f aca="false">H101*Annahmen!$B$39/12</f>
        <v>1780.5493423017</v>
      </c>
      <c r="G102" s="40" t="n">
        <f aca="false">MIN($F$3-F102,H101)</f>
        <v>826.11732436497</v>
      </c>
      <c r="H102" s="40" t="n">
        <f aca="false">H101-G102</f>
        <v>711393.619596314</v>
      </c>
      <c r="I102" s="40" t="n">
        <f aca="false">K101*Annahmen!$B$40/12</f>
        <v>7585.42400617893</v>
      </c>
      <c r="J102" s="40" t="n">
        <f aca="false">MIN($I$3-I102,K101)</f>
        <v>2868.06641850087</v>
      </c>
      <c r="K102" s="40" t="n">
        <f aca="false">K101-J102</f>
        <v>2272759.13543518</v>
      </c>
      <c r="L102" s="40" t="n">
        <f aca="false">C102+F102+I102</f>
        <v>11647.3634405752</v>
      </c>
      <c r="M102" s="40" t="n">
        <f aca="false">D102+G102+J102</f>
        <v>4912.79365077128</v>
      </c>
      <c r="N102" s="40" t="n">
        <f aca="false">L102+M102</f>
        <v>16560.1570913465</v>
      </c>
      <c r="O102" s="40" t="n">
        <f aca="false">E102+H102+K102</f>
        <v>4078001.38932897</v>
      </c>
    </row>
    <row r="103" customFormat="false" ht="15" hidden="false" customHeight="false" outlineLevel="0" collapsed="false">
      <c r="A103" s="39" t="n">
        <v>97</v>
      </c>
      <c r="B103" s="39" t="n">
        <f aca="false">ROUNDUP(A103/12,0)</f>
        <v>9</v>
      </c>
      <c r="C103" s="40" t="n">
        <f aca="false">E102*Annahmen!$B$38/12</f>
        <v>2278.85132145308</v>
      </c>
      <c r="D103" s="40" t="n">
        <f aca="false">MIN($C$3-C103,E102)</f>
        <v>1221.14867854691</v>
      </c>
      <c r="E103" s="40" t="n">
        <f aca="false">E102-D103</f>
        <v>1092627.48561893</v>
      </c>
      <c r="F103" s="40" t="n">
        <f aca="false">H102*Annahmen!$B$39/12</f>
        <v>1778.48404899078</v>
      </c>
      <c r="G103" s="40" t="n">
        <f aca="false">MIN($F$3-F103,H102)</f>
        <v>828.182617675882</v>
      </c>
      <c r="H103" s="40" t="n">
        <f aca="false">H102-G103</f>
        <v>710565.436978638</v>
      </c>
      <c r="I103" s="40" t="n">
        <f aca="false">K102*Annahmen!$B$40/12</f>
        <v>7575.86378478393</v>
      </c>
      <c r="J103" s="40" t="n">
        <f aca="false">MIN($I$3-I103,K102)</f>
        <v>2877.62663989587</v>
      </c>
      <c r="K103" s="40" t="n">
        <f aca="false">K102-J103</f>
        <v>2269881.50879528</v>
      </c>
      <c r="L103" s="40" t="n">
        <f aca="false">C103+F103+I103</f>
        <v>11633.1991552278</v>
      </c>
      <c r="M103" s="40" t="n">
        <f aca="false">D103+G103+J103</f>
        <v>4926.95793611867</v>
      </c>
      <c r="N103" s="40" t="n">
        <f aca="false">L103+M103</f>
        <v>16560.1570913465</v>
      </c>
      <c r="O103" s="40" t="n">
        <f aca="false">E103+H103+K103</f>
        <v>4073074.43139285</v>
      </c>
    </row>
    <row r="104" customFormat="false" ht="15" hidden="false" customHeight="false" outlineLevel="0" collapsed="false">
      <c r="A104" s="39" t="n">
        <v>98</v>
      </c>
      <c r="B104" s="39" t="n">
        <f aca="false">ROUNDUP(A104/12,0)</f>
        <v>9</v>
      </c>
      <c r="C104" s="40" t="n">
        <f aca="false">E103*Annahmen!$B$38/12</f>
        <v>2276.30726170611</v>
      </c>
      <c r="D104" s="40" t="n">
        <f aca="false">MIN($C$3-C104,E103)</f>
        <v>1223.69273829389</v>
      </c>
      <c r="E104" s="40" t="n">
        <f aca="false">E103-D104</f>
        <v>1091403.79288064</v>
      </c>
      <c r="F104" s="40" t="n">
        <f aca="false">H103*Annahmen!$B$39/12</f>
        <v>1776.41359244659</v>
      </c>
      <c r="G104" s="40" t="n">
        <f aca="false">MIN($F$3-F104,H103)</f>
        <v>830.253074220072</v>
      </c>
      <c r="H104" s="40" t="n">
        <f aca="false">H103-G104</f>
        <v>709735.183904418</v>
      </c>
      <c r="I104" s="40" t="n">
        <f aca="false">K103*Annahmen!$B$40/12</f>
        <v>7566.27169598427</v>
      </c>
      <c r="J104" s="40" t="n">
        <f aca="false">MIN($I$3-I104,K103)</f>
        <v>2887.21872869553</v>
      </c>
      <c r="K104" s="40" t="n">
        <f aca="false">K103-J104</f>
        <v>2266994.29006659</v>
      </c>
      <c r="L104" s="40" t="n">
        <f aca="false">C104+F104+I104</f>
        <v>11618.992550137</v>
      </c>
      <c r="M104" s="40" t="n">
        <f aca="false">D104+G104+J104</f>
        <v>4941.16454120949</v>
      </c>
      <c r="N104" s="40" t="n">
        <f aca="false">L104+M104</f>
        <v>16560.1570913465</v>
      </c>
      <c r="O104" s="40" t="n">
        <f aca="false">E104+H104+K104</f>
        <v>4068133.26685164</v>
      </c>
    </row>
    <row r="105" customFormat="false" ht="15" hidden="false" customHeight="false" outlineLevel="0" collapsed="false">
      <c r="A105" s="39" t="n">
        <v>99</v>
      </c>
      <c r="B105" s="39" t="n">
        <f aca="false">ROUNDUP(A105/12,0)</f>
        <v>9</v>
      </c>
      <c r="C105" s="40" t="n">
        <f aca="false">E104*Annahmen!$B$38/12</f>
        <v>2273.75790183467</v>
      </c>
      <c r="D105" s="40" t="n">
        <f aca="false">MIN($C$3-C105,E104)</f>
        <v>1226.24209816533</v>
      </c>
      <c r="E105" s="40" t="n">
        <f aca="false">E104-D105</f>
        <v>1090177.55078247</v>
      </c>
      <c r="F105" s="40" t="n">
        <f aca="false">H104*Annahmen!$B$39/12</f>
        <v>1774.33795976104</v>
      </c>
      <c r="G105" s="40" t="n">
        <f aca="false">MIN($F$3-F105,H104)</f>
        <v>832.328706905622</v>
      </c>
      <c r="H105" s="40" t="n">
        <f aca="false">H104-G105</f>
        <v>708902.855197512</v>
      </c>
      <c r="I105" s="40" t="n">
        <f aca="false">K104*Annahmen!$B$40/12</f>
        <v>7556.64763355529</v>
      </c>
      <c r="J105" s="40" t="n">
        <f aca="false">MIN($I$3-I105,K104)</f>
        <v>2896.84279112451</v>
      </c>
      <c r="K105" s="40" t="n">
        <f aca="false">K104-J105</f>
        <v>2264097.44727546</v>
      </c>
      <c r="L105" s="40" t="n">
        <f aca="false">C105+F105+I105</f>
        <v>11604.743495151</v>
      </c>
      <c r="M105" s="40" t="n">
        <f aca="false">D105+G105+J105</f>
        <v>4955.41359619547</v>
      </c>
      <c r="N105" s="40" t="n">
        <f aca="false">L105+M105</f>
        <v>16560.1570913465</v>
      </c>
      <c r="O105" s="40" t="n">
        <f aca="false">E105+H105+K105</f>
        <v>4063177.85325545</v>
      </c>
    </row>
    <row r="106" customFormat="false" ht="15" hidden="false" customHeight="false" outlineLevel="0" collapsed="false">
      <c r="A106" s="39" t="n">
        <v>100</v>
      </c>
      <c r="B106" s="39" t="n">
        <f aca="false">ROUNDUP(A106/12,0)</f>
        <v>9</v>
      </c>
      <c r="C106" s="40" t="n">
        <f aca="false">E105*Annahmen!$B$38/12</f>
        <v>2271.20323079682</v>
      </c>
      <c r="D106" s="40" t="n">
        <f aca="false">MIN($C$3-C106,E105)</f>
        <v>1228.79676920318</v>
      </c>
      <c r="E106" s="40" t="n">
        <f aca="false">E105-D106</f>
        <v>1088948.75401327</v>
      </c>
      <c r="F106" s="40" t="n">
        <f aca="false">H105*Annahmen!$B$39/12</f>
        <v>1772.25713799378</v>
      </c>
      <c r="G106" s="40" t="n">
        <f aca="false">MIN($F$3-F106,H105)</f>
        <v>834.409528672886</v>
      </c>
      <c r="H106" s="40" t="n">
        <f aca="false">H105-G106</f>
        <v>708068.445668839</v>
      </c>
      <c r="I106" s="40" t="n">
        <f aca="false">K105*Annahmen!$B$40/12</f>
        <v>7546.99149091821</v>
      </c>
      <c r="J106" s="40" t="n">
        <f aca="false">MIN($I$3-I106,K105)</f>
        <v>2906.49893376159</v>
      </c>
      <c r="K106" s="40" t="n">
        <f aca="false">K105-J106</f>
        <v>2261190.9483417</v>
      </c>
      <c r="L106" s="40" t="n">
        <f aca="false">C106+F106+I106</f>
        <v>11590.4518597088</v>
      </c>
      <c r="M106" s="40" t="n">
        <f aca="false">D106+G106+J106</f>
        <v>4969.70523163766</v>
      </c>
      <c r="N106" s="40" t="n">
        <f aca="false">L106+M106</f>
        <v>16560.1570913465</v>
      </c>
      <c r="O106" s="40" t="n">
        <f aca="false">E106+H106+K106</f>
        <v>4058208.14802381</v>
      </c>
    </row>
    <row r="107" customFormat="false" ht="15" hidden="false" customHeight="false" outlineLevel="0" collapsed="false">
      <c r="A107" s="39" t="n">
        <v>101</v>
      </c>
      <c r="B107" s="39" t="n">
        <f aca="false">ROUNDUP(A107/12,0)</f>
        <v>9</v>
      </c>
      <c r="C107" s="40" t="n">
        <f aca="false">E106*Annahmen!$B$38/12</f>
        <v>2268.64323752765</v>
      </c>
      <c r="D107" s="40" t="n">
        <f aca="false">MIN($C$3-C107,E106)</f>
        <v>1231.35676247235</v>
      </c>
      <c r="E107" s="40" t="n">
        <f aca="false">E106-D107</f>
        <v>1087717.3972508</v>
      </c>
      <c r="F107" s="40" t="n">
        <f aca="false">H106*Annahmen!$B$39/12</f>
        <v>1770.1711141721</v>
      </c>
      <c r="G107" s="40" t="n">
        <f aca="false">MIN($F$3-F107,H106)</f>
        <v>836.495552494568</v>
      </c>
      <c r="H107" s="40" t="n">
        <f aca="false">H106-G107</f>
        <v>707231.950116345</v>
      </c>
      <c r="I107" s="40" t="n">
        <f aca="false">K106*Annahmen!$B$40/12</f>
        <v>7537.303161139</v>
      </c>
      <c r="J107" s="40" t="n">
        <f aca="false">MIN($I$3-I107,K106)</f>
        <v>2916.1872635408</v>
      </c>
      <c r="K107" s="40" t="n">
        <f aca="false">K106-J107</f>
        <v>2258274.76107816</v>
      </c>
      <c r="L107" s="40" t="n">
        <f aca="false">C107+F107+I107</f>
        <v>11576.1175128387</v>
      </c>
      <c r="M107" s="40" t="n">
        <f aca="false">D107+G107+J107</f>
        <v>4984.03957850772</v>
      </c>
      <c r="N107" s="40" t="n">
        <f aca="false">L107+M107</f>
        <v>16560.1570913465</v>
      </c>
      <c r="O107" s="40" t="n">
        <f aca="false">E107+H107+K107</f>
        <v>4053224.1084453</v>
      </c>
    </row>
    <row r="108" customFormat="false" ht="15" hidden="false" customHeight="false" outlineLevel="0" collapsed="false">
      <c r="A108" s="39" t="n">
        <v>102</v>
      </c>
      <c r="B108" s="39" t="n">
        <f aca="false">ROUNDUP(A108/12,0)</f>
        <v>9</v>
      </c>
      <c r="C108" s="40" t="n">
        <f aca="false">E107*Annahmen!$B$38/12</f>
        <v>2266.07791093916</v>
      </c>
      <c r="D108" s="40" t="n">
        <f aca="false">MIN($C$3-C108,E107)</f>
        <v>1233.92208906083</v>
      </c>
      <c r="E108" s="40" t="n">
        <f aca="false">E107-D108</f>
        <v>1086483.47516174</v>
      </c>
      <c r="F108" s="40" t="n">
        <f aca="false">H107*Annahmen!$B$39/12</f>
        <v>1768.07987529086</v>
      </c>
      <c r="G108" s="40" t="n">
        <f aca="false">MIN($F$3-F108,H107)</f>
        <v>838.586791375804</v>
      </c>
      <c r="H108" s="40" t="n">
        <f aca="false">H107-G108</f>
        <v>706393.363324969</v>
      </c>
      <c r="I108" s="40" t="n">
        <f aca="false">K107*Annahmen!$B$40/12</f>
        <v>7527.5825369272</v>
      </c>
      <c r="J108" s="40" t="n">
        <f aca="false">MIN($I$3-I108,K107)</f>
        <v>2925.9078877526</v>
      </c>
      <c r="K108" s="40" t="n">
        <f aca="false">K107-J108</f>
        <v>2255348.85319041</v>
      </c>
      <c r="L108" s="40" t="n">
        <f aca="false">C108+F108+I108</f>
        <v>11561.7403231572</v>
      </c>
      <c r="M108" s="40" t="n">
        <f aca="false">D108+G108+J108</f>
        <v>4998.41676818924</v>
      </c>
      <c r="N108" s="40" t="n">
        <f aca="false">L108+M108</f>
        <v>16560.1570913465</v>
      </c>
      <c r="O108" s="40" t="n">
        <f aca="false">E108+H108+K108</f>
        <v>4048225.69167711</v>
      </c>
    </row>
    <row r="109" customFormat="false" ht="15" hidden="false" customHeight="false" outlineLevel="0" collapsed="false">
      <c r="A109" s="39" t="n">
        <v>103</v>
      </c>
      <c r="B109" s="39" t="n">
        <f aca="false">ROUNDUP(A109/12,0)</f>
        <v>9</v>
      </c>
      <c r="C109" s="40" t="n">
        <f aca="false">E108*Annahmen!$B$38/12</f>
        <v>2263.50723992029</v>
      </c>
      <c r="D109" s="40" t="n">
        <f aca="false">MIN($C$3-C109,E108)</f>
        <v>1236.49276007971</v>
      </c>
      <c r="E109" s="40" t="n">
        <f aca="false">E108-D109</f>
        <v>1085246.98240166</v>
      </c>
      <c r="F109" s="40" t="n">
        <f aca="false">H108*Annahmen!$B$39/12</f>
        <v>1765.98340831242</v>
      </c>
      <c r="G109" s="40" t="n">
        <f aca="false">MIN($F$3-F109,H108)</f>
        <v>840.683258354244</v>
      </c>
      <c r="H109" s="40" t="n">
        <f aca="false">H108-G109</f>
        <v>705552.680066615</v>
      </c>
      <c r="I109" s="40" t="n">
        <f aca="false">K108*Annahmen!$B$40/12</f>
        <v>7517.82951063469</v>
      </c>
      <c r="J109" s="40" t="n">
        <f aca="false">MIN($I$3-I109,K108)</f>
        <v>2935.66091404511</v>
      </c>
      <c r="K109" s="40" t="n">
        <f aca="false">K108-J109</f>
        <v>2252413.19227636</v>
      </c>
      <c r="L109" s="40" t="n">
        <f aca="false">C109+F109+I109</f>
        <v>11547.3201588674</v>
      </c>
      <c r="M109" s="40" t="n">
        <f aca="false">D109+G109+J109</f>
        <v>5012.83693247907</v>
      </c>
      <c r="N109" s="40" t="n">
        <f aca="false">L109+M109</f>
        <v>16560.1570913465</v>
      </c>
      <c r="O109" s="40" t="n">
        <f aca="false">E109+H109+K109</f>
        <v>4043212.85474463</v>
      </c>
    </row>
    <row r="110" customFormat="false" ht="15" hidden="false" customHeight="false" outlineLevel="0" collapsed="false">
      <c r="A110" s="39" t="n">
        <v>104</v>
      </c>
      <c r="B110" s="39" t="n">
        <f aca="false">ROUNDUP(A110/12,0)</f>
        <v>9</v>
      </c>
      <c r="C110" s="40" t="n">
        <f aca="false">E109*Annahmen!$B$38/12</f>
        <v>2260.93121333679</v>
      </c>
      <c r="D110" s="40" t="n">
        <f aca="false">MIN($C$3-C110,E109)</f>
        <v>1239.06878666321</v>
      </c>
      <c r="E110" s="40" t="n">
        <f aca="false">E109-D110</f>
        <v>1084007.91361499</v>
      </c>
      <c r="F110" s="40" t="n">
        <f aca="false">H109*Annahmen!$B$39/12</f>
        <v>1763.88170016654</v>
      </c>
      <c r="G110" s="40" t="n">
        <f aca="false">MIN($F$3-F110,H109)</f>
        <v>842.784966500129</v>
      </c>
      <c r="H110" s="40" t="n">
        <f aca="false">H109-G110</f>
        <v>704709.895100114</v>
      </c>
      <c r="I110" s="40" t="n">
        <f aca="false">K109*Annahmen!$B$40/12</f>
        <v>7508.04397425454</v>
      </c>
      <c r="J110" s="40" t="n">
        <f aca="false">MIN($I$3-I110,K109)</f>
        <v>2945.44645042526</v>
      </c>
      <c r="K110" s="40" t="n">
        <f aca="false">K109-J110</f>
        <v>2249467.74582594</v>
      </c>
      <c r="L110" s="40" t="n">
        <f aca="false">C110+F110+I110</f>
        <v>11532.8568877579</v>
      </c>
      <c r="M110" s="40" t="n">
        <f aca="false">D110+G110+J110</f>
        <v>5027.3002035886</v>
      </c>
      <c r="N110" s="40" t="n">
        <f aca="false">L110+M110</f>
        <v>16560.1570913465</v>
      </c>
      <c r="O110" s="40" t="n">
        <f aca="false">E110+H110+K110</f>
        <v>4038185.55454105</v>
      </c>
    </row>
    <row r="111" customFormat="false" ht="15" hidden="false" customHeight="false" outlineLevel="0" collapsed="false">
      <c r="A111" s="39" t="n">
        <v>105</v>
      </c>
      <c r="B111" s="39" t="n">
        <f aca="false">ROUNDUP(A111/12,0)</f>
        <v>9</v>
      </c>
      <c r="C111" s="40" t="n">
        <f aca="false">E110*Annahmen!$B$38/12</f>
        <v>2258.34982003124</v>
      </c>
      <c r="D111" s="40" t="n">
        <f aca="false">MIN($C$3-C111,E110)</f>
        <v>1241.65017996876</v>
      </c>
      <c r="E111" s="40" t="n">
        <f aca="false">E110-D111</f>
        <v>1082766.26343503</v>
      </c>
      <c r="F111" s="40" t="n">
        <f aca="false">H110*Annahmen!$B$39/12</f>
        <v>1761.77473775029</v>
      </c>
      <c r="G111" s="40" t="n">
        <f aca="false">MIN($F$3-F111,H110)</f>
        <v>844.89192891638</v>
      </c>
      <c r="H111" s="40" t="n">
        <f aca="false">H110-G111</f>
        <v>703865.003171198</v>
      </c>
      <c r="I111" s="40" t="n">
        <f aca="false">K110*Annahmen!$B$40/12</f>
        <v>7498.22581941979</v>
      </c>
      <c r="J111" s="40" t="n">
        <f aca="false">MIN($I$3-I111,K110)</f>
        <v>2955.26460526001</v>
      </c>
      <c r="K111" s="40" t="n">
        <f aca="false">K110-J111</f>
        <v>2246512.48122068</v>
      </c>
      <c r="L111" s="40" t="n">
        <f aca="false">C111+F111+I111</f>
        <v>11518.3503772013</v>
      </c>
      <c r="M111" s="40" t="n">
        <f aca="false">D111+G111+J111</f>
        <v>5041.80671414515</v>
      </c>
      <c r="N111" s="40" t="n">
        <f aca="false">L111+M111</f>
        <v>16560.1570913465</v>
      </c>
      <c r="O111" s="40" t="n">
        <f aca="false">E111+H111+K111</f>
        <v>4033143.7478269</v>
      </c>
    </row>
    <row r="112" customFormat="false" ht="15" hidden="false" customHeight="false" outlineLevel="0" collapsed="false">
      <c r="A112" s="39" t="n">
        <v>106</v>
      </c>
      <c r="B112" s="39" t="n">
        <f aca="false">ROUNDUP(A112/12,0)</f>
        <v>9</v>
      </c>
      <c r="C112" s="40" t="n">
        <f aca="false">E111*Annahmen!$B$38/12</f>
        <v>2255.76304882297</v>
      </c>
      <c r="D112" s="40" t="n">
        <f aca="false">MIN($C$3-C112,E111)</f>
        <v>1244.23695117703</v>
      </c>
      <c r="E112" s="40" t="n">
        <f aca="false">E111-D112</f>
        <v>1081522.02648385</v>
      </c>
      <c r="F112" s="40" t="n">
        <f aca="false">H111*Annahmen!$B$39/12</f>
        <v>1759.662507928</v>
      </c>
      <c r="G112" s="40" t="n">
        <f aca="false">MIN($F$3-F112,H111)</f>
        <v>847.004158738671</v>
      </c>
      <c r="H112" s="40" t="n">
        <f aca="false">H111-G112</f>
        <v>703017.999012459</v>
      </c>
      <c r="I112" s="40" t="n">
        <f aca="false">K111*Annahmen!$B$40/12</f>
        <v>7488.37493740226</v>
      </c>
      <c r="J112" s="40" t="n">
        <f aca="false">MIN($I$3-I112,K111)</f>
        <v>2965.11548727755</v>
      </c>
      <c r="K112" s="40" t="n">
        <f aca="false">K111-J112</f>
        <v>2243547.3657334</v>
      </c>
      <c r="L112" s="40" t="n">
        <f aca="false">C112+F112+I112</f>
        <v>11503.8004941532</v>
      </c>
      <c r="M112" s="40" t="n">
        <f aca="false">D112+G112+J112</f>
        <v>5056.35659719324</v>
      </c>
      <c r="N112" s="40" t="n">
        <f aca="false">L112+M112</f>
        <v>16560.1570913465</v>
      </c>
      <c r="O112" s="40" t="n">
        <f aca="false">E112+H112+K112</f>
        <v>4028087.39122971</v>
      </c>
    </row>
    <row r="113" customFormat="false" ht="15" hidden="false" customHeight="false" outlineLevel="0" collapsed="false">
      <c r="A113" s="39" t="n">
        <v>107</v>
      </c>
      <c r="B113" s="39" t="n">
        <f aca="false">ROUNDUP(A113/12,0)</f>
        <v>9</v>
      </c>
      <c r="C113" s="40" t="n">
        <f aca="false">E112*Annahmen!$B$38/12</f>
        <v>2253.17088850802</v>
      </c>
      <c r="D113" s="40" t="n">
        <f aca="false">MIN($C$3-C113,E112)</f>
        <v>1246.82911149198</v>
      </c>
      <c r="E113" s="40" t="n">
        <f aca="false">E112-D113</f>
        <v>1080275.19737236</v>
      </c>
      <c r="F113" s="40" t="n">
        <f aca="false">H112*Annahmen!$B$39/12</f>
        <v>1757.54499753115</v>
      </c>
      <c r="G113" s="40" t="n">
        <f aca="false">MIN($F$3-F113,H112)</f>
        <v>849.121669135517</v>
      </c>
      <c r="H113" s="40" t="n">
        <f aca="false">H112-G113</f>
        <v>702168.877343324</v>
      </c>
      <c r="I113" s="40" t="n">
        <f aca="false">K112*Annahmen!$B$40/12</f>
        <v>7478.49121911133</v>
      </c>
      <c r="J113" s="40" t="n">
        <f aca="false">MIN($I$3-I113,K112)</f>
        <v>2974.99920556847</v>
      </c>
      <c r="K113" s="40" t="n">
        <f aca="false">K112-J113</f>
        <v>2240572.36652783</v>
      </c>
      <c r="L113" s="40" t="n">
        <f aca="false">C113+F113+I113</f>
        <v>11489.2071051505</v>
      </c>
      <c r="M113" s="40" t="n">
        <f aca="false">D113+G113+J113</f>
        <v>5070.94998619597</v>
      </c>
      <c r="N113" s="40" t="n">
        <f aca="false">L113+M113</f>
        <v>16560.1570913465</v>
      </c>
      <c r="O113" s="40" t="n">
        <f aca="false">E113+H113+K113</f>
        <v>4023016.44124351</v>
      </c>
    </row>
    <row r="114" customFormat="false" ht="15" hidden="false" customHeight="false" outlineLevel="0" collapsed="false">
      <c r="A114" s="39" t="n">
        <v>108</v>
      </c>
      <c r="B114" s="39" t="n">
        <f aca="false">ROUNDUP(A114/12,0)</f>
        <v>9</v>
      </c>
      <c r="C114" s="40" t="n">
        <f aca="false">E113*Annahmen!$B$38/12</f>
        <v>2250.57332785908</v>
      </c>
      <c r="D114" s="40" t="n">
        <f aca="false">MIN($C$3-C114,E113)</f>
        <v>1249.42667214092</v>
      </c>
      <c r="E114" s="40" t="n">
        <f aca="false">E113-D114</f>
        <v>1079025.77070022</v>
      </c>
      <c r="F114" s="40" t="n">
        <f aca="false">H113*Annahmen!$B$39/12</f>
        <v>1755.42219335831</v>
      </c>
      <c r="G114" s="40" t="n">
        <f aca="false">MIN($F$3-F114,H113)</f>
        <v>851.244473308356</v>
      </c>
      <c r="H114" s="40" t="n">
        <f aca="false">H113-G114</f>
        <v>701317.632870016</v>
      </c>
      <c r="I114" s="40" t="n">
        <f aca="false">K113*Annahmen!$B$40/12</f>
        <v>7468.57455509277</v>
      </c>
      <c r="J114" s="40" t="n">
        <f aca="false">MIN($I$3-I114,K113)</f>
        <v>2984.91586958703</v>
      </c>
      <c r="K114" s="40" t="n">
        <f aca="false">K113-J114</f>
        <v>2237587.45065824</v>
      </c>
      <c r="L114" s="40" t="n">
        <f aca="false">C114+F114+I114</f>
        <v>11474.5700763102</v>
      </c>
      <c r="M114" s="40" t="n">
        <f aca="false">D114+G114+J114</f>
        <v>5085.58701503631</v>
      </c>
      <c r="N114" s="40" t="n">
        <f aca="false">L114+M114</f>
        <v>16560.1570913465</v>
      </c>
      <c r="O114" s="40" t="n">
        <f aca="false">E114+H114+K114</f>
        <v>4017930.85422848</v>
      </c>
    </row>
    <row r="115" customFormat="false" ht="15" hidden="false" customHeight="false" outlineLevel="0" collapsed="false">
      <c r="A115" s="39" t="n">
        <v>109</v>
      </c>
      <c r="B115" s="39" t="n">
        <f aca="false">ROUNDUP(A115/12,0)</f>
        <v>10</v>
      </c>
      <c r="C115" s="40" t="n">
        <f aca="false">E114*Annahmen!$B$38/12</f>
        <v>2247.97035562545</v>
      </c>
      <c r="D115" s="40" t="n">
        <f aca="false">MIN($C$3-C115,E114)</f>
        <v>1252.02964437455</v>
      </c>
      <c r="E115" s="40" t="n">
        <f aca="false">E114-D115</f>
        <v>1077773.74105584</v>
      </c>
      <c r="F115" s="40" t="n">
        <f aca="false">H114*Annahmen!$B$39/12</f>
        <v>1753.29408217504</v>
      </c>
      <c r="G115" s="40" t="n">
        <f aca="false">MIN($F$3-F115,H114)</f>
        <v>853.372584491627</v>
      </c>
      <c r="H115" s="40" t="n">
        <f aca="false">H114-G115</f>
        <v>700464.260285524</v>
      </c>
      <c r="I115" s="40" t="n">
        <f aca="false">K114*Annahmen!$B$40/12</f>
        <v>7458.62483552748</v>
      </c>
      <c r="J115" s="40" t="n">
        <f aca="false">MIN($I$3-I115,K114)</f>
        <v>2994.86558915232</v>
      </c>
      <c r="K115" s="40" t="n">
        <f aca="false">K114-J115</f>
        <v>2234592.58506909</v>
      </c>
      <c r="L115" s="40" t="n">
        <f aca="false">C115+F115+I115</f>
        <v>11459.889273328</v>
      </c>
      <c r="M115" s="40" t="n">
        <f aca="false">D115+G115+J115</f>
        <v>5100.2678180185</v>
      </c>
      <c r="N115" s="40" t="n">
        <f aca="false">L115+M115</f>
        <v>16560.1570913465</v>
      </c>
      <c r="O115" s="40" t="n">
        <f aca="false">E115+H115+K115</f>
        <v>4012830.58641046</v>
      </c>
    </row>
    <row r="116" customFormat="false" ht="15" hidden="false" customHeight="false" outlineLevel="0" collapsed="false">
      <c r="A116" s="39" t="n">
        <v>110</v>
      </c>
      <c r="B116" s="39" t="n">
        <f aca="false">ROUNDUP(A116/12,0)</f>
        <v>10</v>
      </c>
      <c r="C116" s="40" t="n">
        <f aca="false">E115*Annahmen!$B$38/12</f>
        <v>2245.361960533</v>
      </c>
      <c r="D116" s="40" t="n">
        <f aca="false">MIN($C$3-C116,E115)</f>
        <v>1254.638039467</v>
      </c>
      <c r="E116" s="40" t="n">
        <f aca="false">E115-D116</f>
        <v>1076519.10301637</v>
      </c>
      <c r="F116" s="40" t="n">
        <f aca="false">H115*Annahmen!$B$39/12</f>
        <v>1751.16065071381</v>
      </c>
      <c r="G116" s="40" t="n">
        <f aca="false">MIN($F$3-F116,H115)</f>
        <v>855.506015952856</v>
      </c>
      <c r="H116" s="40" t="n">
        <f aca="false">H115-G116</f>
        <v>699608.754269571</v>
      </c>
      <c r="I116" s="40" t="n">
        <f aca="false">K115*Annahmen!$B$40/12</f>
        <v>7448.64195023031</v>
      </c>
      <c r="J116" s="40" t="n">
        <f aca="false">MIN($I$3-I116,K115)</f>
        <v>3004.8484744495</v>
      </c>
      <c r="K116" s="40" t="n">
        <f aca="false">K115-J116</f>
        <v>2231587.73659464</v>
      </c>
      <c r="L116" s="40" t="n">
        <f aca="false">C116+F116+I116</f>
        <v>11445.1645614771</v>
      </c>
      <c r="M116" s="40" t="n">
        <f aca="false">D116+G116+J116</f>
        <v>5114.99252986935</v>
      </c>
      <c r="N116" s="40" t="n">
        <f aca="false">L116+M116</f>
        <v>16560.1570913465</v>
      </c>
      <c r="O116" s="40" t="n">
        <f aca="false">E116+H116+K116</f>
        <v>4007715.59388059</v>
      </c>
    </row>
    <row r="117" customFormat="false" ht="15" hidden="false" customHeight="false" outlineLevel="0" collapsed="false">
      <c r="A117" s="39" t="n">
        <v>111</v>
      </c>
      <c r="B117" s="39" t="n">
        <f aca="false">ROUNDUP(A117/12,0)</f>
        <v>10</v>
      </c>
      <c r="C117" s="40" t="n">
        <f aca="false">E116*Annahmen!$B$38/12</f>
        <v>2242.74813128411</v>
      </c>
      <c r="D117" s="40" t="n">
        <f aca="false">MIN($C$3-C117,E116)</f>
        <v>1257.25186871588</v>
      </c>
      <c r="E117" s="40" t="n">
        <f aca="false">E116-D117</f>
        <v>1075261.85114766</v>
      </c>
      <c r="F117" s="40" t="n">
        <f aca="false">H116*Annahmen!$B$39/12</f>
        <v>1749.02188567393</v>
      </c>
      <c r="G117" s="40" t="n">
        <f aca="false">MIN($F$3-F117,H116)</f>
        <v>857.644780992738</v>
      </c>
      <c r="H117" s="40" t="n">
        <f aca="false">H116-G117</f>
        <v>698751.109488578</v>
      </c>
      <c r="I117" s="40" t="n">
        <f aca="false">K116*Annahmen!$B$40/12</f>
        <v>7438.62578864881</v>
      </c>
      <c r="J117" s="40" t="n">
        <f aca="false">MIN($I$3-I117,K116)</f>
        <v>3014.864636031</v>
      </c>
      <c r="K117" s="40" t="n">
        <f aca="false">K116-J117</f>
        <v>2228572.87195861</v>
      </c>
      <c r="L117" s="40" t="n">
        <f aca="false">C117+F117+I117</f>
        <v>11430.3958056068</v>
      </c>
      <c r="M117" s="40" t="n">
        <f aca="false">D117+G117+J117</f>
        <v>5129.76128573962</v>
      </c>
      <c r="N117" s="40" t="n">
        <f aca="false">L117+M117</f>
        <v>16560.1570913465</v>
      </c>
      <c r="O117" s="40" t="n">
        <f aca="false">E117+H117+K117</f>
        <v>4002585.83259485</v>
      </c>
    </row>
    <row r="118" customFormat="false" ht="15" hidden="false" customHeight="false" outlineLevel="0" collapsed="false">
      <c r="A118" s="39" t="n">
        <v>112</v>
      </c>
      <c r="B118" s="39" t="n">
        <f aca="false">ROUNDUP(A118/12,0)</f>
        <v>10</v>
      </c>
      <c r="C118" s="40" t="n">
        <f aca="false">E117*Annahmen!$B$38/12</f>
        <v>2240.12885655762</v>
      </c>
      <c r="D118" s="40" t="n">
        <f aca="false">MIN($C$3-C118,E117)</f>
        <v>1259.87114344238</v>
      </c>
      <c r="E118" s="40" t="n">
        <f aca="false">E117-D118</f>
        <v>1074001.98000422</v>
      </c>
      <c r="F118" s="40" t="n">
        <f aca="false">H117*Annahmen!$B$39/12</f>
        <v>1746.87777372145</v>
      </c>
      <c r="G118" s="40" t="n">
        <f aca="false">MIN($F$3-F118,H117)</f>
        <v>859.78889294522</v>
      </c>
      <c r="H118" s="40" t="n">
        <f aca="false">H117-G118</f>
        <v>697891.320595633</v>
      </c>
      <c r="I118" s="40" t="n">
        <f aca="false">K117*Annahmen!$B$40/12</f>
        <v>7428.57623986204</v>
      </c>
      <c r="J118" s="40" t="n">
        <f aca="false">MIN($I$3-I118,K117)</f>
        <v>3024.91418481777</v>
      </c>
      <c r="K118" s="40" t="n">
        <f aca="false">K117-J118</f>
        <v>2225547.95777379</v>
      </c>
      <c r="L118" s="40" t="n">
        <f aca="false">C118+F118+I118</f>
        <v>11415.5828701411</v>
      </c>
      <c r="M118" s="40" t="n">
        <f aca="false">D118+G118+J118</f>
        <v>5144.57422120536</v>
      </c>
      <c r="N118" s="40" t="n">
        <f aca="false">L118+M118</f>
        <v>16560.1570913465</v>
      </c>
      <c r="O118" s="40" t="n">
        <f aca="false">E118+H118+K118</f>
        <v>3997441.25837364</v>
      </c>
    </row>
    <row r="119" customFormat="false" ht="15" hidden="false" customHeight="false" outlineLevel="0" collapsed="false">
      <c r="A119" s="39" t="n">
        <v>113</v>
      </c>
      <c r="B119" s="39" t="n">
        <f aca="false">ROUNDUP(A119/12,0)</f>
        <v>10</v>
      </c>
      <c r="C119" s="40" t="n">
        <f aca="false">E118*Annahmen!$B$38/12</f>
        <v>2237.50412500878</v>
      </c>
      <c r="D119" s="40" t="n">
        <f aca="false">MIN($C$3-C119,E118)</f>
        <v>1262.49587499121</v>
      </c>
      <c r="E119" s="40" t="n">
        <f aca="false">E118-D119</f>
        <v>1072739.48412923</v>
      </c>
      <c r="F119" s="40" t="n">
        <f aca="false">H118*Annahmen!$B$39/12</f>
        <v>1744.72830148908</v>
      </c>
      <c r="G119" s="40" t="n">
        <f aca="false">MIN($F$3-F119,H118)</f>
        <v>861.938365177583</v>
      </c>
      <c r="H119" s="40" t="n">
        <f aca="false">H118-G119</f>
        <v>697029.382230455</v>
      </c>
      <c r="I119" s="40" t="n">
        <f aca="false">K118*Annahmen!$B$40/12</f>
        <v>7418.49319257931</v>
      </c>
      <c r="J119" s="40" t="n">
        <f aca="false">MIN($I$3-I119,K118)</f>
        <v>3034.99723210049</v>
      </c>
      <c r="K119" s="40" t="n">
        <f aca="false">K118-J119</f>
        <v>2222512.96054169</v>
      </c>
      <c r="L119" s="40" t="n">
        <f aca="false">C119+F119+I119</f>
        <v>11400.7256190772</v>
      </c>
      <c r="M119" s="40" t="n">
        <f aca="false">D119+G119+J119</f>
        <v>5159.43147226929</v>
      </c>
      <c r="N119" s="40" t="n">
        <f aca="false">L119+M119</f>
        <v>16560.1570913465</v>
      </c>
      <c r="O119" s="40" t="n">
        <f aca="false">E119+H119+K119</f>
        <v>3992281.82690137</v>
      </c>
    </row>
    <row r="120" customFormat="false" ht="15" hidden="false" customHeight="false" outlineLevel="0" collapsed="false">
      <c r="A120" s="39" t="n">
        <v>114</v>
      </c>
      <c r="B120" s="39" t="n">
        <f aca="false">ROUNDUP(A120/12,0)</f>
        <v>10</v>
      </c>
      <c r="C120" s="40" t="n">
        <f aca="false">E119*Annahmen!$B$38/12</f>
        <v>2234.87392526922</v>
      </c>
      <c r="D120" s="40" t="n">
        <f aca="false">MIN($C$3-C120,E119)</f>
        <v>1265.12607473078</v>
      </c>
      <c r="E120" s="40" t="n">
        <f aca="false">E119-D120</f>
        <v>1071474.35805449</v>
      </c>
      <c r="F120" s="40" t="n">
        <f aca="false">H119*Annahmen!$B$39/12</f>
        <v>1742.57345557614</v>
      </c>
      <c r="G120" s="40" t="n">
        <f aca="false">MIN($F$3-F120,H119)</f>
        <v>864.093211090527</v>
      </c>
      <c r="H120" s="40" t="n">
        <f aca="false">H119-G120</f>
        <v>696165.289019365</v>
      </c>
      <c r="I120" s="40" t="n">
        <f aca="false">K119*Annahmen!$B$40/12</f>
        <v>7408.37653513898</v>
      </c>
      <c r="J120" s="40" t="n">
        <f aca="false">MIN($I$3-I120,K119)</f>
        <v>3045.11388954082</v>
      </c>
      <c r="K120" s="40" t="n">
        <f aca="false">K119-J120</f>
        <v>2219467.84665215</v>
      </c>
      <c r="L120" s="40" t="n">
        <f aca="false">C120+F120+I120</f>
        <v>11385.8239159843</v>
      </c>
      <c r="M120" s="40" t="n">
        <f aca="false">D120+G120+J120</f>
        <v>5174.33317536213</v>
      </c>
      <c r="N120" s="40" t="n">
        <f aca="false">L120+M120</f>
        <v>16560.1570913465</v>
      </c>
      <c r="O120" s="40" t="n">
        <f aca="false">E120+H120+K120</f>
        <v>3987107.49372601</v>
      </c>
    </row>
    <row r="121" customFormat="false" ht="15" hidden="false" customHeight="false" outlineLevel="0" collapsed="false">
      <c r="A121" s="39" t="n">
        <v>115</v>
      </c>
      <c r="B121" s="39" t="n">
        <f aca="false">ROUNDUP(A121/12,0)</f>
        <v>10</v>
      </c>
      <c r="C121" s="40" t="n">
        <f aca="false">E120*Annahmen!$B$38/12</f>
        <v>2232.23824594686</v>
      </c>
      <c r="D121" s="40" t="n">
        <f aca="false">MIN($C$3-C121,E120)</f>
        <v>1267.76175405314</v>
      </c>
      <c r="E121" s="40" t="n">
        <f aca="false">E120-D121</f>
        <v>1070206.59630044</v>
      </c>
      <c r="F121" s="40" t="n">
        <f aca="false">H120*Annahmen!$B$39/12</f>
        <v>1740.41322254841</v>
      </c>
      <c r="G121" s="40" t="n">
        <f aca="false">MIN($F$3-F121,H120)</f>
        <v>866.253444118254</v>
      </c>
      <c r="H121" s="40" t="n">
        <f aca="false">H120-G121</f>
        <v>695299.035575247</v>
      </c>
      <c r="I121" s="40" t="n">
        <f aca="false">K120*Annahmen!$B$40/12</f>
        <v>7398.22615550717</v>
      </c>
      <c r="J121" s="40" t="n">
        <f aca="false">MIN($I$3-I121,K120)</f>
        <v>3055.26426917263</v>
      </c>
      <c r="K121" s="40" t="n">
        <f aca="false">K120-J121</f>
        <v>2216412.58238298</v>
      </c>
      <c r="L121" s="40" t="n">
        <f aca="false">C121+F121+I121</f>
        <v>11370.8776240024</v>
      </c>
      <c r="M121" s="40" t="n">
        <f aca="false">D121+G121+J121</f>
        <v>5189.27946734402</v>
      </c>
      <c r="N121" s="40" t="n">
        <f aca="false">L121+M121</f>
        <v>16560.1570913465</v>
      </c>
      <c r="O121" s="40" t="n">
        <f aca="false">E121+H121+K121</f>
        <v>3981918.21425867</v>
      </c>
    </row>
    <row r="122" customFormat="false" ht="15" hidden="false" customHeight="false" outlineLevel="0" collapsed="false">
      <c r="A122" s="39" t="n">
        <v>116</v>
      </c>
      <c r="B122" s="39" t="n">
        <f aca="false">ROUNDUP(A122/12,0)</f>
        <v>10</v>
      </c>
      <c r="C122" s="40" t="n">
        <f aca="false">E121*Annahmen!$B$38/12</f>
        <v>2229.59707562592</v>
      </c>
      <c r="D122" s="40" t="n">
        <f aca="false">MIN($C$3-C122,E121)</f>
        <v>1270.40292437408</v>
      </c>
      <c r="E122" s="40" t="n">
        <f aca="false">E121-D122</f>
        <v>1068936.19337607</v>
      </c>
      <c r="F122" s="40" t="n">
        <f aca="false">H121*Annahmen!$B$39/12</f>
        <v>1738.24758893812</v>
      </c>
      <c r="G122" s="40" t="n">
        <f aca="false">MIN($F$3-F122,H121)</f>
        <v>868.419077728549</v>
      </c>
      <c r="H122" s="40" t="n">
        <f aca="false">H121-G122</f>
        <v>694430.616497518</v>
      </c>
      <c r="I122" s="40" t="n">
        <f aca="false">K121*Annahmen!$B$40/12</f>
        <v>7388.0419412766</v>
      </c>
      <c r="J122" s="40" t="n">
        <f aca="false">MIN($I$3-I122,K121)</f>
        <v>3065.4484834032</v>
      </c>
      <c r="K122" s="40" t="n">
        <f aca="false">K121-J122</f>
        <v>2213347.13389958</v>
      </c>
      <c r="L122" s="40" t="n">
        <f aca="false">C122+F122+I122</f>
        <v>11355.8866058406</v>
      </c>
      <c r="M122" s="40" t="n">
        <f aca="false">D122+G122+J122</f>
        <v>5204.27048550583</v>
      </c>
      <c r="N122" s="40" t="n">
        <f aca="false">L122+M122</f>
        <v>16560.1570913465</v>
      </c>
      <c r="O122" s="40" t="n">
        <f aca="false">E122+H122+K122</f>
        <v>3976713.94377316</v>
      </c>
    </row>
    <row r="123" customFormat="false" ht="15" hidden="false" customHeight="false" outlineLevel="0" collapsed="false">
      <c r="A123" s="39" t="n">
        <v>117</v>
      </c>
      <c r="B123" s="39" t="n">
        <f aca="false">ROUNDUP(A123/12,0)</f>
        <v>10</v>
      </c>
      <c r="C123" s="40" t="n">
        <f aca="false">E122*Annahmen!$B$38/12</f>
        <v>2226.95040286681</v>
      </c>
      <c r="D123" s="40" t="n">
        <f aca="false">MIN($C$3-C123,E122)</f>
        <v>1273.04959713319</v>
      </c>
      <c r="E123" s="40" t="n">
        <f aca="false">E122-D123</f>
        <v>1067663.14377893</v>
      </c>
      <c r="F123" s="40" t="n">
        <f aca="false">H122*Annahmen!$B$39/12</f>
        <v>1736.0765412438</v>
      </c>
      <c r="G123" s="40" t="n">
        <f aca="false">MIN($F$3-F123,H122)</f>
        <v>870.590125422871</v>
      </c>
      <c r="H123" s="40" t="n">
        <f aca="false">H122-G123</f>
        <v>693560.026372095</v>
      </c>
      <c r="I123" s="40" t="n">
        <f aca="false">K122*Annahmen!$B$40/12</f>
        <v>7377.82377966525</v>
      </c>
      <c r="J123" s="40" t="n">
        <f aca="false">MIN($I$3-I123,K122)</f>
        <v>3075.66664501455</v>
      </c>
      <c r="K123" s="40" t="n">
        <f aca="false">K122-J123</f>
        <v>2210271.46725456</v>
      </c>
      <c r="L123" s="40" t="n">
        <f aca="false">C123+F123+I123</f>
        <v>11340.8507237759</v>
      </c>
      <c r="M123" s="40" t="n">
        <f aca="false">D123+G123+J123</f>
        <v>5219.30636757061</v>
      </c>
      <c r="N123" s="40" t="n">
        <f aca="false">L123+M123</f>
        <v>16560.1570913465</v>
      </c>
      <c r="O123" s="40" t="n">
        <f aca="false">E123+H123+K123</f>
        <v>3971494.63740559</v>
      </c>
    </row>
    <row r="124" customFormat="false" ht="15" hidden="false" customHeight="false" outlineLevel="0" collapsed="false">
      <c r="A124" s="39" t="n">
        <v>118</v>
      </c>
      <c r="B124" s="39" t="n">
        <f aca="false">ROUNDUP(A124/12,0)</f>
        <v>10</v>
      </c>
      <c r="C124" s="40" t="n">
        <f aca="false">E123*Annahmen!$B$38/12</f>
        <v>2224.29821620611</v>
      </c>
      <c r="D124" s="40" t="n">
        <f aca="false">MIN($C$3-C124,E123)</f>
        <v>1275.70178379389</v>
      </c>
      <c r="E124" s="40" t="n">
        <f aca="false">E123-D124</f>
        <v>1066387.44199514</v>
      </c>
      <c r="F124" s="40" t="n">
        <f aca="false">H123*Annahmen!$B$39/12</f>
        <v>1733.90006593024</v>
      </c>
      <c r="G124" s="40" t="n">
        <f aca="false">MIN($F$3-F124,H123)</f>
        <v>872.766600736428</v>
      </c>
      <c r="H124" s="40" t="n">
        <f aca="false">H123-G124</f>
        <v>692687.259771359</v>
      </c>
      <c r="I124" s="40" t="n">
        <f aca="false">K123*Annahmen!$B$40/12</f>
        <v>7367.57155751521</v>
      </c>
      <c r="J124" s="40" t="n">
        <f aca="false">MIN($I$3-I124,K123)</f>
        <v>3085.9188671646</v>
      </c>
      <c r="K124" s="40" t="n">
        <f aca="false">K123-J124</f>
        <v>2207185.5483874</v>
      </c>
      <c r="L124" s="40" t="n">
        <f aca="false">C124+F124+I124</f>
        <v>11325.7698396516</v>
      </c>
      <c r="M124" s="40" t="n">
        <f aca="false">D124+G124+J124</f>
        <v>5234.38725169491</v>
      </c>
      <c r="N124" s="40" t="n">
        <f aca="false">L124+M124</f>
        <v>16560.1570913465</v>
      </c>
      <c r="O124" s="40" t="n">
        <f aca="false">E124+H124+K124</f>
        <v>3966260.2501539</v>
      </c>
    </row>
    <row r="125" customFormat="false" ht="15" hidden="false" customHeight="false" outlineLevel="0" collapsed="false">
      <c r="A125" s="39" t="n">
        <v>119</v>
      </c>
      <c r="B125" s="39" t="n">
        <f aca="false">ROUNDUP(A125/12,0)</f>
        <v>10</v>
      </c>
      <c r="C125" s="40" t="n">
        <f aca="false">E124*Annahmen!$B$38/12</f>
        <v>2221.64050415654</v>
      </c>
      <c r="D125" s="40" t="n">
        <f aca="false">MIN($C$3-C125,E124)</f>
        <v>1278.35949584346</v>
      </c>
      <c r="E125" s="40" t="n">
        <f aca="false">E124-D125</f>
        <v>1065109.0824993</v>
      </c>
      <c r="F125" s="40" t="n">
        <f aca="false">H124*Annahmen!$B$39/12</f>
        <v>1731.7181494284</v>
      </c>
      <c r="G125" s="40" t="n">
        <f aca="false">MIN($F$3-F125,H124)</f>
        <v>874.948517238269</v>
      </c>
      <c r="H125" s="40" t="n">
        <f aca="false">H124-G125</f>
        <v>691812.31125412</v>
      </c>
      <c r="I125" s="40" t="n">
        <f aca="false">K124*Annahmen!$B$40/12</f>
        <v>7357.28516129132</v>
      </c>
      <c r="J125" s="40" t="n">
        <f aca="false">MIN($I$3-I125,K124)</f>
        <v>3096.20526338848</v>
      </c>
      <c r="K125" s="40" t="n">
        <f aca="false">K124-J125</f>
        <v>2204089.34312401</v>
      </c>
      <c r="L125" s="40" t="n">
        <f aca="false">C125+F125+I125</f>
        <v>11310.6438148763</v>
      </c>
      <c r="M125" s="40" t="n">
        <f aca="false">D125+G125+J125</f>
        <v>5249.51327647021</v>
      </c>
      <c r="N125" s="40" t="n">
        <f aca="false">L125+M125</f>
        <v>16560.1570913465</v>
      </c>
      <c r="O125" s="40" t="n">
        <f aca="false">E125+H125+K125</f>
        <v>3961010.73687743</v>
      </c>
    </row>
    <row r="126" customFormat="false" ht="15" hidden="false" customHeight="false" outlineLevel="0" collapsed="false">
      <c r="A126" s="39" t="n">
        <v>120</v>
      </c>
      <c r="B126" s="39" t="n">
        <f aca="false">ROUNDUP(A126/12,0)</f>
        <v>10</v>
      </c>
      <c r="C126" s="40" t="n">
        <f aca="false">E125*Annahmen!$B$38/12</f>
        <v>2218.97725520687</v>
      </c>
      <c r="D126" s="40" t="n">
        <f aca="false">MIN($C$3-C126,E125)</f>
        <v>1281.02274479313</v>
      </c>
      <c r="E126" s="40" t="n">
        <f aca="false">E125-D126</f>
        <v>1063828.0597545</v>
      </c>
      <c r="F126" s="40" t="n">
        <f aca="false">H125*Annahmen!$B$39/12</f>
        <v>1729.5307781353</v>
      </c>
      <c r="G126" s="40" t="n">
        <f aca="false">MIN($F$3-F126,H125)</f>
        <v>877.135888531365</v>
      </c>
      <c r="H126" s="40" t="n">
        <f aca="false">H125-G126</f>
        <v>690935.175365589</v>
      </c>
      <c r="I126" s="40" t="n">
        <f aca="false">K125*Annahmen!$B$40/12</f>
        <v>7346.96447708003</v>
      </c>
      <c r="J126" s="40" t="n">
        <f aca="false">MIN($I$3-I126,K125)</f>
        <v>3106.52594759977</v>
      </c>
      <c r="K126" s="40" t="n">
        <f aca="false">K125-J126</f>
        <v>2200982.81717641</v>
      </c>
      <c r="L126" s="40" t="n">
        <f aca="false">C126+F126+I126</f>
        <v>11295.4725104222</v>
      </c>
      <c r="M126" s="40" t="n">
        <f aca="false">D126+G126+J126</f>
        <v>5264.68458092427</v>
      </c>
      <c r="N126" s="40" t="n">
        <f aca="false">L126+M126</f>
        <v>16560.1570913465</v>
      </c>
      <c r="O126" s="40" t="n">
        <f aca="false">E126+H126+K126</f>
        <v>3955746.0522965</v>
      </c>
    </row>
    <row r="127" customFormat="false" ht="15" hidden="false" customHeight="false" outlineLevel="0" collapsed="false">
      <c r="A127" s="39" t="n">
        <v>121</v>
      </c>
      <c r="B127" s="39" t="n">
        <f aca="false">ROUNDUP(A127/12,0)</f>
        <v>11</v>
      </c>
      <c r="C127" s="40" t="n">
        <f aca="false">E126*Annahmen!$B$38/12</f>
        <v>2216.30845782188</v>
      </c>
      <c r="D127" s="40" t="n">
        <f aca="false">MIN($C$3-C127,E126)</f>
        <v>1283.69154217812</v>
      </c>
      <c r="E127" s="40" t="n">
        <f aca="false">E126-D127</f>
        <v>1062544.36821233</v>
      </c>
      <c r="F127" s="40" t="n">
        <f aca="false">H126*Annahmen!$B$39/12</f>
        <v>1727.33793841397</v>
      </c>
      <c r="G127" s="40" t="n">
        <f aca="false">MIN($F$3-F127,H126)</f>
        <v>879.328728252693</v>
      </c>
      <c r="H127" s="40" t="n">
        <f aca="false">H126-G127</f>
        <v>690055.846637336</v>
      </c>
      <c r="I127" s="40" t="n">
        <f aca="false">K126*Annahmen!$B$40/12</f>
        <v>7336.60939058803</v>
      </c>
      <c r="J127" s="40" t="n">
        <f aca="false">MIN($I$3-I127,K126)</f>
        <v>3116.88103409177</v>
      </c>
      <c r="K127" s="40" t="n">
        <f aca="false">K126-J127</f>
        <v>2197865.93614232</v>
      </c>
      <c r="L127" s="40" t="n">
        <f aca="false">C127+F127+I127</f>
        <v>11280.2557868239</v>
      </c>
      <c r="M127" s="40" t="n">
        <f aca="false">D127+G127+J127</f>
        <v>5279.90130452258</v>
      </c>
      <c r="N127" s="40" t="n">
        <f aca="false">L127+M127</f>
        <v>16560.1570913465</v>
      </c>
      <c r="O127" s="40" t="n">
        <f aca="false">E127+H127+K127</f>
        <v>3950466.15099198</v>
      </c>
    </row>
    <row r="128" customFormat="false" ht="15" hidden="false" customHeight="false" outlineLevel="0" collapsed="false">
      <c r="A128" s="39" t="n">
        <v>122</v>
      </c>
      <c r="B128" s="39" t="n">
        <f aca="false">ROUNDUP(A128/12,0)</f>
        <v>11</v>
      </c>
      <c r="C128" s="40" t="n">
        <f aca="false">E127*Annahmen!$B$38/12</f>
        <v>2213.63410044234</v>
      </c>
      <c r="D128" s="40" t="n">
        <f aca="false">MIN($C$3-C128,E127)</f>
        <v>1286.36589955765</v>
      </c>
      <c r="E128" s="40" t="n">
        <f aca="false">E127-D128</f>
        <v>1061258.00231277</v>
      </c>
      <c r="F128" s="40" t="n">
        <f aca="false">H127*Annahmen!$B$39/12</f>
        <v>1725.13961659334</v>
      </c>
      <c r="G128" s="40" t="n">
        <f aca="false">MIN($F$3-F128,H127)</f>
        <v>881.527050073325</v>
      </c>
      <c r="H128" s="40" t="n">
        <f aca="false">H127-G128</f>
        <v>689174.319587263</v>
      </c>
      <c r="I128" s="40" t="n">
        <f aca="false">K127*Annahmen!$B$40/12</f>
        <v>7326.21978714106</v>
      </c>
      <c r="J128" s="40" t="n">
        <f aca="false">MIN($I$3-I128,K127)</f>
        <v>3127.27063753874</v>
      </c>
      <c r="K128" s="40" t="n">
        <f aca="false">K127-J128</f>
        <v>2194738.66550478</v>
      </c>
      <c r="L128" s="40" t="n">
        <f aca="false">C128+F128+I128</f>
        <v>11264.9935041767</v>
      </c>
      <c r="M128" s="40" t="n">
        <f aca="false">D128+G128+J128</f>
        <v>5295.16358716972</v>
      </c>
      <c r="N128" s="40" t="n">
        <f aca="false">L128+M128</f>
        <v>16560.1570913465</v>
      </c>
      <c r="O128" s="40" t="n">
        <f aca="false">E128+H128+K128</f>
        <v>3945170.98740481</v>
      </c>
    </row>
    <row r="129" customFormat="false" ht="15" hidden="false" customHeight="false" outlineLevel="0" collapsed="false">
      <c r="A129" s="39" t="n">
        <v>123</v>
      </c>
      <c r="B129" s="39" t="n">
        <f aca="false">ROUNDUP(A129/12,0)</f>
        <v>11</v>
      </c>
      <c r="C129" s="40" t="n">
        <f aca="false">E128*Annahmen!$B$38/12</f>
        <v>2210.95417148493</v>
      </c>
      <c r="D129" s="40" t="n">
        <f aca="false">MIN($C$3-C129,E128)</f>
        <v>1289.04582851507</v>
      </c>
      <c r="E129" s="40" t="n">
        <f aca="false">E128-D129</f>
        <v>1059968.95648425</v>
      </c>
      <c r="F129" s="40" t="n">
        <f aca="false">H128*Annahmen!$B$39/12</f>
        <v>1722.93579896816</v>
      </c>
      <c r="G129" s="40" t="n">
        <f aca="false">MIN($F$3-F129,H128)</f>
        <v>883.730867698508</v>
      </c>
      <c r="H129" s="40" t="n">
        <f aca="false">H128-G129</f>
        <v>688290.588719565</v>
      </c>
      <c r="I129" s="40" t="n">
        <f aca="false">K128*Annahmen!$B$40/12</f>
        <v>7315.79555168259</v>
      </c>
      <c r="J129" s="40" t="n">
        <f aca="false">MIN($I$3-I129,K128)</f>
        <v>3137.69487299721</v>
      </c>
      <c r="K129" s="40" t="n">
        <f aca="false">K128-J129</f>
        <v>2191600.97063178</v>
      </c>
      <c r="L129" s="40" t="n">
        <f aca="false">C129+F129+I129</f>
        <v>11249.6855221357</v>
      </c>
      <c r="M129" s="40" t="n">
        <f aca="false">D129+G129+J129</f>
        <v>5310.47156921078</v>
      </c>
      <c r="N129" s="40" t="n">
        <f aca="false">L129+M129</f>
        <v>16560.1570913465</v>
      </c>
      <c r="O129" s="40" t="n">
        <f aca="false">E129+H129+K129</f>
        <v>3939860.5158356</v>
      </c>
    </row>
    <row r="130" customFormat="false" ht="15" hidden="false" customHeight="false" outlineLevel="0" collapsed="false">
      <c r="A130" s="39" t="n">
        <v>124</v>
      </c>
      <c r="B130" s="39" t="n">
        <f aca="false">ROUNDUP(A130/12,0)</f>
        <v>11</v>
      </c>
      <c r="C130" s="40" t="n">
        <f aca="false">E129*Annahmen!$B$38/12</f>
        <v>2208.26865934219</v>
      </c>
      <c r="D130" s="40" t="n">
        <f aca="false">MIN($C$3-C130,E129)</f>
        <v>1291.73134065781</v>
      </c>
      <c r="E130" s="40" t="n">
        <f aca="false">E129-D130</f>
        <v>1058677.22514359</v>
      </c>
      <c r="F130" s="40" t="n">
        <f aca="false">H129*Annahmen!$B$39/12</f>
        <v>1720.72647179891</v>
      </c>
      <c r="G130" s="40" t="n">
        <f aca="false">MIN($F$3-F130,H129)</f>
        <v>885.940194867754</v>
      </c>
      <c r="H130" s="40" t="n">
        <f aca="false">H129-G130</f>
        <v>687404.648524697</v>
      </c>
      <c r="I130" s="40" t="n">
        <f aca="false">K129*Annahmen!$B$40/12</f>
        <v>7305.3365687726</v>
      </c>
      <c r="J130" s="40" t="n">
        <f aca="false">MIN($I$3-I130,K129)</f>
        <v>3148.1538559072</v>
      </c>
      <c r="K130" s="40" t="n">
        <f aca="false">K129-J130</f>
        <v>2188452.81677587</v>
      </c>
      <c r="L130" s="40" t="n">
        <f aca="false">C130+F130+I130</f>
        <v>11234.3316999137</v>
      </c>
      <c r="M130" s="40" t="n">
        <f aca="false">D130+G130+J130</f>
        <v>5325.82539143276</v>
      </c>
      <c r="N130" s="40" t="n">
        <f aca="false">L130+M130</f>
        <v>16560.1570913465</v>
      </c>
      <c r="O130" s="40" t="n">
        <f aca="false">E130+H130+K130</f>
        <v>3934534.69044417</v>
      </c>
    </row>
    <row r="131" customFormat="false" ht="15" hidden="false" customHeight="false" outlineLevel="0" collapsed="false">
      <c r="A131" s="39" t="n">
        <v>125</v>
      </c>
      <c r="B131" s="39" t="n">
        <f aca="false">ROUNDUP(A131/12,0)</f>
        <v>11</v>
      </c>
      <c r="C131" s="40" t="n">
        <f aca="false">E130*Annahmen!$B$38/12</f>
        <v>2205.57755238249</v>
      </c>
      <c r="D131" s="40" t="n">
        <f aca="false">MIN($C$3-C131,E130)</f>
        <v>1294.42244761751</v>
      </c>
      <c r="E131" s="40" t="n">
        <f aca="false">E130-D131</f>
        <v>1057382.80269598</v>
      </c>
      <c r="F131" s="40" t="n">
        <f aca="false">H130*Annahmen!$B$39/12</f>
        <v>1718.51162131174</v>
      </c>
      <c r="G131" s="40" t="n">
        <f aca="false">MIN($F$3-F131,H130)</f>
        <v>888.155045354924</v>
      </c>
      <c r="H131" s="40" t="n">
        <f aca="false">H130-G131</f>
        <v>686516.493479342</v>
      </c>
      <c r="I131" s="40" t="n">
        <f aca="false">K130*Annahmen!$B$40/12</f>
        <v>7294.84272258625</v>
      </c>
      <c r="J131" s="40" t="n">
        <f aca="false">MIN($I$3-I131,K130)</f>
        <v>3158.64770209356</v>
      </c>
      <c r="K131" s="40" t="n">
        <f aca="false">K130-J131</f>
        <v>2185294.16907378</v>
      </c>
      <c r="L131" s="40" t="n">
        <f aca="false">C131+F131+I131</f>
        <v>11218.9318962805</v>
      </c>
      <c r="M131" s="40" t="n">
        <f aca="false">D131+G131+J131</f>
        <v>5341.22519506599</v>
      </c>
      <c r="N131" s="40" t="n">
        <f aca="false">L131+M131</f>
        <v>16560.1570913465</v>
      </c>
      <c r="O131" s="40" t="n">
        <f aca="false">E131+H131+K131</f>
        <v>3929193.4652491</v>
      </c>
    </row>
    <row r="132" customFormat="false" ht="15" hidden="false" customHeight="false" outlineLevel="0" collapsed="false">
      <c r="A132" s="39" t="n">
        <v>126</v>
      </c>
      <c r="B132" s="39" t="n">
        <f aca="false">ROUNDUP(A132/12,0)</f>
        <v>11</v>
      </c>
      <c r="C132" s="40" t="n">
        <f aca="false">E131*Annahmen!$B$38/12</f>
        <v>2202.88083894995</v>
      </c>
      <c r="D132" s="40" t="n">
        <f aca="false">MIN($C$3-C132,E131)</f>
        <v>1297.11916105005</v>
      </c>
      <c r="E132" s="40" t="n">
        <f aca="false">E131-D132</f>
        <v>1056085.68353493</v>
      </c>
      <c r="F132" s="40" t="n">
        <f aca="false">H131*Annahmen!$B$39/12</f>
        <v>1716.29123369835</v>
      </c>
      <c r="G132" s="40" t="n">
        <f aca="false">MIN($F$3-F132,H131)</f>
        <v>890.375432968311</v>
      </c>
      <c r="H132" s="40" t="n">
        <f aca="false">H131-G132</f>
        <v>685626.118046374</v>
      </c>
      <c r="I132" s="40" t="n">
        <f aca="false">K131*Annahmen!$B$40/12</f>
        <v>7284.3138969126</v>
      </c>
      <c r="J132" s="40" t="n">
        <f aca="false">MIN($I$3-I132,K131)</f>
        <v>3169.1765277672</v>
      </c>
      <c r="K132" s="40" t="n">
        <f aca="false">K131-J132</f>
        <v>2182124.99254601</v>
      </c>
      <c r="L132" s="40" t="n">
        <f aca="false">C132+F132+I132</f>
        <v>11203.4859695609</v>
      </c>
      <c r="M132" s="40" t="n">
        <f aca="false">D132+G132+J132</f>
        <v>5356.67112178556</v>
      </c>
      <c r="N132" s="40" t="n">
        <f aca="false">L132+M132</f>
        <v>16560.1570913465</v>
      </c>
      <c r="O132" s="40" t="n">
        <f aca="false">E132+H132+K132</f>
        <v>3923836.79412731</v>
      </c>
    </row>
    <row r="133" customFormat="false" ht="15" hidden="false" customHeight="false" outlineLevel="0" collapsed="false">
      <c r="A133" s="39" t="n">
        <v>127</v>
      </c>
      <c r="B133" s="39" t="n">
        <f aca="false">ROUNDUP(A133/12,0)</f>
        <v>11</v>
      </c>
      <c r="C133" s="40" t="n">
        <f aca="false">E132*Annahmen!$B$38/12</f>
        <v>2200.17850736443</v>
      </c>
      <c r="D133" s="40" t="n">
        <f aca="false">MIN($C$3-C133,E132)</f>
        <v>1299.82149263557</v>
      </c>
      <c r="E133" s="40" t="n">
        <f aca="false">E132-D133</f>
        <v>1054785.86204229</v>
      </c>
      <c r="F133" s="40" t="n">
        <f aca="false">H132*Annahmen!$B$39/12</f>
        <v>1714.06529511593</v>
      </c>
      <c r="G133" s="40" t="n">
        <f aca="false">MIN($F$3-F133,H132)</f>
        <v>892.601371550732</v>
      </c>
      <c r="H133" s="40" t="n">
        <f aca="false">H132-G133</f>
        <v>684733.516674823</v>
      </c>
      <c r="I133" s="40" t="n">
        <f aca="false">K132*Annahmen!$B$40/12</f>
        <v>7273.74997515338</v>
      </c>
      <c r="J133" s="40" t="n">
        <f aca="false">MIN($I$3-I133,K132)</f>
        <v>3179.74044952642</v>
      </c>
      <c r="K133" s="40" t="n">
        <f aca="false">K132-J133</f>
        <v>2178945.25209649</v>
      </c>
      <c r="L133" s="40" t="n">
        <f aca="false">C133+F133+I133</f>
        <v>11187.9937776337</v>
      </c>
      <c r="M133" s="40" t="n">
        <f aca="false">D133+G133+J133</f>
        <v>5372.16331371272</v>
      </c>
      <c r="N133" s="40" t="n">
        <f aca="false">L133+M133</f>
        <v>16560.1570913465</v>
      </c>
      <c r="O133" s="40" t="n">
        <f aca="false">E133+H133+K133</f>
        <v>3918464.6308136</v>
      </c>
    </row>
    <row r="134" customFormat="false" ht="15" hidden="false" customHeight="false" outlineLevel="0" collapsed="false">
      <c r="A134" s="39" t="n">
        <v>128</v>
      </c>
      <c r="B134" s="39" t="n">
        <f aca="false">ROUNDUP(A134/12,0)</f>
        <v>11</v>
      </c>
      <c r="C134" s="40" t="n">
        <f aca="false">E133*Annahmen!$B$38/12</f>
        <v>2197.47054592144</v>
      </c>
      <c r="D134" s="40" t="n">
        <f aca="false">MIN($C$3-C134,E133)</f>
        <v>1302.52945407856</v>
      </c>
      <c r="E134" s="40" t="n">
        <f aca="false">E133-D134</f>
        <v>1053483.33258821</v>
      </c>
      <c r="F134" s="40" t="n">
        <f aca="false">H133*Annahmen!$B$39/12</f>
        <v>1711.83379168706</v>
      </c>
      <c r="G134" s="40" t="n">
        <f aca="false">MIN($F$3-F134,H133)</f>
        <v>894.832874979609</v>
      </c>
      <c r="H134" s="40" t="n">
        <f aca="false">H133-G134</f>
        <v>683838.683799843</v>
      </c>
      <c r="I134" s="40" t="n">
        <f aca="false">K133*Annahmen!$B$40/12</f>
        <v>7263.15084032162</v>
      </c>
      <c r="J134" s="40" t="n">
        <f aca="false">MIN($I$3-I134,K133)</f>
        <v>3190.33958435818</v>
      </c>
      <c r="K134" s="40" t="n">
        <f aca="false">K133-J134</f>
        <v>2175754.91251213</v>
      </c>
      <c r="L134" s="40" t="n">
        <f aca="false">C134+F134+I134</f>
        <v>11172.4551779301</v>
      </c>
      <c r="M134" s="40" t="n">
        <f aca="false">D134+G134+J134</f>
        <v>5387.70191341635</v>
      </c>
      <c r="N134" s="40" t="n">
        <f aca="false">L134+M134</f>
        <v>16560.1570913465</v>
      </c>
      <c r="O134" s="40" t="n">
        <f aca="false">E134+H134+K134</f>
        <v>3913076.92890019</v>
      </c>
    </row>
    <row r="135" customFormat="false" ht="15" hidden="false" customHeight="false" outlineLevel="0" collapsed="false">
      <c r="A135" s="39" t="n">
        <v>129</v>
      </c>
      <c r="B135" s="39" t="n">
        <f aca="false">ROUNDUP(A135/12,0)</f>
        <v>11</v>
      </c>
      <c r="C135" s="40" t="n">
        <f aca="false">E134*Annahmen!$B$38/12</f>
        <v>2194.75694289211</v>
      </c>
      <c r="D135" s="40" t="n">
        <f aca="false">MIN($C$3-C135,E134)</f>
        <v>1305.24305710789</v>
      </c>
      <c r="E135" s="40" t="n">
        <f aca="false">E134-D135</f>
        <v>1052178.08953111</v>
      </c>
      <c r="F135" s="40" t="n">
        <f aca="false">H134*Annahmen!$B$39/12</f>
        <v>1709.59670949961</v>
      </c>
      <c r="G135" s="40" t="n">
        <f aca="false">MIN($F$3-F135,H134)</f>
        <v>897.069957167058</v>
      </c>
      <c r="H135" s="40" t="n">
        <f aca="false">H134-G135</f>
        <v>682941.613842676</v>
      </c>
      <c r="I135" s="40" t="n">
        <f aca="false">K134*Annahmen!$B$40/12</f>
        <v>7252.51637504043</v>
      </c>
      <c r="J135" s="40" t="n">
        <f aca="false">MIN($I$3-I135,K134)</f>
        <v>3200.97404963937</v>
      </c>
      <c r="K135" s="40" t="n">
        <f aca="false">K134-J135</f>
        <v>2172553.93846249</v>
      </c>
      <c r="L135" s="40" t="n">
        <f aca="false">C135+F135+I135</f>
        <v>11156.8700274321</v>
      </c>
      <c r="M135" s="40" t="n">
        <f aca="false">D135+G135+J135</f>
        <v>5403.28706391432</v>
      </c>
      <c r="N135" s="40" t="n">
        <f aca="false">L135+M135</f>
        <v>16560.1570913465</v>
      </c>
      <c r="O135" s="40" t="n">
        <f aca="false">E135+H135+K135</f>
        <v>3907673.64183627</v>
      </c>
    </row>
    <row r="136" customFormat="false" ht="15" hidden="false" customHeight="false" outlineLevel="0" collapsed="false">
      <c r="A136" s="39" t="n">
        <v>130</v>
      </c>
      <c r="B136" s="39" t="n">
        <f aca="false">ROUNDUP(A136/12,0)</f>
        <v>11</v>
      </c>
      <c r="C136" s="40" t="n">
        <f aca="false">E135*Annahmen!$B$38/12</f>
        <v>2192.03768652314</v>
      </c>
      <c r="D136" s="40" t="n">
        <f aca="false">MIN($C$3-C136,E135)</f>
        <v>1307.96231347686</v>
      </c>
      <c r="E136" s="40" t="n">
        <f aca="false">E135-D136</f>
        <v>1050870.12721763</v>
      </c>
      <c r="F136" s="40" t="n">
        <f aca="false">H135*Annahmen!$B$39/12</f>
        <v>1707.35403460669</v>
      </c>
      <c r="G136" s="40" t="n">
        <f aca="false">MIN($F$3-F136,H135)</f>
        <v>899.312632059975</v>
      </c>
      <c r="H136" s="40" t="n">
        <f aca="false">H135-G136</f>
        <v>682042.301210616</v>
      </c>
      <c r="I136" s="40" t="n">
        <f aca="false">K135*Annahmen!$B$40/12</f>
        <v>7241.84646154163</v>
      </c>
      <c r="J136" s="40" t="n">
        <f aca="false">MIN($I$3-I136,K135)</f>
        <v>3211.64396313817</v>
      </c>
      <c r="K136" s="40" t="n">
        <f aca="false">K135-J136</f>
        <v>2169342.29449935</v>
      </c>
      <c r="L136" s="40" t="n">
        <f aca="false">C136+F136+I136</f>
        <v>11141.2381826715</v>
      </c>
      <c r="M136" s="40" t="n">
        <f aca="false">D136+G136+J136</f>
        <v>5418.91890867501</v>
      </c>
      <c r="N136" s="40" t="n">
        <f aca="false">L136+M136</f>
        <v>16560.1570913465</v>
      </c>
      <c r="O136" s="40" t="n">
        <f aca="false">E136+H136+K136</f>
        <v>3902254.7229276</v>
      </c>
    </row>
    <row r="137" customFormat="false" ht="15" hidden="false" customHeight="false" outlineLevel="0" collapsed="false">
      <c r="A137" s="39" t="n">
        <v>131</v>
      </c>
      <c r="B137" s="39" t="n">
        <f aca="false">ROUNDUP(A137/12,0)</f>
        <v>11</v>
      </c>
      <c r="C137" s="40" t="n">
        <f aca="false">E136*Annahmen!$B$38/12</f>
        <v>2189.31276503673</v>
      </c>
      <c r="D137" s="40" t="n">
        <f aca="false">MIN($C$3-C137,E136)</f>
        <v>1310.68723496327</v>
      </c>
      <c r="E137" s="40" t="n">
        <f aca="false">E136-D137</f>
        <v>1049559.43998267</v>
      </c>
      <c r="F137" s="40" t="n">
        <f aca="false">H136*Annahmen!$B$39/12</f>
        <v>1705.10575302654</v>
      </c>
      <c r="G137" s="40" t="n">
        <f aca="false">MIN($F$3-F137,H136)</f>
        <v>901.560913640125</v>
      </c>
      <c r="H137" s="40" t="n">
        <f aca="false">H136-G137</f>
        <v>681140.740296976</v>
      </c>
      <c r="I137" s="40" t="n">
        <f aca="false">K136*Annahmen!$B$40/12</f>
        <v>7231.1409816645</v>
      </c>
      <c r="J137" s="40" t="n">
        <f aca="false">MIN($I$3-I137,K136)</f>
        <v>3222.3494430153</v>
      </c>
      <c r="K137" s="40" t="n">
        <f aca="false">K136-J137</f>
        <v>2166119.94505634</v>
      </c>
      <c r="L137" s="40" t="n">
        <f aca="false">C137+F137+I137</f>
        <v>11125.5594997278</v>
      </c>
      <c r="M137" s="40" t="n">
        <f aca="false">D137+G137+J137</f>
        <v>5434.5975916187</v>
      </c>
      <c r="N137" s="40" t="n">
        <f aca="false">L137+M137</f>
        <v>16560.1570913465</v>
      </c>
      <c r="O137" s="40" t="n">
        <f aca="false">E137+H137+K137</f>
        <v>3896820.12533598</v>
      </c>
    </row>
    <row r="138" customFormat="false" ht="15" hidden="false" customHeight="false" outlineLevel="0" collapsed="false">
      <c r="A138" s="39" t="n">
        <v>132</v>
      </c>
      <c r="B138" s="39" t="n">
        <f aca="false">ROUNDUP(A138/12,0)</f>
        <v>11</v>
      </c>
      <c r="C138" s="40" t="n">
        <f aca="false">E137*Annahmen!$B$38/12</f>
        <v>2186.58216663055</v>
      </c>
      <c r="D138" s="40" t="n">
        <f aca="false">MIN($C$3-C138,E137)</f>
        <v>1313.41783336945</v>
      </c>
      <c r="E138" s="40" t="n">
        <f aca="false">E137-D138</f>
        <v>1048246.0221493</v>
      </c>
      <c r="F138" s="40" t="n">
        <f aca="false">H137*Annahmen!$B$39/12</f>
        <v>1702.85185074244</v>
      </c>
      <c r="G138" s="40" t="n">
        <f aca="false">MIN($F$3-F138,H137)</f>
        <v>903.814815924226</v>
      </c>
      <c r="H138" s="40" t="n">
        <f aca="false">H137-G138</f>
        <v>680236.925481052</v>
      </c>
      <c r="I138" s="40" t="n">
        <f aca="false">K137*Annahmen!$B$40/12</f>
        <v>7220.39981685445</v>
      </c>
      <c r="J138" s="40" t="n">
        <f aca="false">MIN($I$3-I138,K137)</f>
        <v>3233.09060782535</v>
      </c>
      <c r="K138" s="40" t="n">
        <f aca="false">K137-J138</f>
        <v>2162886.85444851</v>
      </c>
      <c r="L138" s="40" t="n">
        <f aca="false">C138+F138+I138</f>
        <v>11109.8338342274</v>
      </c>
      <c r="M138" s="40" t="n">
        <f aca="false">D138+G138+J138</f>
        <v>5450.32325711902</v>
      </c>
      <c r="N138" s="40" t="n">
        <f aca="false">L138+M138</f>
        <v>16560.1570913465</v>
      </c>
      <c r="O138" s="40" t="n">
        <f aca="false">E138+H138+K138</f>
        <v>3891369.80207886</v>
      </c>
    </row>
    <row r="139" customFormat="false" ht="15" hidden="false" customHeight="false" outlineLevel="0" collapsed="false">
      <c r="A139" s="39" t="n">
        <v>133</v>
      </c>
      <c r="B139" s="39" t="n">
        <f aca="false">ROUNDUP(A139/12,0)</f>
        <v>12</v>
      </c>
      <c r="C139" s="40" t="n">
        <f aca="false">E138*Annahmen!$B$38/12</f>
        <v>2183.8458794777</v>
      </c>
      <c r="D139" s="40" t="n">
        <f aca="false">MIN($C$3-C139,E138)</f>
        <v>1316.1541205223</v>
      </c>
      <c r="E139" s="40" t="n">
        <f aca="false">E138-D139</f>
        <v>1046929.86802877</v>
      </c>
      <c r="F139" s="40" t="n">
        <f aca="false">H138*Annahmen!$B$39/12</f>
        <v>1700.59231370263</v>
      </c>
      <c r="G139" s="40" t="n">
        <f aca="false">MIN($F$3-F139,H138)</f>
        <v>906.074352964036</v>
      </c>
      <c r="H139" s="40" t="n">
        <f aca="false">H138-G139</f>
        <v>679330.851128088</v>
      </c>
      <c r="I139" s="40" t="n">
        <f aca="false">K138*Annahmen!$B$40/12</f>
        <v>7209.6228481617</v>
      </c>
      <c r="J139" s="40" t="n">
        <f aca="false">MIN($I$3-I139,K138)</f>
        <v>3243.8675765181</v>
      </c>
      <c r="K139" s="40" t="n">
        <f aca="false">K138-J139</f>
        <v>2159642.98687199</v>
      </c>
      <c r="L139" s="40" t="n">
        <f aca="false">C139+F139+I139</f>
        <v>11094.061041342</v>
      </c>
      <c r="M139" s="40" t="n">
        <f aca="false">D139+G139+J139</f>
        <v>5466.09605000444</v>
      </c>
      <c r="N139" s="40" t="n">
        <f aca="false">L139+M139</f>
        <v>16560.1570913465</v>
      </c>
      <c r="O139" s="40" t="n">
        <f aca="false">E139+H139+K139</f>
        <v>3885903.70602885</v>
      </c>
    </row>
    <row r="140" customFormat="false" ht="15" hidden="false" customHeight="false" outlineLevel="0" collapsed="false">
      <c r="A140" s="39" t="n">
        <v>134</v>
      </c>
      <c r="B140" s="39" t="n">
        <f aca="false">ROUNDUP(A140/12,0)</f>
        <v>12</v>
      </c>
      <c r="C140" s="40" t="n">
        <f aca="false">E139*Annahmen!$B$38/12</f>
        <v>2181.10389172661</v>
      </c>
      <c r="D140" s="40" t="n">
        <f aca="false">MIN($C$3-C140,E139)</f>
        <v>1318.89610827339</v>
      </c>
      <c r="E140" s="40" t="n">
        <f aca="false">E139-D140</f>
        <v>1045610.9719205</v>
      </c>
      <c r="F140" s="40" t="n">
        <f aca="false">H139*Annahmen!$B$39/12</f>
        <v>1698.32712782022</v>
      </c>
      <c r="G140" s="40" t="n">
        <f aca="false">MIN($F$3-F140,H139)</f>
        <v>908.339538846446</v>
      </c>
      <c r="H140" s="40" t="n">
        <f aca="false">H139-G140</f>
        <v>678422.511589241</v>
      </c>
      <c r="I140" s="40" t="n">
        <f aca="false">K139*Annahmen!$B$40/12</f>
        <v>7198.80995623998</v>
      </c>
      <c r="J140" s="40" t="n">
        <f aca="false">MIN($I$3-I140,K139)</f>
        <v>3254.68046843983</v>
      </c>
      <c r="K140" s="40" t="n">
        <f aca="false">K139-J140</f>
        <v>2156388.30640355</v>
      </c>
      <c r="L140" s="40" t="n">
        <f aca="false">C140+F140+I140</f>
        <v>11078.2409757868</v>
      </c>
      <c r="M140" s="40" t="n">
        <f aca="false">D140+G140+J140</f>
        <v>5481.91611555966</v>
      </c>
      <c r="N140" s="40" t="n">
        <f aca="false">L140+M140</f>
        <v>16560.1570913465</v>
      </c>
      <c r="O140" s="40" t="n">
        <f aca="false">E140+H140+K140</f>
        <v>3880421.78991329</v>
      </c>
    </row>
    <row r="141" customFormat="false" ht="15" hidden="false" customHeight="false" outlineLevel="0" collapsed="false">
      <c r="A141" s="39" t="n">
        <v>135</v>
      </c>
      <c r="B141" s="39" t="n">
        <f aca="false">ROUNDUP(A141/12,0)</f>
        <v>12</v>
      </c>
      <c r="C141" s="40" t="n">
        <f aca="false">E140*Annahmen!$B$38/12</f>
        <v>2178.35619150104</v>
      </c>
      <c r="D141" s="40" t="n">
        <f aca="false">MIN($C$3-C141,E140)</f>
        <v>1321.64380849896</v>
      </c>
      <c r="E141" s="40" t="n">
        <f aca="false">E140-D141</f>
        <v>1044289.328112</v>
      </c>
      <c r="F141" s="40" t="n">
        <f aca="false">H140*Annahmen!$B$39/12</f>
        <v>1696.0562789731</v>
      </c>
      <c r="G141" s="40" t="n">
        <f aca="false">MIN($F$3-F141,H140)</f>
        <v>910.610387693562</v>
      </c>
      <c r="H141" s="40" t="n">
        <f aca="false">H140-G141</f>
        <v>677511.901201548</v>
      </c>
      <c r="I141" s="40" t="n">
        <f aca="false">K140*Annahmen!$B$40/12</f>
        <v>7187.96102134518</v>
      </c>
      <c r="J141" s="40" t="n">
        <f aca="false">MIN($I$3-I141,K140)</f>
        <v>3265.52940333463</v>
      </c>
      <c r="K141" s="40" t="n">
        <f aca="false">K140-J141</f>
        <v>2153122.77700022</v>
      </c>
      <c r="L141" s="40" t="n">
        <f aca="false">C141+F141+I141</f>
        <v>11062.3734918193</v>
      </c>
      <c r="M141" s="40" t="n">
        <f aca="false">D141+G141+J141</f>
        <v>5497.78359952715</v>
      </c>
      <c r="N141" s="40" t="n">
        <f aca="false">L141+M141</f>
        <v>16560.1570913465</v>
      </c>
      <c r="O141" s="40" t="n">
        <f aca="false">E141+H141+K141</f>
        <v>3874924.00631377</v>
      </c>
    </row>
    <row r="142" customFormat="false" ht="15" hidden="false" customHeight="false" outlineLevel="0" collapsed="false">
      <c r="A142" s="39" t="n">
        <v>136</v>
      </c>
      <c r="B142" s="39" t="n">
        <f aca="false">ROUNDUP(A142/12,0)</f>
        <v>12</v>
      </c>
      <c r="C142" s="40" t="n">
        <f aca="false">E141*Annahmen!$B$38/12</f>
        <v>2175.6027669</v>
      </c>
      <c r="D142" s="40" t="n">
        <f aca="false">MIN($C$3-C142,E141)</f>
        <v>1324.3972331</v>
      </c>
      <c r="E142" s="40" t="n">
        <f aca="false">E141-D142</f>
        <v>1042964.9308789</v>
      </c>
      <c r="F142" s="40" t="n">
        <f aca="false">H141*Annahmen!$B$39/12</f>
        <v>1693.77975300387</v>
      </c>
      <c r="G142" s="40" t="n">
        <f aca="false">MIN($F$3-F142,H141)</f>
        <v>912.886913662796</v>
      </c>
      <c r="H142" s="40" t="n">
        <f aca="false">H141-G142</f>
        <v>676599.014287885</v>
      </c>
      <c r="I142" s="40" t="n">
        <f aca="false">K141*Annahmen!$B$40/12</f>
        <v>7177.07592333406</v>
      </c>
      <c r="J142" s="40" t="n">
        <f aca="false">MIN($I$3-I142,K141)</f>
        <v>3276.41450134574</v>
      </c>
      <c r="K142" s="40" t="n">
        <f aca="false">K141-J142</f>
        <v>2149846.36249887</v>
      </c>
      <c r="L142" s="40" t="n">
        <f aca="false">C142+F142+I142</f>
        <v>11046.4584432379</v>
      </c>
      <c r="M142" s="40" t="n">
        <f aca="false">D142+G142+J142</f>
        <v>5513.69864810853</v>
      </c>
      <c r="N142" s="40" t="n">
        <f aca="false">L142+M142</f>
        <v>16560.1570913465</v>
      </c>
      <c r="O142" s="40" t="n">
        <f aca="false">E142+H142+K142</f>
        <v>3869410.30766566</v>
      </c>
    </row>
    <row r="143" customFormat="false" ht="15" hidden="false" customHeight="false" outlineLevel="0" collapsed="false">
      <c r="A143" s="39" t="n">
        <v>137</v>
      </c>
      <c r="B143" s="39" t="n">
        <f aca="false">ROUNDUP(A143/12,0)</f>
        <v>12</v>
      </c>
      <c r="C143" s="40" t="n">
        <f aca="false">E142*Annahmen!$B$38/12</f>
        <v>2172.84360599771</v>
      </c>
      <c r="D143" s="40" t="n">
        <f aca="false">MIN($C$3-C143,E142)</f>
        <v>1327.15639400229</v>
      </c>
      <c r="E143" s="40" t="n">
        <f aca="false">E142-D143</f>
        <v>1041637.7744849</v>
      </c>
      <c r="F143" s="40" t="n">
        <f aca="false">H142*Annahmen!$B$39/12</f>
        <v>1691.49753571971</v>
      </c>
      <c r="G143" s="40" t="n">
        <f aca="false">MIN($F$3-F143,H142)</f>
        <v>915.169130946953</v>
      </c>
      <c r="H143" s="40" t="n">
        <f aca="false">H142-G143</f>
        <v>675683.845156938</v>
      </c>
      <c r="I143" s="40" t="n">
        <f aca="false">K142*Annahmen!$B$40/12</f>
        <v>7166.15454166291</v>
      </c>
      <c r="J143" s="40" t="n">
        <f aca="false">MIN($I$3-I143,K142)</f>
        <v>3287.33588301689</v>
      </c>
      <c r="K143" s="40" t="n">
        <f aca="false">K142-J143</f>
        <v>2146559.02661586</v>
      </c>
      <c r="L143" s="40" t="n">
        <f aca="false">C143+F143+I143</f>
        <v>11030.4956833803</v>
      </c>
      <c r="M143" s="40" t="n">
        <f aca="false">D143+G143+J143</f>
        <v>5529.66140796613</v>
      </c>
      <c r="N143" s="40" t="n">
        <f aca="false">L143+M143</f>
        <v>16560.1570913465</v>
      </c>
      <c r="O143" s="40" t="n">
        <f aca="false">E143+H143+K143</f>
        <v>3863880.64625769</v>
      </c>
    </row>
    <row r="144" customFormat="false" ht="15" hidden="false" customHeight="false" outlineLevel="0" collapsed="false">
      <c r="A144" s="39" t="n">
        <v>138</v>
      </c>
      <c r="B144" s="39" t="n">
        <f aca="false">ROUNDUP(A144/12,0)</f>
        <v>12</v>
      </c>
      <c r="C144" s="40" t="n">
        <f aca="false">E143*Annahmen!$B$38/12</f>
        <v>2170.07869684354</v>
      </c>
      <c r="D144" s="40" t="n">
        <f aca="false">MIN($C$3-C144,E143)</f>
        <v>1329.92130315646</v>
      </c>
      <c r="E144" s="40" t="n">
        <f aca="false">E143-D144</f>
        <v>1040307.85318174</v>
      </c>
      <c r="F144" s="40" t="n">
        <f aca="false">H143*Annahmen!$B$39/12</f>
        <v>1689.20961289235</v>
      </c>
      <c r="G144" s="40" t="n">
        <f aca="false">MIN($F$3-F144,H143)</f>
        <v>917.457053774321</v>
      </c>
      <c r="H144" s="40" t="n">
        <f aca="false">H143-G144</f>
        <v>674766.388103164</v>
      </c>
      <c r="I144" s="40" t="n">
        <f aca="false">K143*Annahmen!$B$40/12</f>
        <v>7155.19675538619</v>
      </c>
      <c r="J144" s="40" t="n">
        <f aca="false">MIN($I$3-I144,K143)</f>
        <v>3298.29366929362</v>
      </c>
      <c r="K144" s="40" t="n">
        <f aca="false">K143-J144</f>
        <v>2143260.73294656</v>
      </c>
      <c r="L144" s="40" t="n">
        <f aca="false">C144+F144+I144</f>
        <v>11014.4850651221</v>
      </c>
      <c r="M144" s="40" t="n">
        <f aca="false">D144+G144+J144</f>
        <v>5545.6720262244</v>
      </c>
      <c r="N144" s="40" t="n">
        <f aca="false">L144+M144</f>
        <v>16560.1570913465</v>
      </c>
      <c r="O144" s="40" t="n">
        <f aca="false">E144+H144+K144</f>
        <v>3858334.97423147</v>
      </c>
    </row>
    <row r="145" customFormat="false" ht="15" hidden="false" customHeight="false" outlineLevel="0" collapsed="false">
      <c r="A145" s="39" t="n">
        <v>139</v>
      </c>
      <c r="B145" s="39" t="n">
        <f aca="false">ROUNDUP(A145/12,0)</f>
        <v>12</v>
      </c>
      <c r="C145" s="40" t="n">
        <f aca="false">E144*Annahmen!$B$38/12</f>
        <v>2167.30802746196</v>
      </c>
      <c r="D145" s="40" t="n">
        <f aca="false">MIN($C$3-C145,E144)</f>
        <v>1332.69197253804</v>
      </c>
      <c r="E145" s="40" t="n">
        <f aca="false">E144-D145</f>
        <v>1038975.1612092</v>
      </c>
      <c r="F145" s="40" t="n">
        <f aca="false">H144*Annahmen!$B$39/12</f>
        <v>1686.91597025791</v>
      </c>
      <c r="G145" s="40" t="n">
        <f aca="false">MIN($F$3-F145,H144)</f>
        <v>919.750696408756</v>
      </c>
      <c r="H145" s="40" t="n">
        <f aca="false">H144-G145</f>
        <v>673846.637406755</v>
      </c>
      <c r="I145" s="40" t="n">
        <f aca="false">K144*Annahmen!$B$40/12</f>
        <v>7144.20244315521</v>
      </c>
      <c r="J145" s="40" t="n">
        <f aca="false">MIN($I$3-I145,K144)</f>
        <v>3309.2879815246</v>
      </c>
      <c r="K145" s="40" t="n">
        <f aca="false">K144-J145</f>
        <v>2139951.44496504</v>
      </c>
      <c r="L145" s="40" t="n">
        <f aca="false">C145+F145+I145</f>
        <v>10998.4264408751</v>
      </c>
      <c r="M145" s="40" t="n">
        <f aca="false">D145+G145+J145</f>
        <v>5561.73065047139</v>
      </c>
      <c r="N145" s="40" t="n">
        <f aca="false">L145+M145</f>
        <v>16560.1570913465</v>
      </c>
      <c r="O145" s="40" t="n">
        <f aca="false">E145+H145+K145</f>
        <v>3852773.243581</v>
      </c>
    </row>
    <row r="146" customFormat="false" ht="15" hidden="false" customHeight="false" outlineLevel="0" collapsed="false">
      <c r="A146" s="39" t="n">
        <v>140</v>
      </c>
      <c r="B146" s="39" t="n">
        <f aca="false">ROUNDUP(A146/12,0)</f>
        <v>12</v>
      </c>
      <c r="C146" s="40" t="n">
        <f aca="false">E145*Annahmen!$B$38/12</f>
        <v>2164.53158585251</v>
      </c>
      <c r="D146" s="40" t="n">
        <f aca="false">MIN($C$3-C146,E145)</f>
        <v>1335.46841414749</v>
      </c>
      <c r="E146" s="40" t="n">
        <f aca="false">E145-D146</f>
        <v>1037639.69279506</v>
      </c>
      <c r="F146" s="40" t="n">
        <f aca="false">H145*Annahmen!$B$39/12</f>
        <v>1684.61659351689</v>
      </c>
      <c r="G146" s="40" t="n">
        <f aca="false">MIN($F$3-F146,H145)</f>
        <v>922.050073149778</v>
      </c>
      <c r="H146" s="40" t="n">
        <f aca="false">H145-G146</f>
        <v>672924.587333605</v>
      </c>
      <c r="I146" s="40" t="n">
        <f aca="false">K145*Annahmen!$B$40/12</f>
        <v>7133.17148321679</v>
      </c>
      <c r="J146" s="40" t="n">
        <f aca="false">MIN($I$3-I146,K145)</f>
        <v>3320.31894146301</v>
      </c>
      <c r="K146" s="40" t="n">
        <f aca="false">K145-J146</f>
        <v>2136631.12602357</v>
      </c>
      <c r="L146" s="40" t="n">
        <f aca="false">C146+F146+I146</f>
        <v>10982.3196625862</v>
      </c>
      <c r="M146" s="40" t="n">
        <f aca="false">D146+G146+J146</f>
        <v>5577.83742876028</v>
      </c>
      <c r="N146" s="40" t="n">
        <f aca="false">L146+M146</f>
        <v>16560.1570913465</v>
      </c>
      <c r="O146" s="40" t="n">
        <f aca="false">E146+H146+K146</f>
        <v>3847195.40615224</v>
      </c>
    </row>
    <row r="147" customFormat="false" ht="15" hidden="false" customHeight="false" outlineLevel="0" collapsed="false">
      <c r="A147" s="39" t="n">
        <v>141</v>
      </c>
      <c r="B147" s="39" t="n">
        <f aca="false">ROUNDUP(A147/12,0)</f>
        <v>12</v>
      </c>
      <c r="C147" s="40" t="n">
        <f aca="false">E146*Annahmen!$B$38/12</f>
        <v>2161.7493599897</v>
      </c>
      <c r="D147" s="40" t="n">
        <f aca="false">MIN($C$3-C147,E146)</f>
        <v>1338.2506400103</v>
      </c>
      <c r="E147" s="40" t="n">
        <f aca="false">E146-D147</f>
        <v>1036301.44215505</v>
      </c>
      <c r="F147" s="40" t="n">
        <f aca="false">H146*Annahmen!$B$39/12</f>
        <v>1682.31146833401</v>
      </c>
      <c r="G147" s="40" t="n">
        <f aca="false">MIN($F$3-F147,H146)</f>
        <v>924.355198332653</v>
      </c>
      <c r="H147" s="40" t="n">
        <f aca="false">H146-G147</f>
        <v>672000.232135273</v>
      </c>
      <c r="I147" s="40" t="n">
        <f aca="false">K146*Annahmen!$B$40/12</f>
        <v>7122.10375341192</v>
      </c>
      <c r="J147" s="40" t="n">
        <f aca="false">MIN($I$3-I147,K146)</f>
        <v>3331.38667126789</v>
      </c>
      <c r="K147" s="40" t="n">
        <f aca="false">K146-J147</f>
        <v>2133299.73935231</v>
      </c>
      <c r="L147" s="40" t="n">
        <f aca="false">C147+F147+I147</f>
        <v>10966.1645817356</v>
      </c>
      <c r="M147" s="40" t="n">
        <f aca="false">D147+G147+J147</f>
        <v>5593.99250961084</v>
      </c>
      <c r="N147" s="40" t="n">
        <f aca="false">L147+M147</f>
        <v>16560.1570913465</v>
      </c>
      <c r="O147" s="40" t="n">
        <f aca="false">E147+H147+K147</f>
        <v>3841601.41364263</v>
      </c>
    </row>
    <row r="148" customFormat="false" ht="15" hidden="false" customHeight="false" outlineLevel="0" collapsed="false">
      <c r="A148" s="39" t="n">
        <v>142</v>
      </c>
      <c r="B148" s="39" t="n">
        <f aca="false">ROUNDUP(A148/12,0)</f>
        <v>12</v>
      </c>
      <c r="C148" s="40" t="n">
        <f aca="false">E147*Annahmen!$B$38/12</f>
        <v>2158.96133782301</v>
      </c>
      <c r="D148" s="40" t="n">
        <f aca="false">MIN($C$3-C148,E147)</f>
        <v>1341.03866217699</v>
      </c>
      <c r="E148" s="40" t="n">
        <f aca="false">E147-D148</f>
        <v>1034960.40349287</v>
      </c>
      <c r="F148" s="40" t="n">
        <f aca="false">H147*Annahmen!$B$39/12</f>
        <v>1680.00058033818</v>
      </c>
      <c r="G148" s="40" t="n">
        <f aca="false">MIN($F$3-F148,H147)</f>
        <v>926.666086328484</v>
      </c>
      <c r="H148" s="40" t="n">
        <f aca="false">H147-G148</f>
        <v>671073.566048944</v>
      </c>
      <c r="I148" s="40" t="n">
        <f aca="false">K147*Annahmen!$B$40/12</f>
        <v>7110.99913117436</v>
      </c>
      <c r="J148" s="40" t="n">
        <f aca="false">MIN($I$3-I148,K147)</f>
        <v>3342.49129350544</v>
      </c>
      <c r="K148" s="40" t="n">
        <f aca="false">K147-J148</f>
        <v>2129957.2480588</v>
      </c>
      <c r="L148" s="40" t="n">
        <f aca="false">C148+F148+I148</f>
        <v>10949.9610493356</v>
      </c>
      <c r="M148" s="40" t="n">
        <f aca="false">D148+G148+J148</f>
        <v>5610.19604201091</v>
      </c>
      <c r="N148" s="40" t="n">
        <f aca="false">L148+M148</f>
        <v>16560.1570913465</v>
      </c>
      <c r="O148" s="40" t="n">
        <f aca="false">E148+H148+K148</f>
        <v>3835991.21760061</v>
      </c>
    </row>
    <row r="149" customFormat="false" ht="15" hidden="false" customHeight="false" outlineLevel="0" collapsed="false">
      <c r="A149" s="39" t="n">
        <v>143</v>
      </c>
      <c r="B149" s="39" t="n">
        <f aca="false">ROUNDUP(A149/12,0)</f>
        <v>12</v>
      </c>
      <c r="C149" s="40" t="n">
        <f aca="false">E148*Annahmen!$B$38/12</f>
        <v>2156.16750727681</v>
      </c>
      <c r="D149" s="40" t="n">
        <f aca="false">MIN($C$3-C149,E148)</f>
        <v>1343.83249272319</v>
      </c>
      <c r="E149" s="40" t="n">
        <f aca="false">E148-D149</f>
        <v>1033616.57100015</v>
      </c>
      <c r="F149" s="40" t="n">
        <f aca="false">H148*Annahmen!$B$39/12</f>
        <v>1677.68391512236</v>
      </c>
      <c r="G149" s="40" t="n">
        <f aca="false">MIN($F$3-F149,H148)</f>
        <v>928.982751544305</v>
      </c>
      <c r="H149" s="40" t="n">
        <f aca="false">H148-G149</f>
        <v>670144.5832974</v>
      </c>
      <c r="I149" s="40" t="n">
        <f aca="false">K148*Annahmen!$B$40/12</f>
        <v>7099.85749352934</v>
      </c>
      <c r="J149" s="40" t="n">
        <f aca="false">MIN($I$3-I149,K148)</f>
        <v>3353.63293115046</v>
      </c>
      <c r="K149" s="40" t="n">
        <f aca="false">K148-J149</f>
        <v>2126603.61512765</v>
      </c>
      <c r="L149" s="40" t="n">
        <f aca="false">C149+F149+I149</f>
        <v>10933.7089159285</v>
      </c>
      <c r="M149" s="40" t="n">
        <f aca="false">D149+G149+J149</f>
        <v>5626.44817541796</v>
      </c>
      <c r="N149" s="40" t="n">
        <f aca="false">L149+M149</f>
        <v>16560.1570913465</v>
      </c>
      <c r="O149" s="40" t="n">
        <f aca="false">E149+H149+K149</f>
        <v>3830364.7694252</v>
      </c>
    </row>
    <row r="150" customFormat="false" ht="15" hidden="false" customHeight="false" outlineLevel="0" collapsed="false">
      <c r="A150" s="39" t="n">
        <v>144</v>
      </c>
      <c r="B150" s="39" t="n">
        <f aca="false">ROUNDUP(A150/12,0)</f>
        <v>12</v>
      </c>
      <c r="C150" s="40" t="n">
        <f aca="false">E149*Annahmen!$B$38/12</f>
        <v>2153.3678562503</v>
      </c>
      <c r="D150" s="40" t="n">
        <f aca="false">MIN($C$3-C150,E149)</f>
        <v>1346.63214374969</v>
      </c>
      <c r="E150" s="40" t="n">
        <f aca="false">E149-D150</f>
        <v>1032269.9388564</v>
      </c>
      <c r="F150" s="40" t="n">
        <f aca="false">H149*Annahmen!$B$39/12</f>
        <v>1675.3614582435</v>
      </c>
      <c r="G150" s="40" t="n">
        <f aca="false">MIN($F$3-F150,H149)</f>
        <v>931.305208423166</v>
      </c>
      <c r="H150" s="40" t="n">
        <f aca="false">H149-G150</f>
        <v>669213.278088977</v>
      </c>
      <c r="I150" s="40" t="n">
        <f aca="false">K149*Annahmen!$B$40/12</f>
        <v>7088.67871709217</v>
      </c>
      <c r="J150" s="40" t="n">
        <f aca="false">MIN($I$3-I150,K149)</f>
        <v>3364.81170758763</v>
      </c>
      <c r="K150" s="40" t="n">
        <f aca="false">K149-J150</f>
        <v>2123238.80342006</v>
      </c>
      <c r="L150" s="40" t="n">
        <f aca="false">C150+F150+I150</f>
        <v>10917.408031586</v>
      </c>
      <c r="M150" s="40" t="n">
        <f aca="false">D150+G150+J150</f>
        <v>5642.74905976049</v>
      </c>
      <c r="N150" s="40" t="n">
        <f aca="false">L150+M150</f>
        <v>16560.1570913465</v>
      </c>
      <c r="O150" s="40" t="n">
        <f aca="false">E150+H150+K150</f>
        <v>3824722.02036544</v>
      </c>
    </row>
    <row r="151" customFormat="false" ht="15" hidden="false" customHeight="false" outlineLevel="0" collapsed="false">
      <c r="A151" s="39" t="n">
        <v>145</v>
      </c>
      <c r="B151" s="39" t="n">
        <f aca="false">ROUNDUP(A151/12,0)</f>
        <v>13</v>
      </c>
      <c r="C151" s="40" t="n">
        <f aca="false">E150*Annahmen!$B$38/12</f>
        <v>2150.56237261749</v>
      </c>
      <c r="D151" s="40" t="n">
        <f aca="false">MIN($C$3-C151,E150)</f>
        <v>1349.43762738251</v>
      </c>
      <c r="E151" s="40" t="n">
        <f aca="false">E150-D151</f>
        <v>1030920.50122901</v>
      </c>
      <c r="F151" s="40" t="n">
        <f aca="false">H150*Annahmen!$B$39/12</f>
        <v>1673.03319522244</v>
      </c>
      <c r="G151" s="40" t="n">
        <f aca="false">MIN($F$3-F151,H150)</f>
        <v>933.633471444224</v>
      </c>
      <c r="H151" s="40" t="n">
        <f aca="false">H150-G151</f>
        <v>668279.644617532</v>
      </c>
      <c r="I151" s="40" t="n">
        <f aca="false">K150*Annahmen!$B$40/12</f>
        <v>7077.46267806688</v>
      </c>
      <c r="J151" s="40" t="n">
        <f aca="false">MIN($I$3-I151,K150)</f>
        <v>3376.02774661292</v>
      </c>
      <c r="K151" s="40" t="n">
        <f aca="false">K150-J151</f>
        <v>2119862.77567345</v>
      </c>
      <c r="L151" s="40" t="n">
        <f aca="false">C151+F151+I151</f>
        <v>10901.0582459068</v>
      </c>
      <c r="M151" s="40" t="n">
        <f aca="false">D151+G151+J151</f>
        <v>5659.09884543965</v>
      </c>
      <c r="N151" s="40" t="n">
        <f aca="false">L151+M151</f>
        <v>16560.1570913465</v>
      </c>
      <c r="O151" s="40" t="n">
        <f aca="false">E151+H151+K151</f>
        <v>3819062.92152</v>
      </c>
    </row>
    <row r="152" customFormat="false" ht="15" hidden="false" customHeight="false" outlineLevel="0" collapsed="false">
      <c r="A152" s="39" t="n">
        <v>146</v>
      </c>
      <c r="B152" s="39" t="n">
        <f aca="false">ROUNDUP(A152/12,0)</f>
        <v>13</v>
      </c>
      <c r="C152" s="40" t="n">
        <f aca="false">E151*Annahmen!$B$38/12</f>
        <v>2147.75104422711</v>
      </c>
      <c r="D152" s="40" t="n">
        <f aca="false">MIN($C$3-C152,E151)</f>
        <v>1352.24895577289</v>
      </c>
      <c r="E152" s="40" t="n">
        <f aca="false">E151-D152</f>
        <v>1029568.25227324</v>
      </c>
      <c r="F152" s="40" t="n">
        <f aca="false">H151*Annahmen!$B$39/12</f>
        <v>1670.69911154383</v>
      </c>
      <c r="G152" s="40" t="n">
        <f aca="false">MIN($F$3-F152,H151)</f>
        <v>935.967555122835</v>
      </c>
      <c r="H152" s="40" t="n">
        <f aca="false">H151-G152</f>
        <v>667343.67706241</v>
      </c>
      <c r="I152" s="40" t="n">
        <f aca="false">K151*Annahmen!$B$40/12</f>
        <v>7066.20925224484</v>
      </c>
      <c r="J152" s="40" t="n">
        <f aca="false">MIN($I$3-I152,K151)</f>
        <v>3387.28117243497</v>
      </c>
      <c r="K152" s="40" t="n">
        <f aca="false">K151-J152</f>
        <v>2116475.49450102</v>
      </c>
      <c r="L152" s="40" t="n">
        <f aca="false">C152+F152+I152</f>
        <v>10884.6594080158</v>
      </c>
      <c r="M152" s="40" t="n">
        <f aca="false">D152+G152+J152</f>
        <v>5675.49768333069</v>
      </c>
      <c r="N152" s="40" t="n">
        <f aca="false">L152+M152</f>
        <v>16560.1570913465</v>
      </c>
      <c r="O152" s="40" t="n">
        <f aca="false">E152+H152+K152</f>
        <v>3813387.42383667</v>
      </c>
    </row>
    <row r="153" customFormat="false" ht="15" hidden="false" customHeight="false" outlineLevel="0" collapsed="false">
      <c r="A153" s="39" t="n">
        <v>147</v>
      </c>
      <c r="B153" s="39" t="n">
        <f aca="false">ROUNDUP(A153/12,0)</f>
        <v>13</v>
      </c>
      <c r="C153" s="40" t="n">
        <f aca="false">E152*Annahmen!$B$38/12</f>
        <v>2144.93385890259</v>
      </c>
      <c r="D153" s="40" t="n">
        <f aca="false">MIN($C$3-C153,E152)</f>
        <v>1355.06614109741</v>
      </c>
      <c r="E153" s="40" t="n">
        <f aca="false">E152-D153</f>
        <v>1028213.18613214</v>
      </c>
      <c r="F153" s="40" t="n">
        <f aca="false">H152*Annahmen!$B$39/12</f>
        <v>1668.35919265602</v>
      </c>
      <c r="G153" s="40" t="n">
        <f aca="false">MIN($F$3-F153,H152)</f>
        <v>938.307474010642</v>
      </c>
      <c r="H153" s="40" t="n">
        <f aca="false">H152-G153</f>
        <v>666405.369588399</v>
      </c>
      <c r="I153" s="40" t="n">
        <f aca="false">K152*Annahmen!$B$40/12</f>
        <v>7054.91831500339</v>
      </c>
      <c r="J153" s="40" t="n">
        <f aca="false">MIN($I$3-I153,K152)</f>
        <v>3398.57210967642</v>
      </c>
      <c r="K153" s="40" t="n">
        <f aca="false">K152-J153</f>
        <v>2113076.92239134</v>
      </c>
      <c r="L153" s="40" t="n">
        <f aca="false">C153+F153+I153</f>
        <v>10868.211366562</v>
      </c>
      <c r="M153" s="40" t="n">
        <f aca="false">D153+G153+J153</f>
        <v>5691.94572478447</v>
      </c>
      <c r="N153" s="40" t="n">
        <f aca="false">L153+M153</f>
        <v>16560.1570913465</v>
      </c>
      <c r="O153" s="40" t="n">
        <f aca="false">E153+H153+K153</f>
        <v>3807695.47811188</v>
      </c>
    </row>
    <row r="154" customFormat="false" ht="15" hidden="false" customHeight="false" outlineLevel="0" collapsed="false">
      <c r="A154" s="39" t="n">
        <v>148</v>
      </c>
      <c r="B154" s="39" t="n">
        <f aca="false">ROUNDUP(A154/12,0)</f>
        <v>13</v>
      </c>
      <c r="C154" s="40" t="n">
        <f aca="false">E153*Annahmen!$B$38/12</f>
        <v>2142.11080444197</v>
      </c>
      <c r="D154" s="40" t="n">
        <f aca="false">MIN($C$3-C154,E153)</f>
        <v>1357.88919555803</v>
      </c>
      <c r="E154" s="40" t="n">
        <f aca="false">E153-D154</f>
        <v>1026855.29693659</v>
      </c>
      <c r="F154" s="40" t="n">
        <f aca="false">H153*Annahmen!$B$39/12</f>
        <v>1666.013423971</v>
      </c>
      <c r="G154" s="40" t="n">
        <f aca="false">MIN($F$3-F154,H153)</f>
        <v>940.653242695669</v>
      </c>
      <c r="H154" s="40" t="n">
        <f aca="false">H153-G154</f>
        <v>665464.716345703</v>
      </c>
      <c r="I154" s="40" t="n">
        <f aca="false">K153*Annahmen!$B$40/12</f>
        <v>7043.58974130447</v>
      </c>
      <c r="J154" s="40" t="n">
        <f aca="false">MIN($I$3-I154,K153)</f>
        <v>3409.90068337534</v>
      </c>
      <c r="K154" s="40" t="n">
        <f aca="false">K153-J154</f>
        <v>2109667.02170796</v>
      </c>
      <c r="L154" s="40" t="n">
        <f aca="false">C154+F154+I154</f>
        <v>10851.7139697174</v>
      </c>
      <c r="M154" s="40" t="n">
        <f aca="false">D154+G154+J154</f>
        <v>5708.44312162904</v>
      </c>
      <c r="N154" s="40" t="n">
        <f aca="false">L154+M154</f>
        <v>16560.1570913465</v>
      </c>
      <c r="O154" s="40" t="n">
        <f aca="false">E154+H154+K154</f>
        <v>3801987.03499025</v>
      </c>
    </row>
    <row r="155" customFormat="false" ht="15" hidden="false" customHeight="false" outlineLevel="0" collapsed="false">
      <c r="A155" s="39" t="n">
        <v>149</v>
      </c>
      <c r="B155" s="39" t="n">
        <f aca="false">ROUNDUP(A155/12,0)</f>
        <v>13</v>
      </c>
      <c r="C155" s="40" t="n">
        <f aca="false">E154*Annahmen!$B$38/12</f>
        <v>2139.28186861789</v>
      </c>
      <c r="D155" s="40" t="n">
        <f aca="false">MIN($C$3-C155,E154)</f>
        <v>1360.71813138211</v>
      </c>
      <c r="E155" s="40" t="n">
        <f aca="false">E154-D155</f>
        <v>1025494.5788052</v>
      </c>
      <c r="F155" s="40" t="n">
        <f aca="false">H154*Annahmen!$B$39/12</f>
        <v>1663.66179086426</v>
      </c>
      <c r="G155" s="40" t="n">
        <f aca="false">MIN($F$3-F155,H154)</f>
        <v>943.004875802407</v>
      </c>
      <c r="H155" s="40" t="n">
        <f aca="false">H154-G155</f>
        <v>664521.711469901</v>
      </c>
      <c r="I155" s="40" t="n">
        <f aca="false">K154*Annahmen!$B$40/12</f>
        <v>7032.22340569321</v>
      </c>
      <c r="J155" s="40" t="n">
        <f aca="false">MIN($I$3-I155,K154)</f>
        <v>3421.26701898659</v>
      </c>
      <c r="K155" s="40" t="n">
        <f aca="false">K154-J155</f>
        <v>2106245.75468898</v>
      </c>
      <c r="L155" s="40" t="n">
        <f aca="false">C155+F155+I155</f>
        <v>10835.1670651754</v>
      </c>
      <c r="M155" s="40" t="n">
        <f aca="false">D155+G155+J155</f>
        <v>5724.99002617111</v>
      </c>
      <c r="N155" s="40" t="n">
        <f aca="false">L155+M155</f>
        <v>16560.1570913465</v>
      </c>
      <c r="O155" s="40" t="n">
        <f aca="false">E155+H155+K155</f>
        <v>3796262.04496408</v>
      </c>
    </row>
    <row r="156" customFormat="false" ht="15" hidden="false" customHeight="false" outlineLevel="0" collapsed="false">
      <c r="A156" s="39" t="n">
        <v>150</v>
      </c>
      <c r="B156" s="39" t="n">
        <f aca="false">ROUNDUP(A156/12,0)</f>
        <v>13</v>
      </c>
      <c r="C156" s="40" t="n">
        <f aca="false">E155*Annahmen!$B$38/12</f>
        <v>2136.44703917751</v>
      </c>
      <c r="D156" s="40" t="n">
        <f aca="false">MIN($C$3-C156,E155)</f>
        <v>1363.55296082249</v>
      </c>
      <c r="E156" s="40" t="n">
        <f aca="false">E155-D156</f>
        <v>1024131.02584438</v>
      </c>
      <c r="F156" s="40" t="n">
        <f aca="false">H155*Annahmen!$B$39/12</f>
        <v>1661.30427867475</v>
      </c>
      <c r="G156" s="40" t="n">
        <f aca="false">MIN($F$3-F156,H155)</f>
        <v>945.362387991914</v>
      </c>
      <c r="H156" s="40" t="n">
        <f aca="false">H155-G156</f>
        <v>663576.349081909</v>
      </c>
      <c r="I156" s="40" t="n">
        <f aca="false">K155*Annahmen!$B$40/12</f>
        <v>7020.81918229659</v>
      </c>
      <c r="J156" s="40" t="n">
        <f aca="false">MIN($I$3-I156,K155)</f>
        <v>3432.67124238321</v>
      </c>
      <c r="K156" s="40" t="n">
        <f aca="false">K155-J156</f>
        <v>2102813.08344659</v>
      </c>
      <c r="L156" s="40" t="n">
        <f aca="false">C156+F156+I156</f>
        <v>10818.5705001489</v>
      </c>
      <c r="M156" s="40" t="n">
        <f aca="false">D156+G156+J156</f>
        <v>5741.58659119761</v>
      </c>
      <c r="N156" s="40" t="n">
        <f aca="false">L156+M156</f>
        <v>16560.1570913465</v>
      </c>
      <c r="O156" s="40" t="n">
        <f aca="false">E156+H156+K156</f>
        <v>3790520.45837288</v>
      </c>
    </row>
    <row r="157" customFormat="false" ht="15" hidden="false" customHeight="false" outlineLevel="0" collapsed="false">
      <c r="A157" s="39" t="n">
        <v>151</v>
      </c>
      <c r="B157" s="39" t="n">
        <f aca="false">ROUNDUP(A157/12,0)</f>
        <v>13</v>
      </c>
      <c r="C157" s="40" t="n">
        <f aca="false">E156*Annahmen!$B$38/12</f>
        <v>2133.60630384246</v>
      </c>
      <c r="D157" s="40" t="n">
        <f aca="false">MIN($C$3-C157,E156)</f>
        <v>1366.39369615754</v>
      </c>
      <c r="E157" s="40" t="n">
        <f aca="false">E156-D157</f>
        <v>1022764.63214822</v>
      </c>
      <c r="F157" s="40" t="n">
        <f aca="false">H156*Annahmen!$B$39/12</f>
        <v>1658.94087270477</v>
      </c>
      <c r="G157" s="40" t="n">
        <f aca="false">MIN($F$3-F157,H156)</f>
        <v>947.725793961893</v>
      </c>
      <c r="H157" s="40" t="n">
        <f aca="false">H156-G157</f>
        <v>662628.623287947</v>
      </c>
      <c r="I157" s="40" t="n">
        <f aca="false">K156*Annahmen!$B$40/12</f>
        <v>7009.37694482198</v>
      </c>
      <c r="J157" s="40" t="n">
        <f aca="false">MIN($I$3-I157,K156)</f>
        <v>3444.11347985782</v>
      </c>
      <c r="K157" s="40" t="n">
        <f aca="false">K156-J157</f>
        <v>2099368.96996674</v>
      </c>
      <c r="L157" s="40" t="n">
        <f aca="false">C157+F157+I157</f>
        <v>10801.9241213692</v>
      </c>
      <c r="M157" s="40" t="n">
        <f aca="false">D157+G157+J157</f>
        <v>5758.23296997725</v>
      </c>
      <c r="N157" s="40" t="n">
        <f aca="false">L157+M157</f>
        <v>16560.1570913465</v>
      </c>
      <c r="O157" s="40" t="n">
        <f aca="false">E157+H157+K157</f>
        <v>3784762.22540291</v>
      </c>
    </row>
    <row r="158" customFormat="false" ht="15" hidden="false" customHeight="false" outlineLevel="0" collapsed="false">
      <c r="A158" s="39" t="n">
        <v>152</v>
      </c>
      <c r="B158" s="39" t="n">
        <f aca="false">ROUNDUP(A158/12,0)</f>
        <v>13</v>
      </c>
      <c r="C158" s="40" t="n">
        <f aca="false">E157*Annahmen!$B$38/12</f>
        <v>2130.7596503088</v>
      </c>
      <c r="D158" s="40" t="n">
        <f aca="false">MIN($C$3-C158,E157)</f>
        <v>1369.2403496912</v>
      </c>
      <c r="E158" s="40" t="n">
        <f aca="false">E157-D158</f>
        <v>1021395.39179853</v>
      </c>
      <c r="F158" s="40" t="n">
        <f aca="false">H157*Annahmen!$B$39/12</f>
        <v>1656.57155821987</v>
      </c>
      <c r="G158" s="40" t="n">
        <f aca="false">MIN($F$3-F158,H157)</f>
        <v>950.095108446798</v>
      </c>
      <c r="H158" s="40" t="n">
        <f aca="false">H157-G158</f>
        <v>661678.5281795</v>
      </c>
      <c r="I158" s="40" t="n">
        <f aca="false">K157*Annahmen!$B$40/12</f>
        <v>6997.89656655579</v>
      </c>
      <c r="J158" s="40" t="n">
        <f aca="false">MIN($I$3-I158,K157)</f>
        <v>3455.59385812401</v>
      </c>
      <c r="K158" s="40" t="n">
        <f aca="false">K157-J158</f>
        <v>2095913.37610861</v>
      </c>
      <c r="L158" s="40" t="n">
        <f aca="false">C158+F158+I158</f>
        <v>10785.2277750845</v>
      </c>
      <c r="M158" s="40" t="n">
        <f aca="false">D158+G158+J158</f>
        <v>5774.92931626201</v>
      </c>
      <c r="N158" s="40" t="n">
        <f aca="false">L158+M158</f>
        <v>16560.1570913465</v>
      </c>
      <c r="O158" s="40" t="n">
        <f aca="false">E158+H158+K158</f>
        <v>3778987.29608664</v>
      </c>
    </row>
    <row r="159" customFormat="false" ht="15" hidden="false" customHeight="false" outlineLevel="0" collapsed="false">
      <c r="A159" s="39" t="n">
        <v>153</v>
      </c>
      <c r="B159" s="39" t="n">
        <f aca="false">ROUNDUP(A159/12,0)</f>
        <v>13</v>
      </c>
      <c r="C159" s="40" t="n">
        <f aca="false">E158*Annahmen!$B$38/12</f>
        <v>2127.90706624694</v>
      </c>
      <c r="D159" s="40" t="n">
        <f aca="false">MIN($C$3-C159,E158)</f>
        <v>1372.09293375306</v>
      </c>
      <c r="E159" s="40" t="n">
        <f aca="false">E158-D159</f>
        <v>1020023.29886478</v>
      </c>
      <c r="F159" s="40" t="n">
        <f aca="false">H158*Annahmen!$B$39/12</f>
        <v>1654.19632044875</v>
      </c>
      <c r="G159" s="40" t="n">
        <f aca="false">MIN($F$3-F159,H158)</f>
        <v>952.470346217915</v>
      </c>
      <c r="H159" s="40" t="n">
        <f aca="false">H158-G159</f>
        <v>660726.057833283</v>
      </c>
      <c r="I159" s="40" t="n">
        <f aca="false">K158*Annahmen!$B$40/12</f>
        <v>6986.37792036204</v>
      </c>
      <c r="J159" s="40" t="n">
        <f aca="false">MIN($I$3-I159,K158)</f>
        <v>3467.11250431776</v>
      </c>
      <c r="K159" s="40" t="n">
        <f aca="false">K158-J159</f>
        <v>2092446.26360429</v>
      </c>
      <c r="L159" s="40" t="n">
        <f aca="false">C159+F159+I159</f>
        <v>10768.4813070577</v>
      </c>
      <c r="M159" s="40" t="n">
        <f aca="false">D159+G159+J159</f>
        <v>5791.67578428873</v>
      </c>
      <c r="N159" s="40" t="n">
        <f aca="false">L159+M159</f>
        <v>16560.1570913465</v>
      </c>
      <c r="O159" s="40" t="n">
        <f aca="false">E159+H159+K159</f>
        <v>3773195.62030236</v>
      </c>
    </row>
    <row r="160" customFormat="false" ht="15" hidden="false" customHeight="false" outlineLevel="0" collapsed="false">
      <c r="A160" s="39" t="n">
        <v>154</v>
      </c>
      <c r="B160" s="39" t="n">
        <f aca="false">ROUNDUP(A160/12,0)</f>
        <v>13</v>
      </c>
      <c r="C160" s="40" t="n">
        <f aca="false">E159*Annahmen!$B$38/12</f>
        <v>2125.04853930162</v>
      </c>
      <c r="D160" s="40" t="n">
        <f aca="false">MIN($C$3-C160,E159)</f>
        <v>1374.95146069837</v>
      </c>
      <c r="E160" s="40" t="n">
        <f aca="false">E159-D160</f>
        <v>1018648.34740408</v>
      </c>
      <c r="F160" s="40" t="n">
        <f aca="false">H159*Annahmen!$B$39/12</f>
        <v>1651.81514458321</v>
      </c>
      <c r="G160" s="40" t="n">
        <f aca="false">MIN($F$3-F160,H159)</f>
        <v>954.851522083459</v>
      </c>
      <c r="H160" s="40" t="n">
        <f aca="false">H159-G160</f>
        <v>659771.206311199</v>
      </c>
      <c r="I160" s="40" t="n">
        <f aca="false">K159*Annahmen!$B$40/12</f>
        <v>6974.82087868098</v>
      </c>
      <c r="J160" s="40" t="n">
        <f aca="false">MIN($I$3-I160,K159)</f>
        <v>3478.66954599882</v>
      </c>
      <c r="K160" s="40" t="n">
        <f aca="false">K159-J160</f>
        <v>2088967.5940583</v>
      </c>
      <c r="L160" s="40" t="n">
        <f aca="false">C160+F160+I160</f>
        <v>10751.6845625658</v>
      </c>
      <c r="M160" s="40" t="n">
        <f aca="false">D160+G160+J160</f>
        <v>5808.47252878065</v>
      </c>
      <c r="N160" s="40" t="n">
        <f aca="false">L160+M160</f>
        <v>16560.1570913465</v>
      </c>
      <c r="O160" s="40" t="n">
        <f aca="false">E160+H160+K160</f>
        <v>3767387.14777358</v>
      </c>
    </row>
    <row r="161" customFormat="false" ht="15" hidden="false" customHeight="false" outlineLevel="0" collapsed="false">
      <c r="A161" s="39" t="n">
        <v>155</v>
      </c>
      <c r="B161" s="39" t="n">
        <f aca="false">ROUNDUP(A161/12,0)</f>
        <v>13</v>
      </c>
      <c r="C161" s="40" t="n">
        <f aca="false">E160*Annahmen!$B$38/12</f>
        <v>2122.18405709184</v>
      </c>
      <c r="D161" s="40" t="n">
        <f aca="false">MIN($C$3-C161,E160)</f>
        <v>1377.81594290816</v>
      </c>
      <c r="E161" s="40" t="n">
        <f aca="false">E160-D161</f>
        <v>1017270.53146117</v>
      </c>
      <c r="F161" s="40" t="n">
        <f aca="false">H160*Annahmen!$B$39/12</f>
        <v>1649.428015778</v>
      </c>
      <c r="G161" s="40" t="n">
        <f aca="false">MIN($F$3-F161,H160)</f>
        <v>957.238650888668</v>
      </c>
      <c r="H161" s="40" t="n">
        <f aca="false">H160-G161</f>
        <v>658813.96766031</v>
      </c>
      <c r="I161" s="40" t="n">
        <f aca="false">K160*Annahmen!$B$40/12</f>
        <v>6963.22531352765</v>
      </c>
      <c r="J161" s="40" t="n">
        <f aca="false">MIN($I$3-I161,K160)</f>
        <v>3490.26511115215</v>
      </c>
      <c r="K161" s="40" t="n">
        <f aca="false">K160-J161</f>
        <v>2085477.32894714</v>
      </c>
      <c r="L161" s="40" t="n">
        <f aca="false">C161+F161+I161</f>
        <v>10734.8373863975</v>
      </c>
      <c r="M161" s="40" t="n">
        <f aca="false">D161+G161+J161</f>
        <v>5825.31970494898</v>
      </c>
      <c r="N161" s="40" t="n">
        <f aca="false">L161+M161</f>
        <v>16560.1570913465</v>
      </c>
      <c r="O161" s="40" t="n">
        <f aca="false">E161+H161+K161</f>
        <v>3761561.82806863</v>
      </c>
    </row>
    <row r="162" customFormat="false" ht="15" hidden="false" customHeight="false" outlineLevel="0" collapsed="false">
      <c r="A162" s="39" t="n">
        <v>156</v>
      </c>
      <c r="B162" s="39" t="n">
        <f aca="false">ROUNDUP(A162/12,0)</f>
        <v>13</v>
      </c>
      <c r="C162" s="40" t="n">
        <f aca="false">E161*Annahmen!$B$38/12</f>
        <v>2119.31360721078</v>
      </c>
      <c r="D162" s="40" t="n">
        <f aca="false">MIN($C$3-C162,E161)</f>
        <v>1380.68639278922</v>
      </c>
      <c r="E162" s="40" t="n">
        <f aca="false">E161-D162</f>
        <v>1015889.84506838</v>
      </c>
      <c r="F162" s="40" t="n">
        <f aca="false">H161*Annahmen!$B$39/12</f>
        <v>1647.03491915078</v>
      </c>
      <c r="G162" s="40" t="n">
        <f aca="false">MIN($F$3-F162,H161)</f>
        <v>959.63174751589</v>
      </c>
      <c r="H162" s="40" t="n">
        <f aca="false">H161-G162</f>
        <v>657854.335912795</v>
      </c>
      <c r="I162" s="40" t="n">
        <f aca="false">K161*Annahmen!$B$40/12</f>
        <v>6951.59109649048</v>
      </c>
      <c r="J162" s="40" t="n">
        <f aca="false">MIN($I$3-I162,K161)</f>
        <v>3501.89932818932</v>
      </c>
      <c r="K162" s="40" t="n">
        <f aca="false">K161-J162</f>
        <v>2081975.42961895</v>
      </c>
      <c r="L162" s="40" t="n">
        <f aca="false">C162+F162+I162</f>
        <v>10717.939622852</v>
      </c>
      <c r="M162" s="40" t="n">
        <f aca="false">D162+G162+J162</f>
        <v>5842.21746849444</v>
      </c>
      <c r="N162" s="40" t="n">
        <f aca="false">L162+M162</f>
        <v>16560.1570913465</v>
      </c>
      <c r="O162" s="40" t="n">
        <f aca="false">E162+H162+K162</f>
        <v>3755719.61060013</v>
      </c>
    </row>
    <row r="163" customFormat="false" ht="15" hidden="false" customHeight="false" outlineLevel="0" collapsed="false">
      <c r="A163" s="39" t="n">
        <v>157</v>
      </c>
      <c r="B163" s="39" t="n">
        <f aca="false">ROUNDUP(A163/12,0)</f>
        <v>14</v>
      </c>
      <c r="C163" s="40" t="n">
        <f aca="false">E162*Annahmen!$B$38/12</f>
        <v>2116.4371772258</v>
      </c>
      <c r="D163" s="40" t="n">
        <f aca="false">MIN($C$3-C163,E162)</f>
        <v>1383.5628227742</v>
      </c>
      <c r="E163" s="40" t="n">
        <f aca="false">E162-D163</f>
        <v>1014506.28224561</v>
      </c>
      <c r="F163" s="40" t="n">
        <f aca="false">H162*Annahmen!$B$39/12</f>
        <v>1644.63583978199</v>
      </c>
      <c r="G163" s="40" t="n">
        <f aca="false">MIN($F$3-F163,H162)</f>
        <v>962.03082688468</v>
      </c>
      <c r="H163" s="40" t="n">
        <f aca="false">H162-G163</f>
        <v>656892.30508591</v>
      </c>
      <c r="I163" s="40" t="n">
        <f aca="false">K162*Annahmen!$B$40/12</f>
        <v>6939.91809872985</v>
      </c>
      <c r="J163" s="40" t="n">
        <f aca="false">MIN($I$3-I163,K162)</f>
        <v>3513.57232594995</v>
      </c>
      <c r="K163" s="40" t="n">
        <f aca="false">K162-J163</f>
        <v>2078461.857293</v>
      </c>
      <c r="L163" s="40" t="n">
        <f aca="false">C163+F163+I163</f>
        <v>10700.9911157376</v>
      </c>
      <c r="M163" s="40" t="n">
        <f aca="false">D163+G163+J163</f>
        <v>5859.16597560883</v>
      </c>
      <c r="N163" s="40" t="n">
        <f aca="false">L163+M163</f>
        <v>16560.1570913465</v>
      </c>
      <c r="O163" s="40" t="n">
        <f aca="false">E163+H163+K163</f>
        <v>3749860.44462452</v>
      </c>
    </row>
    <row r="164" customFormat="false" ht="15" hidden="false" customHeight="false" outlineLevel="0" collapsed="false">
      <c r="A164" s="39" t="n">
        <v>158</v>
      </c>
      <c r="B164" s="39" t="n">
        <f aca="false">ROUNDUP(A164/12,0)</f>
        <v>14</v>
      </c>
      <c r="C164" s="40" t="n">
        <f aca="false">E163*Annahmen!$B$38/12</f>
        <v>2113.55475467835</v>
      </c>
      <c r="D164" s="40" t="n">
        <f aca="false">MIN($C$3-C164,E163)</f>
        <v>1386.44524532165</v>
      </c>
      <c r="E164" s="40" t="n">
        <f aca="false">E163-D164</f>
        <v>1013119.83700029</v>
      </c>
      <c r="F164" s="40" t="n">
        <f aca="false">H163*Annahmen!$B$39/12</f>
        <v>1642.23076271477</v>
      </c>
      <c r="G164" s="40" t="n">
        <f aca="false">MIN($F$3-F164,H163)</f>
        <v>964.435903951891</v>
      </c>
      <c r="H164" s="40" t="n">
        <f aca="false">H163-G164</f>
        <v>655927.869181958</v>
      </c>
      <c r="I164" s="40" t="n">
        <f aca="false">K163*Annahmen!$B$40/12</f>
        <v>6928.20619097668</v>
      </c>
      <c r="J164" s="40" t="n">
        <f aca="false">MIN($I$3-I164,K163)</f>
        <v>3525.28423370312</v>
      </c>
      <c r="K164" s="40" t="n">
        <f aca="false">K163-J164</f>
        <v>2074936.5730593</v>
      </c>
      <c r="L164" s="40" t="n">
        <f aca="false">C164+F164+I164</f>
        <v>10683.9917083698</v>
      </c>
      <c r="M164" s="40" t="n">
        <f aca="false">D164+G164+J164</f>
        <v>5876.16538297666</v>
      </c>
      <c r="N164" s="40" t="n">
        <f aca="false">L164+M164</f>
        <v>16560.1570913465</v>
      </c>
      <c r="O164" s="40" t="n">
        <f aca="false">E164+H164+K164</f>
        <v>3743984.27924155</v>
      </c>
    </row>
    <row r="165" customFormat="false" ht="15" hidden="false" customHeight="false" outlineLevel="0" collapsed="false">
      <c r="A165" s="39" t="n">
        <v>159</v>
      </c>
      <c r="B165" s="39" t="n">
        <f aca="false">ROUNDUP(A165/12,0)</f>
        <v>14</v>
      </c>
      <c r="C165" s="40" t="n">
        <f aca="false">E164*Annahmen!$B$38/12</f>
        <v>2110.66632708393</v>
      </c>
      <c r="D165" s="40" t="n">
        <f aca="false">MIN($C$3-C165,E164)</f>
        <v>1389.33367291607</v>
      </c>
      <c r="E165" s="40" t="n">
        <f aca="false">E164-D165</f>
        <v>1011730.50332737</v>
      </c>
      <c r="F165" s="40" t="n">
        <f aca="false">H164*Annahmen!$B$39/12</f>
        <v>1639.81967295489</v>
      </c>
      <c r="G165" s="40" t="n">
        <f aca="false">MIN($F$3-F165,H164)</f>
        <v>966.846993711771</v>
      </c>
      <c r="H165" s="40" t="n">
        <f aca="false">H164-G165</f>
        <v>654961.022188246</v>
      </c>
      <c r="I165" s="40" t="n">
        <f aca="false">K164*Annahmen!$B$40/12</f>
        <v>6916.455243531</v>
      </c>
      <c r="J165" s="40" t="n">
        <f aca="false">MIN($I$3-I165,K164)</f>
        <v>3537.0351811488</v>
      </c>
      <c r="K165" s="40" t="n">
        <f aca="false">K164-J165</f>
        <v>2071399.53787815</v>
      </c>
      <c r="L165" s="40" t="n">
        <f aca="false">C165+F165+I165</f>
        <v>10666.9412435698</v>
      </c>
      <c r="M165" s="40" t="n">
        <f aca="false">D165+G165+J165</f>
        <v>5893.21584777663</v>
      </c>
      <c r="N165" s="40" t="n">
        <f aca="false">L165+M165</f>
        <v>16560.1570913465</v>
      </c>
      <c r="O165" s="40" t="n">
        <f aca="false">E165+H165+K165</f>
        <v>3738091.06339377</v>
      </c>
    </row>
    <row r="166" customFormat="false" ht="15" hidden="false" customHeight="false" outlineLevel="0" collapsed="false">
      <c r="A166" s="39" t="n">
        <v>160</v>
      </c>
      <c r="B166" s="39" t="n">
        <f aca="false">ROUNDUP(A166/12,0)</f>
        <v>14</v>
      </c>
      <c r="C166" s="40" t="n">
        <f aca="false">E165*Annahmen!$B$38/12</f>
        <v>2107.77188193202</v>
      </c>
      <c r="D166" s="40" t="n">
        <f aca="false">MIN($C$3-C166,E165)</f>
        <v>1392.22811806797</v>
      </c>
      <c r="E166" s="40" t="n">
        <f aca="false">E165-D166</f>
        <v>1010338.2752093</v>
      </c>
      <c r="F166" s="40" t="n">
        <f aca="false">H165*Annahmen!$B$39/12</f>
        <v>1637.40255547062</v>
      </c>
      <c r="G166" s="40" t="n">
        <f aca="false">MIN($F$3-F166,H165)</f>
        <v>969.26411119605</v>
      </c>
      <c r="H166" s="40" t="n">
        <f aca="false">H165-G166</f>
        <v>653991.75807705</v>
      </c>
      <c r="I166" s="40" t="n">
        <f aca="false">K165*Annahmen!$B$40/12</f>
        <v>6904.66512626051</v>
      </c>
      <c r="J166" s="40" t="n">
        <f aca="false">MIN($I$3-I166,K165)</f>
        <v>3548.82529841929</v>
      </c>
      <c r="K166" s="40" t="n">
        <f aca="false">K165-J166</f>
        <v>2067850.71257973</v>
      </c>
      <c r="L166" s="40" t="n">
        <f aca="false">C166+F166+I166</f>
        <v>10649.8395636631</v>
      </c>
      <c r="M166" s="40" t="n">
        <f aca="false">D166+G166+J166</f>
        <v>5910.31752768332</v>
      </c>
      <c r="N166" s="40" t="n">
        <f aca="false">L166+M166</f>
        <v>16560.1570913465</v>
      </c>
      <c r="O166" s="40" t="n">
        <f aca="false">E166+H166+K166</f>
        <v>3732180.74586609</v>
      </c>
    </row>
    <row r="167" customFormat="false" ht="15" hidden="false" customHeight="false" outlineLevel="0" collapsed="false">
      <c r="A167" s="39" t="n">
        <v>161</v>
      </c>
      <c r="B167" s="39" t="n">
        <f aca="false">ROUNDUP(A167/12,0)</f>
        <v>14</v>
      </c>
      <c r="C167" s="40" t="n">
        <f aca="false">E166*Annahmen!$B$38/12</f>
        <v>2104.87140668605</v>
      </c>
      <c r="D167" s="40" t="n">
        <f aca="false">MIN($C$3-C167,E166)</f>
        <v>1395.12859331395</v>
      </c>
      <c r="E167" s="40" t="n">
        <f aca="false">E166-D167</f>
        <v>1008943.14661599</v>
      </c>
      <c r="F167" s="40" t="n">
        <f aca="false">H166*Annahmen!$B$39/12</f>
        <v>1634.97939519263</v>
      </c>
      <c r="G167" s="40" t="n">
        <f aca="false">MIN($F$3-F167,H166)</f>
        <v>971.687271474041</v>
      </c>
      <c r="H167" s="40" t="n">
        <f aca="false">H166-G167</f>
        <v>653020.070805576</v>
      </c>
      <c r="I167" s="40" t="n">
        <f aca="false">K166*Annahmen!$B$40/12</f>
        <v>6892.83570859911</v>
      </c>
      <c r="J167" s="40" t="n">
        <f aca="false">MIN($I$3-I167,K166)</f>
        <v>3560.65471608069</v>
      </c>
      <c r="K167" s="40" t="n">
        <f aca="false">K166-J167</f>
        <v>2064290.05786365</v>
      </c>
      <c r="L167" s="40" t="n">
        <f aca="false">C167+F167+I167</f>
        <v>10632.6865104778</v>
      </c>
      <c r="M167" s="40" t="n">
        <f aca="false">D167+G167+J167</f>
        <v>5927.47058086868</v>
      </c>
      <c r="N167" s="40" t="n">
        <f aca="false">L167+M167</f>
        <v>16560.1570913465</v>
      </c>
      <c r="O167" s="40" t="n">
        <f aca="false">E167+H167+K167</f>
        <v>3726253.27528522</v>
      </c>
    </row>
    <row r="168" customFormat="false" ht="15" hidden="false" customHeight="false" outlineLevel="0" collapsed="false">
      <c r="A168" s="39" t="n">
        <v>162</v>
      </c>
      <c r="B168" s="39" t="n">
        <f aca="false">ROUNDUP(A168/12,0)</f>
        <v>14</v>
      </c>
      <c r="C168" s="40" t="n">
        <f aca="false">E167*Annahmen!$B$38/12</f>
        <v>2101.96488878331</v>
      </c>
      <c r="D168" s="40" t="n">
        <f aca="false">MIN($C$3-C168,E167)</f>
        <v>1398.03511121669</v>
      </c>
      <c r="E168" s="40" t="n">
        <f aca="false">E167-D168</f>
        <v>1007545.11150477</v>
      </c>
      <c r="F168" s="40" t="n">
        <f aca="false">H167*Annahmen!$B$39/12</f>
        <v>1632.55017701394</v>
      </c>
      <c r="G168" s="40" t="n">
        <f aca="false">MIN($F$3-F168,H167)</f>
        <v>974.116489652726</v>
      </c>
      <c r="H168" s="40" t="n">
        <f aca="false">H167-G168</f>
        <v>652045.954315923</v>
      </c>
      <c r="I168" s="40" t="n">
        <f aca="false">K167*Annahmen!$B$40/12</f>
        <v>6880.96685954551</v>
      </c>
      <c r="J168" s="40" t="n">
        <f aca="false">MIN($I$3-I168,K167)</f>
        <v>3572.52356513429</v>
      </c>
      <c r="K168" s="40" t="n">
        <f aca="false">K167-J168</f>
        <v>2060717.53429852</v>
      </c>
      <c r="L168" s="40" t="n">
        <f aca="false">C168+F168+I168</f>
        <v>10615.4819253428</v>
      </c>
      <c r="M168" s="40" t="n">
        <f aca="false">D168+G168+J168</f>
        <v>5944.67516600371</v>
      </c>
      <c r="N168" s="40" t="n">
        <f aca="false">L168+M168</f>
        <v>16560.1570913465</v>
      </c>
      <c r="O168" s="40" t="n">
        <f aca="false">E168+H168+K168</f>
        <v>3720308.60011921</v>
      </c>
    </row>
    <row r="169" customFormat="false" ht="15" hidden="false" customHeight="false" outlineLevel="0" collapsed="false">
      <c r="A169" s="39" t="n">
        <v>163</v>
      </c>
      <c r="B169" s="39" t="n">
        <f aca="false">ROUNDUP(A169/12,0)</f>
        <v>14</v>
      </c>
      <c r="C169" s="40" t="n">
        <f aca="false">E168*Annahmen!$B$38/12</f>
        <v>2099.05231563494</v>
      </c>
      <c r="D169" s="40" t="n">
        <f aca="false">MIN($C$3-C169,E168)</f>
        <v>1400.94768436505</v>
      </c>
      <c r="E169" s="40" t="n">
        <f aca="false">E168-D169</f>
        <v>1006144.16382041</v>
      </c>
      <c r="F169" s="40" t="n">
        <f aca="false">H168*Annahmen!$B$39/12</f>
        <v>1630.11488578981</v>
      </c>
      <c r="G169" s="40" t="n">
        <f aca="false">MIN($F$3-F169,H168)</f>
        <v>976.551780876858</v>
      </c>
      <c r="H169" s="40" t="n">
        <f aca="false">H168-G169</f>
        <v>651069.402535047</v>
      </c>
      <c r="I169" s="40" t="n">
        <f aca="false">K168*Annahmen!$B$40/12</f>
        <v>6869.05844766173</v>
      </c>
      <c r="J169" s="40" t="n">
        <f aca="false">MIN($I$3-I169,K168)</f>
        <v>3584.43197701807</v>
      </c>
      <c r="K169" s="40" t="n">
        <f aca="false">K168-J169</f>
        <v>2057133.1023215</v>
      </c>
      <c r="L169" s="40" t="n">
        <f aca="false">C169+F169+I169</f>
        <v>10598.2256490865</v>
      </c>
      <c r="M169" s="40" t="n">
        <f aca="false">D169+G169+J169</f>
        <v>5961.93144225999</v>
      </c>
      <c r="N169" s="40" t="n">
        <f aca="false">L169+M169</f>
        <v>16560.1570913465</v>
      </c>
      <c r="O169" s="40" t="n">
        <f aca="false">E169+H169+K169</f>
        <v>3714346.66867695</v>
      </c>
    </row>
    <row r="170" customFormat="false" ht="15" hidden="false" customHeight="false" outlineLevel="0" collapsed="false">
      <c r="A170" s="39" t="n">
        <v>164</v>
      </c>
      <c r="B170" s="39" t="n">
        <f aca="false">ROUNDUP(A170/12,0)</f>
        <v>14</v>
      </c>
      <c r="C170" s="40" t="n">
        <f aca="false">E169*Annahmen!$B$38/12</f>
        <v>2096.13367462585</v>
      </c>
      <c r="D170" s="40" t="n">
        <f aca="false">MIN($C$3-C170,E169)</f>
        <v>1403.86632537415</v>
      </c>
      <c r="E170" s="40" t="n">
        <f aca="false">E169-D170</f>
        <v>1004740.29749503</v>
      </c>
      <c r="F170" s="40" t="n">
        <f aca="false">H169*Annahmen!$B$39/12</f>
        <v>1627.67350633762</v>
      </c>
      <c r="G170" s="40" t="n">
        <f aca="false">MIN($F$3-F170,H169)</f>
        <v>978.99316032905</v>
      </c>
      <c r="H170" s="40" t="n">
        <f aca="false">H169-G170</f>
        <v>650090.409374717</v>
      </c>
      <c r="I170" s="40" t="n">
        <f aca="false">K169*Annahmen!$B$40/12</f>
        <v>6857.11034107167</v>
      </c>
      <c r="J170" s="40" t="n">
        <f aca="false">MIN($I$3-I170,K169)</f>
        <v>3596.38008360813</v>
      </c>
      <c r="K170" s="40" t="n">
        <f aca="false">K169-J170</f>
        <v>2053536.72223789</v>
      </c>
      <c r="L170" s="40" t="n">
        <f aca="false">C170+F170+I170</f>
        <v>10580.9175220351</v>
      </c>
      <c r="M170" s="40" t="n">
        <f aca="false">D170+G170+J170</f>
        <v>5979.23956931133</v>
      </c>
      <c r="N170" s="40" t="n">
        <f aca="false">L170+M170</f>
        <v>16560.1570913465</v>
      </c>
      <c r="O170" s="40" t="n">
        <f aca="false">E170+H170+K170</f>
        <v>3708367.42910764</v>
      </c>
    </row>
    <row r="171" customFormat="false" ht="15" hidden="false" customHeight="false" outlineLevel="0" collapsed="false">
      <c r="A171" s="39" t="n">
        <v>165</v>
      </c>
      <c r="B171" s="39" t="n">
        <f aca="false">ROUNDUP(A171/12,0)</f>
        <v>14</v>
      </c>
      <c r="C171" s="40" t="n">
        <f aca="false">E170*Annahmen!$B$38/12</f>
        <v>2093.20895311465</v>
      </c>
      <c r="D171" s="40" t="n">
        <f aca="false">MIN($C$3-C171,E170)</f>
        <v>1406.79104688534</v>
      </c>
      <c r="E171" s="40" t="n">
        <f aca="false">E170-D171</f>
        <v>1003333.50644815</v>
      </c>
      <c r="F171" s="40" t="n">
        <f aca="false">H170*Annahmen!$B$39/12</f>
        <v>1625.22602343679</v>
      </c>
      <c r="G171" s="40" t="n">
        <f aca="false">MIN($F$3-F171,H170)</f>
        <v>981.440643229872</v>
      </c>
      <c r="H171" s="40" t="n">
        <f aca="false">H170-G171</f>
        <v>649108.968731488</v>
      </c>
      <c r="I171" s="40" t="n">
        <f aca="false">K170*Annahmen!$B$40/12</f>
        <v>6845.12240745964</v>
      </c>
      <c r="J171" s="40" t="n">
        <f aca="false">MIN($I$3-I171,K170)</f>
        <v>3608.36801722016</v>
      </c>
      <c r="K171" s="40" t="n">
        <f aca="false">K170-J171</f>
        <v>2049928.35422067</v>
      </c>
      <c r="L171" s="40" t="n">
        <f aca="false">C171+F171+I171</f>
        <v>10563.5573840111</v>
      </c>
      <c r="M171" s="40" t="n">
        <f aca="false">D171+G171+J171</f>
        <v>5996.59970733538</v>
      </c>
      <c r="N171" s="40" t="n">
        <f aca="false">L171+M171</f>
        <v>16560.1570913465</v>
      </c>
      <c r="O171" s="40" t="n">
        <f aca="false">E171+H171+K171</f>
        <v>3702370.82940031</v>
      </c>
    </row>
    <row r="172" customFormat="false" ht="15" hidden="false" customHeight="false" outlineLevel="0" collapsed="false">
      <c r="A172" s="39" t="n">
        <v>166</v>
      </c>
      <c r="B172" s="39" t="n">
        <f aca="false">ROUNDUP(A172/12,0)</f>
        <v>14</v>
      </c>
      <c r="C172" s="40" t="n">
        <f aca="false">E171*Annahmen!$B$38/12</f>
        <v>2090.27813843364</v>
      </c>
      <c r="D172" s="40" t="n">
        <f aca="false">MIN($C$3-C172,E171)</f>
        <v>1409.72186156636</v>
      </c>
      <c r="E172" s="40" t="n">
        <f aca="false">E171-D172</f>
        <v>1001923.78458658</v>
      </c>
      <c r="F172" s="40" t="n">
        <f aca="false">H171*Annahmen!$B$39/12</f>
        <v>1622.77242182872</v>
      </c>
      <c r="G172" s="40" t="n">
        <f aca="false">MIN($F$3-F172,H171)</f>
        <v>983.894244837947</v>
      </c>
      <c r="H172" s="40" t="n">
        <f aca="false">H171-G172</f>
        <v>648125.07448665</v>
      </c>
      <c r="I172" s="40" t="n">
        <f aca="false">K171*Annahmen!$B$40/12</f>
        <v>6833.09451406891</v>
      </c>
      <c r="J172" s="40" t="n">
        <f aca="false">MIN($I$3-I172,K171)</f>
        <v>3620.3959106109</v>
      </c>
      <c r="K172" s="40" t="n">
        <f aca="false">K171-J172</f>
        <v>2046307.95831006</v>
      </c>
      <c r="L172" s="40" t="n">
        <f aca="false">C172+F172+I172</f>
        <v>10546.1450743313</v>
      </c>
      <c r="M172" s="40" t="n">
        <f aca="false">D172+G172+J172</f>
        <v>6014.0120170152</v>
      </c>
      <c r="N172" s="40" t="n">
        <f aca="false">L172+M172</f>
        <v>16560.1570913465</v>
      </c>
      <c r="O172" s="40" t="n">
        <f aca="false">E172+H172+K172</f>
        <v>3696356.81738329</v>
      </c>
    </row>
    <row r="173" customFormat="false" ht="15" hidden="false" customHeight="false" outlineLevel="0" collapsed="false">
      <c r="A173" s="39" t="n">
        <v>167</v>
      </c>
      <c r="B173" s="39" t="n">
        <f aca="false">ROUNDUP(A173/12,0)</f>
        <v>14</v>
      </c>
      <c r="C173" s="40" t="n">
        <f aca="false">E172*Annahmen!$B$38/12</f>
        <v>2087.34121788871</v>
      </c>
      <c r="D173" s="40" t="n">
        <f aca="false">MIN($C$3-C173,E172)</f>
        <v>1412.65878211129</v>
      </c>
      <c r="E173" s="40" t="n">
        <f aca="false">E172-D173</f>
        <v>1000511.12580447</v>
      </c>
      <c r="F173" s="40" t="n">
        <f aca="false">H172*Annahmen!$B$39/12</f>
        <v>1620.31268621662</v>
      </c>
      <c r="G173" s="40" t="n">
        <f aca="false">MIN($F$3-F173,H172)</f>
        <v>986.353980450042</v>
      </c>
      <c r="H173" s="40" t="n">
        <f aca="false">H172-G173</f>
        <v>647138.7205062</v>
      </c>
      <c r="I173" s="40" t="n">
        <f aca="false">K172*Annahmen!$B$40/12</f>
        <v>6821.0265277002</v>
      </c>
      <c r="J173" s="40" t="n">
        <f aca="false">MIN($I$3-I173,K172)</f>
        <v>3632.4638969796</v>
      </c>
      <c r="K173" s="40" t="n">
        <f aca="false">K172-J173</f>
        <v>2042675.49441308</v>
      </c>
      <c r="L173" s="40" t="n">
        <f aca="false">C173+F173+I173</f>
        <v>10528.6804318055</v>
      </c>
      <c r="M173" s="40" t="n">
        <f aca="false">D173+G173+J173</f>
        <v>6031.47665954093</v>
      </c>
      <c r="N173" s="40" t="n">
        <f aca="false">L173+M173</f>
        <v>16560.1570913465</v>
      </c>
      <c r="O173" s="40" t="n">
        <f aca="false">E173+H173+K173</f>
        <v>3690325.34072375</v>
      </c>
    </row>
    <row r="174" customFormat="false" ht="15" hidden="false" customHeight="false" outlineLevel="0" collapsed="false">
      <c r="A174" s="39" t="n">
        <v>168</v>
      </c>
      <c r="B174" s="39" t="n">
        <f aca="false">ROUNDUP(A174/12,0)</f>
        <v>14</v>
      </c>
      <c r="C174" s="40" t="n">
        <f aca="false">E173*Annahmen!$B$38/12</f>
        <v>2084.39817875931</v>
      </c>
      <c r="D174" s="40" t="n">
        <f aca="false">MIN($C$3-C174,E173)</f>
        <v>1415.60182124068</v>
      </c>
      <c r="E174" s="40" t="n">
        <f aca="false">E173-D174</f>
        <v>999095.52398323</v>
      </c>
      <c r="F174" s="40" t="n">
        <f aca="false">H173*Annahmen!$B$39/12</f>
        <v>1617.8468012655</v>
      </c>
      <c r="G174" s="40" t="n">
        <f aca="false">MIN($F$3-F174,H173)</f>
        <v>988.819865401167</v>
      </c>
      <c r="H174" s="40" t="n">
        <f aca="false">H173-G174</f>
        <v>646149.900640798</v>
      </c>
      <c r="I174" s="40" t="n">
        <f aca="false">K173*Annahmen!$B$40/12</f>
        <v>6808.91831471027</v>
      </c>
      <c r="J174" s="40" t="n">
        <f aca="false">MIN($I$3-I174,K173)</f>
        <v>3644.57210996953</v>
      </c>
      <c r="K174" s="40" t="n">
        <f aca="false">K173-J174</f>
        <v>2039030.92230311</v>
      </c>
      <c r="L174" s="40" t="n">
        <f aca="false">C174+F174+I174</f>
        <v>10511.1632947351</v>
      </c>
      <c r="M174" s="40" t="n">
        <f aca="false">D174+G174+J174</f>
        <v>6048.99379661138</v>
      </c>
      <c r="N174" s="40" t="n">
        <f aca="false">L174+M174</f>
        <v>16560.1570913465</v>
      </c>
      <c r="O174" s="40" t="n">
        <f aca="false">E174+H174+K174</f>
        <v>3684276.34692714</v>
      </c>
    </row>
    <row r="175" customFormat="false" ht="15" hidden="false" customHeight="false" outlineLevel="0" collapsed="false">
      <c r="A175" s="39" t="n">
        <v>169</v>
      </c>
      <c r="B175" s="39" t="n">
        <f aca="false">ROUNDUP(A175/12,0)</f>
        <v>15</v>
      </c>
      <c r="C175" s="40" t="n">
        <f aca="false">E174*Annahmen!$B$38/12</f>
        <v>2081.4490082984</v>
      </c>
      <c r="D175" s="40" t="n">
        <f aca="false">MIN($C$3-C175,E174)</f>
        <v>1418.5509917016</v>
      </c>
      <c r="E175" s="40" t="n">
        <f aca="false">E174-D175</f>
        <v>997676.972991529</v>
      </c>
      <c r="F175" s="40" t="n">
        <f aca="false">H174*Annahmen!$B$39/12</f>
        <v>1615.374751602</v>
      </c>
      <c r="G175" s="40" t="n">
        <f aca="false">MIN($F$3-F175,H174)</f>
        <v>991.29191506467</v>
      </c>
      <c r="H175" s="40" t="n">
        <f aca="false">H174-G175</f>
        <v>645158.608725734</v>
      </c>
      <c r="I175" s="40" t="n">
        <f aca="false">K174*Annahmen!$B$40/12</f>
        <v>6796.76974101037</v>
      </c>
      <c r="J175" s="40" t="n">
        <f aca="false">MIN($I$3-I175,K174)</f>
        <v>3656.72068366943</v>
      </c>
      <c r="K175" s="40" t="n">
        <f aca="false">K174-J175</f>
        <v>2035374.20161944</v>
      </c>
      <c r="L175" s="40" t="n">
        <f aca="false">C175+F175+I175</f>
        <v>10493.5935009108</v>
      </c>
      <c r="M175" s="40" t="n">
        <f aca="false">D175+G175+J175</f>
        <v>6066.5635904357</v>
      </c>
      <c r="N175" s="40" t="n">
        <f aca="false">L175+M175</f>
        <v>16560.1570913465</v>
      </c>
      <c r="O175" s="40" t="n">
        <f aca="false">E175+H175+K175</f>
        <v>3678209.7833367</v>
      </c>
    </row>
    <row r="176" customFormat="false" ht="15" hidden="false" customHeight="false" outlineLevel="0" collapsed="false">
      <c r="A176" s="39" t="n">
        <v>170</v>
      </c>
      <c r="B176" s="39" t="n">
        <f aca="false">ROUNDUP(A176/12,0)</f>
        <v>15</v>
      </c>
      <c r="C176" s="40" t="n">
        <f aca="false">E175*Annahmen!$B$38/12</f>
        <v>2078.49369373235</v>
      </c>
      <c r="D176" s="40" t="n">
        <f aca="false">MIN($C$3-C176,E175)</f>
        <v>1421.50630626765</v>
      </c>
      <c r="E176" s="40" t="n">
        <f aca="false">E175-D176</f>
        <v>996255.466685261</v>
      </c>
      <c r="F176" s="40" t="n">
        <f aca="false">H175*Annahmen!$B$39/12</f>
        <v>1612.89652181433</v>
      </c>
      <c r="G176" s="40" t="n">
        <f aca="false">MIN($F$3-F176,H175)</f>
        <v>993.770144852331</v>
      </c>
      <c r="H176" s="40" t="n">
        <f aca="false">H175-G176</f>
        <v>644164.838580881</v>
      </c>
      <c r="I176" s="40" t="n">
        <f aca="false">K175*Annahmen!$B$40/12</f>
        <v>6784.58067206481</v>
      </c>
      <c r="J176" s="40" t="n">
        <f aca="false">MIN($I$3-I176,K175)</f>
        <v>3668.90975261499</v>
      </c>
      <c r="K176" s="40" t="n">
        <f aca="false">K175-J176</f>
        <v>2031705.29186683</v>
      </c>
      <c r="L176" s="40" t="n">
        <f aca="false">C176+F176+I176</f>
        <v>10475.9708876115</v>
      </c>
      <c r="M176" s="40" t="n">
        <f aca="false">D176+G176+J176</f>
        <v>6084.18620373497</v>
      </c>
      <c r="N176" s="40" t="n">
        <f aca="false">L176+M176</f>
        <v>16560.1570913465</v>
      </c>
      <c r="O176" s="40" t="n">
        <f aca="false">E176+H176+K176</f>
        <v>3672125.59713297</v>
      </c>
    </row>
    <row r="177" customFormat="false" ht="15" hidden="false" customHeight="false" outlineLevel="0" collapsed="false">
      <c r="A177" s="39" t="n">
        <v>171</v>
      </c>
      <c r="B177" s="39" t="n">
        <f aca="false">ROUNDUP(A177/12,0)</f>
        <v>15</v>
      </c>
      <c r="C177" s="40" t="n">
        <f aca="false">E176*Annahmen!$B$38/12</f>
        <v>2075.53222226096</v>
      </c>
      <c r="D177" s="40" t="n">
        <f aca="false">MIN($C$3-C177,E176)</f>
        <v>1424.46777773904</v>
      </c>
      <c r="E177" s="40" t="n">
        <f aca="false">E176-D177</f>
        <v>994830.998907522</v>
      </c>
      <c r="F177" s="40" t="n">
        <f aca="false">H176*Annahmen!$B$39/12</f>
        <v>1610.4120964522</v>
      </c>
      <c r="G177" s="40" t="n">
        <f aca="false">MIN($F$3-F177,H176)</f>
        <v>996.254570214462</v>
      </c>
      <c r="H177" s="40" t="n">
        <f aca="false">H176-G177</f>
        <v>643168.584010667</v>
      </c>
      <c r="I177" s="40" t="n">
        <f aca="false">K176*Annahmen!$B$40/12</f>
        <v>6772.35097288942</v>
      </c>
      <c r="J177" s="40" t="n">
        <f aca="false">MIN($I$3-I177,K176)</f>
        <v>3681.13945179038</v>
      </c>
      <c r="K177" s="40" t="n">
        <f aca="false">K176-J177</f>
        <v>2028024.15241504</v>
      </c>
      <c r="L177" s="40" t="n">
        <f aca="false">C177+F177+I177</f>
        <v>10458.2952916026</v>
      </c>
      <c r="M177" s="40" t="n">
        <f aca="false">D177+G177+J177</f>
        <v>6101.86179974388</v>
      </c>
      <c r="N177" s="40" t="n">
        <f aca="false">L177+M177</f>
        <v>16560.1570913465</v>
      </c>
      <c r="O177" s="40" t="n">
        <f aca="false">E177+H177+K177</f>
        <v>3666023.73533323</v>
      </c>
    </row>
    <row r="178" customFormat="false" ht="15" hidden="false" customHeight="false" outlineLevel="0" collapsed="false">
      <c r="A178" s="39" t="n">
        <v>172</v>
      </c>
      <c r="B178" s="39" t="n">
        <f aca="false">ROUNDUP(A178/12,0)</f>
        <v>15</v>
      </c>
      <c r="C178" s="40" t="n">
        <f aca="false">E177*Annahmen!$B$38/12</f>
        <v>2072.56458105734</v>
      </c>
      <c r="D178" s="40" t="n">
        <f aca="false">MIN($C$3-C178,E177)</f>
        <v>1427.43541894266</v>
      </c>
      <c r="E178" s="40" t="n">
        <f aca="false">E177-D178</f>
        <v>993403.563488579</v>
      </c>
      <c r="F178" s="40" t="n">
        <f aca="false">H177*Annahmen!$B$39/12</f>
        <v>1607.92146002667</v>
      </c>
      <c r="G178" s="40" t="n">
        <f aca="false">MIN($F$3-F178,H177)</f>
        <v>998.745206639999</v>
      </c>
      <c r="H178" s="40" t="n">
        <f aca="false">H177-G178</f>
        <v>642169.838804027</v>
      </c>
      <c r="I178" s="40" t="n">
        <f aca="false">K177*Annahmen!$B$40/12</f>
        <v>6760.08050805012</v>
      </c>
      <c r="J178" s="40" t="n">
        <f aca="false">MIN($I$3-I178,K177)</f>
        <v>3693.40991662968</v>
      </c>
      <c r="K178" s="40" t="n">
        <f aca="false">K177-J178</f>
        <v>2024330.74249841</v>
      </c>
      <c r="L178" s="40" t="n">
        <f aca="false">C178+F178+I178</f>
        <v>10440.5665491341</v>
      </c>
      <c r="M178" s="40" t="n">
        <f aca="false">D178+G178+J178</f>
        <v>6119.59054221234</v>
      </c>
      <c r="N178" s="40" t="n">
        <f aca="false">L178+M178</f>
        <v>16560.1570913465</v>
      </c>
      <c r="O178" s="40" t="n">
        <f aca="false">E178+H178+K178</f>
        <v>3659904.14479101</v>
      </c>
    </row>
    <row r="179" customFormat="false" ht="15" hidden="false" customHeight="false" outlineLevel="0" collapsed="false">
      <c r="A179" s="39" t="n">
        <v>173</v>
      </c>
      <c r="B179" s="39" t="n">
        <f aca="false">ROUNDUP(A179/12,0)</f>
        <v>15</v>
      </c>
      <c r="C179" s="40" t="n">
        <f aca="false">E178*Annahmen!$B$38/12</f>
        <v>2069.59075726787</v>
      </c>
      <c r="D179" s="40" t="n">
        <f aca="false">MIN($C$3-C179,E178)</f>
        <v>1430.40924273213</v>
      </c>
      <c r="E179" s="40" t="n">
        <f aca="false">E178-D179</f>
        <v>991973.154245847</v>
      </c>
      <c r="F179" s="40" t="n">
        <f aca="false">H178*Annahmen!$B$39/12</f>
        <v>1605.42459701007</v>
      </c>
      <c r="G179" s="40" t="n">
        <f aca="false">MIN($F$3-F179,H178)</f>
        <v>1001.2420696566</v>
      </c>
      <c r="H179" s="40" t="n">
        <f aca="false">H178-G179</f>
        <v>641168.59673437</v>
      </c>
      <c r="I179" s="40" t="n">
        <f aca="false">K178*Annahmen!$B$40/12</f>
        <v>6747.76914166136</v>
      </c>
      <c r="J179" s="40" t="n">
        <f aca="false">MIN($I$3-I179,K178)</f>
        <v>3705.72128301845</v>
      </c>
      <c r="K179" s="40" t="n">
        <f aca="false">K178-J179</f>
        <v>2020625.02121539</v>
      </c>
      <c r="L179" s="40" t="n">
        <f aca="false">C179+F179+I179</f>
        <v>10422.7844959393</v>
      </c>
      <c r="M179" s="40" t="n">
        <f aca="false">D179+G179+J179</f>
        <v>6137.37259540717</v>
      </c>
      <c r="N179" s="40" t="n">
        <f aca="false">L179+M179</f>
        <v>16560.1570913465</v>
      </c>
      <c r="O179" s="40" t="n">
        <f aca="false">E179+H179+K179</f>
        <v>3653766.77219561</v>
      </c>
    </row>
    <row r="180" customFormat="false" ht="15" hidden="false" customHeight="false" outlineLevel="0" collapsed="false">
      <c r="A180" s="39" t="n">
        <v>174</v>
      </c>
      <c r="B180" s="39" t="n">
        <f aca="false">ROUNDUP(A180/12,0)</f>
        <v>15</v>
      </c>
      <c r="C180" s="40" t="n">
        <f aca="false">E179*Annahmen!$B$38/12</f>
        <v>2066.61073801218</v>
      </c>
      <c r="D180" s="40" t="n">
        <f aca="false">MIN($C$3-C180,E179)</f>
        <v>1433.38926198782</v>
      </c>
      <c r="E180" s="40" t="n">
        <f aca="false">E179-D180</f>
        <v>990539.764983859</v>
      </c>
      <c r="F180" s="40" t="n">
        <f aca="false">H179*Annahmen!$B$39/12</f>
        <v>1602.92149183593</v>
      </c>
      <c r="G180" s="40" t="n">
        <f aca="false">MIN($F$3-F180,H179)</f>
        <v>1003.74517483074</v>
      </c>
      <c r="H180" s="40" t="n">
        <f aca="false">H179-G180</f>
        <v>640164.85155954</v>
      </c>
      <c r="I180" s="40" t="n">
        <f aca="false">K179*Annahmen!$B$40/12</f>
        <v>6735.41673738463</v>
      </c>
      <c r="J180" s="40" t="n">
        <f aca="false">MIN($I$3-I180,K179)</f>
        <v>3718.07368729517</v>
      </c>
      <c r="K180" s="40" t="n">
        <f aca="false">K179-J180</f>
        <v>2016906.94752809</v>
      </c>
      <c r="L180" s="40" t="n">
        <f aca="false">C180+F180+I180</f>
        <v>10404.9489672327</v>
      </c>
      <c r="M180" s="40" t="n">
        <f aca="false">D180+G180+J180</f>
        <v>6155.20812411373</v>
      </c>
      <c r="N180" s="40" t="n">
        <f aca="false">L180+M180</f>
        <v>16560.1570913465</v>
      </c>
      <c r="O180" s="40" t="n">
        <f aca="false">E180+H180+K180</f>
        <v>3647611.56407149</v>
      </c>
    </row>
    <row r="181" customFormat="false" ht="15" hidden="false" customHeight="false" outlineLevel="0" collapsed="false">
      <c r="A181" s="39" t="n">
        <v>175</v>
      </c>
      <c r="B181" s="39" t="n">
        <f aca="false">ROUNDUP(A181/12,0)</f>
        <v>15</v>
      </c>
      <c r="C181" s="40" t="n">
        <f aca="false">E180*Annahmen!$B$38/12</f>
        <v>2063.62451038304</v>
      </c>
      <c r="D181" s="40" t="n">
        <f aca="false">MIN($C$3-C181,E180)</f>
        <v>1436.37548961696</v>
      </c>
      <c r="E181" s="40" t="n">
        <f aca="false">E180-D181</f>
        <v>989103.389494242</v>
      </c>
      <c r="F181" s="40" t="n">
        <f aca="false">H180*Annahmen!$B$39/12</f>
        <v>1600.41212889885</v>
      </c>
      <c r="G181" s="40" t="n">
        <f aca="false">MIN($F$3-F181,H180)</f>
        <v>1006.25453776782</v>
      </c>
      <c r="H181" s="40" t="n">
        <f aca="false">H180-G181</f>
        <v>639158.597021772</v>
      </c>
      <c r="I181" s="40" t="n">
        <f aca="false">K180*Annahmen!$B$40/12</f>
        <v>6723.02315842698</v>
      </c>
      <c r="J181" s="40" t="n">
        <f aca="false">MIN($I$3-I181,K180)</f>
        <v>3730.46726625282</v>
      </c>
      <c r="K181" s="40" t="n">
        <f aca="false">K180-J181</f>
        <v>2013176.48026184</v>
      </c>
      <c r="L181" s="40" t="n">
        <f aca="false">C181+F181+I181</f>
        <v>10387.0597977089</v>
      </c>
      <c r="M181" s="40" t="n">
        <f aca="false">D181+G181+J181</f>
        <v>6173.0972936376</v>
      </c>
      <c r="N181" s="40" t="n">
        <f aca="false">L181+M181</f>
        <v>16560.1570913465</v>
      </c>
      <c r="O181" s="40" t="n">
        <f aca="false">E181+H181+K181</f>
        <v>3641438.46677785</v>
      </c>
    </row>
    <row r="182" customFormat="false" ht="15" hidden="false" customHeight="false" outlineLevel="0" collapsed="false">
      <c r="A182" s="39" t="n">
        <v>176</v>
      </c>
      <c r="B182" s="39" t="n">
        <f aca="false">ROUNDUP(A182/12,0)</f>
        <v>15</v>
      </c>
      <c r="C182" s="40" t="n">
        <f aca="false">E181*Annahmen!$B$38/12</f>
        <v>2060.63206144634</v>
      </c>
      <c r="D182" s="40" t="n">
        <f aca="false">MIN($C$3-C182,E181)</f>
        <v>1439.36793855366</v>
      </c>
      <c r="E182" s="40" t="n">
        <f aca="false">E181-D182</f>
        <v>987664.021555689</v>
      </c>
      <c r="F182" s="40" t="n">
        <f aca="false">H181*Annahmen!$B$39/12</f>
        <v>1597.89649255443</v>
      </c>
      <c r="G182" s="40" t="n">
        <f aca="false">MIN($F$3-F182,H181)</f>
        <v>1008.77017411224</v>
      </c>
      <c r="H182" s="40" t="n">
        <f aca="false">H181-G182</f>
        <v>638149.826847659</v>
      </c>
      <c r="I182" s="40" t="n">
        <f aca="false">K181*Annahmen!$B$40/12</f>
        <v>6710.58826753947</v>
      </c>
      <c r="J182" s="40" t="n">
        <f aca="false">MIN($I$3-I182,K181)</f>
        <v>3742.90215714033</v>
      </c>
      <c r="K182" s="40" t="n">
        <f aca="false">K181-J182</f>
        <v>2009433.5781047</v>
      </c>
      <c r="L182" s="40" t="n">
        <f aca="false">C182+F182+I182</f>
        <v>10369.1168215402</v>
      </c>
      <c r="M182" s="40" t="n">
        <f aca="false">D182+G182+J182</f>
        <v>6191.04026980623</v>
      </c>
      <c r="N182" s="40" t="n">
        <f aca="false">L182+M182</f>
        <v>16560.1570913465</v>
      </c>
      <c r="O182" s="40" t="n">
        <f aca="false">E182+H182+K182</f>
        <v>3635247.42650805</v>
      </c>
    </row>
    <row r="183" customFormat="false" ht="15" hidden="false" customHeight="false" outlineLevel="0" collapsed="false">
      <c r="A183" s="39" t="n">
        <v>177</v>
      </c>
      <c r="B183" s="39" t="n">
        <f aca="false">ROUNDUP(A183/12,0)</f>
        <v>15</v>
      </c>
      <c r="C183" s="40" t="n">
        <f aca="false">E182*Annahmen!$B$38/12</f>
        <v>2057.63337824102</v>
      </c>
      <c r="D183" s="40" t="n">
        <f aca="false">MIN($C$3-C183,E182)</f>
        <v>1442.36662175898</v>
      </c>
      <c r="E183" s="40" t="n">
        <f aca="false">E182-D183</f>
        <v>986221.65493393</v>
      </c>
      <c r="F183" s="40" t="n">
        <f aca="false">H182*Annahmen!$B$39/12</f>
        <v>1595.37456711915</v>
      </c>
      <c r="G183" s="40" t="n">
        <f aca="false">MIN($F$3-F183,H182)</f>
        <v>1011.29209954752</v>
      </c>
      <c r="H183" s="40" t="n">
        <f aca="false">H182-G183</f>
        <v>637138.534748112</v>
      </c>
      <c r="I183" s="40" t="n">
        <f aca="false">K182*Annahmen!$B$40/12</f>
        <v>6698.11192701567</v>
      </c>
      <c r="J183" s="40" t="n">
        <f aca="false">MIN($I$3-I183,K182)</f>
        <v>3755.37849766413</v>
      </c>
      <c r="K183" s="40" t="n">
        <f aca="false">K182-J183</f>
        <v>2005678.19960704</v>
      </c>
      <c r="L183" s="40" t="n">
        <f aca="false">C183+F183+I183</f>
        <v>10351.1198723758</v>
      </c>
      <c r="M183" s="40" t="n">
        <f aca="false">D183+G183+J183</f>
        <v>6209.03721897063</v>
      </c>
      <c r="N183" s="40" t="n">
        <f aca="false">L183+M183</f>
        <v>16560.1570913465</v>
      </c>
      <c r="O183" s="40" t="n">
        <f aca="false">E183+H183+K183</f>
        <v>3629038.38928908</v>
      </c>
    </row>
    <row r="184" customFormat="false" ht="15" hidden="false" customHeight="false" outlineLevel="0" collapsed="false">
      <c r="A184" s="39" t="n">
        <v>178</v>
      </c>
      <c r="B184" s="39" t="n">
        <f aca="false">ROUNDUP(A184/12,0)</f>
        <v>15</v>
      </c>
      <c r="C184" s="40" t="n">
        <f aca="false">E183*Annahmen!$B$38/12</f>
        <v>2054.62844777902</v>
      </c>
      <c r="D184" s="40" t="n">
        <f aca="false">MIN($C$3-C184,E183)</f>
        <v>1445.37155222098</v>
      </c>
      <c r="E184" s="40" t="n">
        <f aca="false">E183-D184</f>
        <v>984776.283381709</v>
      </c>
      <c r="F184" s="40" t="n">
        <f aca="false">H183*Annahmen!$B$39/12</f>
        <v>1592.84633687028</v>
      </c>
      <c r="G184" s="40" t="n">
        <f aca="false">MIN($F$3-F184,H183)</f>
        <v>1013.82032979639</v>
      </c>
      <c r="H184" s="40" t="n">
        <f aca="false">H183-G184</f>
        <v>636124.714418315</v>
      </c>
      <c r="I184" s="40" t="n">
        <f aca="false">K183*Annahmen!$B$40/12</f>
        <v>6685.59399869012</v>
      </c>
      <c r="J184" s="40" t="n">
        <f aca="false">MIN($I$3-I184,K183)</f>
        <v>3767.89642598968</v>
      </c>
      <c r="K184" s="40" t="n">
        <f aca="false">K183-J184</f>
        <v>2001910.30318105</v>
      </c>
      <c r="L184" s="40" t="n">
        <f aca="false">C184+F184+I184</f>
        <v>10333.0687833394</v>
      </c>
      <c r="M184" s="40" t="n">
        <f aca="false">D184+G184+J184</f>
        <v>6227.08830800705</v>
      </c>
      <c r="N184" s="40" t="n">
        <f aca="false">L184+M184</f>
        <v>16560.1570913465</v>
      </c>
      <c r="O184" s="40" t="n">
        <f aca="false">E184+H184+K184</f>
        <v>3622811.30098107</v>
      </c>
    </row>
    <row r="185" customFormat="false" ht="15" hidden="false" customHeight="false" outlineLevel="0" collapsed="false">
      <c r="A185" s="39" t="n">
        <v>179</v>
      </c>
      <c r="B185" s="39" t="n">
        <f aca="false">ROUNDUP(A185/12,0)</f>
        <v>15</v>
      </c>
      <c r="C185" s="40" t="n">
        <f aca="false">E184*Annahmen!$B$38/12</f>
        <v>2051.61725704523</v>
      </c>
      <c r="D185" s="40" t="n">
        <f aca="false">MIN($C$3-C185,E184)</f>
        <v>1448.38274295477</v>
      </c>
      <c r="E185" s="40" t="n">
        <f aca="false">E184-D185</f>
        <v>983327.900638754</v>
      </c>
      <c r="F185" s="40" t="n">
        <f aca="false">H184*Annahmen!$B$39/12</f>
        <v>1590.31178604579</v>
      </c>
      <c r="G185" s="40" t="n">
        <f aca="false">MIN($F$3-F185,H184)</f>
        <v>1016.35488062088</v>
      </c>
      <c r="H185" s="40" t="n">
        <f aca="false">H184-G185</f>
        <v>635108.359537695</v>
      </c>
      <c r="I185" s="40" t="n">
        <f aca="false">K184*Annahmen!$B$40/12</f>
        <v>6673.03434393682</v>
      </c>
      <c r="J185" s="40" t="n">
        <f aca="false">MIN($I$3-I185,K184)</f>
        <v>3780.45608074298</v>
      </c>
      <c r="K185" s="40" t="n">
        <f aca="false">K184-J185</f>
        <v>1998129.8471003</v>
      </c>
      <c r="L185" s="40" t="n">
        <f aca="false">C185+F185+I185</f>
        <v>10314.9633870278</v>
      </c>
      <c r="M185" s="40" t="n">
        <f aca="false">D185+G185+J185</f>
        <v>6245.19370431863</v>
      </c>
      <c r="N185" s="40" t="n">
        <f aca="false">L185+M185</f>
        <v>16560.1570913465</v>
      </c>
      <c r="O185" s="40" t="n">
        <f aca="false">E185+H185+K185</f>
        <v>3616566.10727675</v>
      </c>
    </row>
    <row r="186" customFormat="false" ht="15" hidden="false" customHeight="false" outlineLevel="0" collapsed="false">
      <c r="A186" s="39" t="n">
        <v>180</v>
      </c>
      <c r="B186" s="39" t="n">
        <f aca="false">ROUNDUP(A186/12,0)</f>
        <v>15</v>
      </c>
      <c r="C186" s="40" t="n">
        <f aca="false">E185*Annahmen!$B$38/12</f>
        <v>2048.5997929974</v>
      </c>
      <c r="D186" s="40" t="n">
        <f aca="false">MIN($C$3-C186,E185)</f>
        <v>1451.40020700259</v>
      </c>
      <c r="E186" s="40" t="n">
        <f aca="false">E185-D186</f>
        <v>981876.500431751</v>
      </c>
      <c r="F186" s="40" t="n">
        <f aca="false">H185*Annahmen!$B$39/12</f>
        <v>1587.77089884424</v>
      </c>
      <c r="G186" s="40" t="n">
        <f aca="false">MIN($F$3-F186,H185)</f>
        <v>1018.89576782243</v>
      </c>
      <c r="H186" s="40" t="n">
        <f aca="false">H185-G186</f>
        <v>634089.463769872</v>
      </c>
      <c r="I186" s="40" t="n">
        <f aca="false">K185*Annahmen!$B$40/12</f>
        <v>6660.43282366768</v>
      </c>
      <c r="J186" s="40" t="n">
        <f aca="false">MIN($I$3-I186,K185)</f>
        <v>3793.05760101212</v>
      </c>
      <c r="K186" s="40" t="n">
        <f aca="false">K185-J186</f>
        <v>1994336.78949929</v>
      </c>
      <c r="L186" s="40" t="n">
        <f aca="false">C186+F186+I186</f>
        <v>10296.8035155093</v>
      </c>
      <c r="M186" s="40" t="n">
        <f aca="false">D186+G186+J186</f>
        <v>6263.35357583715</v>
      </c>
      <c r="N186" s="40" t="n">
        <f aca="false">L186+M186</f>
        <v>16560.1570913465</v>
      </c>
      <c r="O186" s="40" t="n">
        <f aca="false">E186+H186+K186</f>
        <v>3610302.75370092</v>
      </c>
    </row>
    <row r="187" customFormat="false" ht="15" hidden="false" customHeight="false" outlineLevel="0" collapsed="false">
      <c r="A187" s="39" t="n">
        <v>181</v>
      </c>
      <c r="B187" s="39" t="n">
        <f aca="false">ROUNDUP(A187/12,0)</f>
        <v>16</v>
      </c>
      <c r="C187" s="40" t="n">
        <f aca="false">E186*Annahmen!$B$38/12</f>
        <v>2045.57604256615</v>
      </c>
      <c r="D187" s="40" t="n">
        <f aca="false">MIN($C$3-C187,E186)</f>
        <v>1454.42395743385</v>
      </c>
      <c r="E187" s="40" t="n">
        <f aca="false">E186-D187</f>
        <v>980422.076474317</v>
      </c>
      <c r="F187" s="40" t="n">
        <f aca="false">H186*Annahmen!$B$39/12</f>
        <v>1585.22365942468</v>
      </c>
      <c r="G187" s="40" t="n">
        <f aca="false">MIN($F$3-F187,H186)</f>
        <v>1021.44300724199</v>
      </c>
      <c r="H187" s="40" t="n">
        <f aca="false">H186-G187</f>
        <v>633068.02076263</v>
      </c>
      <c r="I187" s="40" t="n">
        <f aca="false">K186*Annahmen!$B$40/12</f>
        <v>6647.78929833097</v>
      </c>
      <c r="J187" s="40" t="n">
        <f aca="false">MIN($I$3-I187,K186)</f>
        <v>3805.70112634883</v>
      </c>
      <c r="K187" s="40" t="n">
        <f aca="false">K186-J187</f>
        <v>1990531.08837294</v>
      </c>
      <c r="L187" s="40" t="n">
        <f aca="false">C187+F187+I187</f>
        <v>10278.5890003218</v>
      </c>
      <c r="M187" s="40" t="n">
        <f aca="false">D187+G187+J187</f>
        <v>6281.56809102467</v>
      </c>
      <c r="N187" s="40" t="n">
        <f aca="false">L187+M187</f>
        <v>16560.1570913465</v>
      </c>
      <c r="O187" s="40" t="n">
        <f aca="false">E187+H187+K187</f>
        <v>3604021.18560989</v>
      </c>
    </row>
    <row r="188" customFormat="false" ht="15" hidden="false" customHeight="false" outlineLevel="0" collapsed="false">
      <c r="A188" s="39" t="n">
        <v>182</v>
      </c>
      <c r="B188" s="39" t="n">
        <f aca="false">ROUNDUP(A188/12,0)</f>
        <v>16</v>
      </c>
      <c r="C188" s="40" t="n">
        <f aca="false">E187*Annahmen!$B$38/12</f>
        <v>2042.54599265483</v>
      </c>
      <c r="D188" s="40" t="n">
        <f aca="false">MIN($C$3-C188,E187)</f>
        <v>1457.45400734517</v>
      </c>
      <c r="E188" s="40" t="n">
        <f aca="false">E187-D188</f>
        <v>978964.622466972</v>
      </c>
      <c r="F188" s="40" t="n">
        <f aca="false">H187*Annahmen!$B$39/12</f>
        <v>1582.67005190658</v>
      </c>
      <c r="G188" s="40" t="n">
        <f aca="false">MIN($F$3-F188,H187)</f>
        <v>1023.99661476009</v>
      </c>
      <c r="H188" s="40" t="n">
        <f aca="false">H187-G188</f>
        <v>632044.02414787</v>
      </c>
      <c r="I188" s="40" t="n">
        <f aca="false">K187*Annahmen!$B$40/12</f>
        <v>6635.10362790981</v>
      </c>
      <c r="J188" s="40" t="n">
        <f aca="false">MIN($I$3-I188,K187)</f>
        <v>3818.38679676999</v>
      </c>
      <c r="K188" s="40" t="n">
        <f aca="false">K187-J188</f>
        <v>1986712.70157617</v>
      </c>
      <c r="L188" s="40" t="n">
        <f aca="false">C188+F188+I188</f>
        <v>10260.3196724712</v>
      </c>
      <c r="M188" s="40" t="n">
        <f aca="false">D188+G188+J188</f>
        <v>6299.83741887525</v>
      </c>
      <c r="N188" s="40" t="n">
        <f aca="false">L188+M188</f>
        <v>16560.1570913465</v>
      </c>
      <c r="O188" s="40" t="n">
        <f aca="false">E188+H188+K188</f>
        <v>3597721.34819102</v>
      </c>
    </row>
    <row r="189" customFormat="false" ht="15" hidden="false" customHeight="false" outlineLevel="0" collapsed="false">
      <c r="A189" s="39" t="n">
        <v>183</v>
      </c>
      <c r="B189" s="39" t="n">
        <f aca="false">ROUNDUP(A189/12,0)</f>
        <v>16</v>
      </c>
      <c r="C189" s="40" t="n">
        <f aca="false">E188*Annahmen!$B$38/12</f>
        <v>2039.50963013953</v>
      </c>
      <c r="D189" s="40" t="n">
        <f aca="false">MIN($C$3-C189,E188)</f>
        <v>1460.49036986047</v>
      </c>
      <c r="E189" s="40" t="n">
        <f aca="false">E188-D189</f>
        <v>977504.132097112</v>
      </c>
      <c r="F189" s="40" t="n">
        <f aca="false">H188*Annahmen!$B$39/12</f>
        <v>1580.11006036968</v>
      </c>
      <c r="G189" s="40" t="n">
        <f aca="false">MIN($F$3-F189,H188)</f>
        <v>1026.55660629699</v>
      </c>
      <c r="H189" s="40" t="n">
        <f aca="false">H188-G189</f>
        <v>631017.467541573</v>
      </c>
      <c r="I189" s="40" t="n">
        <f aca="false">K188*Annahmen!$B$40/12</f>
        <v>6622.37567192058</v>
      </c>
      <c r="J189" s="40" t="n">
        <f aca="false">MIN($I$3-I189,K188)</f>
        <v>3831.11475275923</v>
      </c>
      <c r="K189" s="40" t="n">
        <f aca="false">K188-J189</f>
        <v>1982881.58682341</v>
      </c>
      <c r="L189" s="40" t="n">
        <f aca="false">C189+F189+I189</f>
        <v>10241.9953624298</v>
      </c>
      <c r="M189" s="40" t="n">
        <f aca="false">D189+G189+J189</f>
        <v>6318.16172891669</v>
      </c>
      <c r="N189" s="40" t="n">
        <f aca="false">L189+M189</f>
        <v>16560.1570913465</v>
      </c>
      <c r="O189" s="40" t="n">
        <f aca="false">E189+H189+K189</f>
        <v>3591403.1864621</v>
      </c>
    </row>
    <row r="190" customFormat="false" ht="15" hidden="false" customHeight="false" outlineLevel="0" collapsed="false">
      <c r="A190" s="39" t="n">
        <v>184</v>
      </c>
      <c r="B190" s="39" t="n">
        <f aca="false">ROUNDUP(A190/12,0)</f>
        <v>16</v>
      </c>
      <c r="C190" s="40" t="n">
        <f aca="false">E189*Annahmen!$B$38/12</f>
        <v>2036.46694186898</v>
      </c>
      <c r="D190" s="40" t="n">
        <f aca="false">MIN($C$3-C190,E189)</f>
        <v>1463.53305813102</v>
      </c>
      <c r="E190" s="40" t="n">
        <f aca="false">E189-D190</f>
        <v>976040.599038981</v>
      </c>
      <c r="F190" s="40" t="n">
        <f aca="false">H189*Annahmen!$B$39/12</f>
        <v>1577.54366885393</v>
      </c>
      <c r="G190" s="40" t="n">
        <f aca="false">MIN($F$3-F190,H189)</f>
        <v>1029.12299781273</v>
      </c>
      <c r="H190" s="40" t="n">
        <f aca="false">H189-G190</f>
        <v>629988.34454376</v>
      </c>
      <c r="I190" s="40" t="n">
        <f aca="false">K189*Annahmen!$B$40/12</f>
        <v>6609.60528941138</v>
      </c>
      <c r="J190" s="40" t="n">
        <f aca="false">MIN($I$3-I190,K189)</f>
        <v>3843.88513526842</v>
      </c>
      <c r="K190" s="40" t="n">
        <f aca="false">K189-J190</f>
        <v>1979037.70168815</v>
      </c>
      <c r="L190" s="40" t="n">
        <f aca="false">C190+F190+I190</f>
        <v>10223.6159001343</v>
      </c>
      <c r="M190" s="40" t="n">
        <f aca="false">D190+G190+J190</f>
        <v>6336.54119121217</v>
      </c>
      <c r="N190" s="40" t="n">
        <f aca="false">L190+M190</f>
        <v>16560.1570913465</v>
      </c>
      <c r="O190" s="40" t="n">
        <f aca="false">E190+H190+K190</f>
        <v>3585066.64527089</v>
      </c>
    </row>
    <row r="191" customFormat="false" ht="15" hidden="false" customHeight="false" outlineLevel="0" collapsed="false">
      <c r="A191" s="39" t="n">
        <v>185</v>
      </c>
      <c r="B191" s="39" t="n">
        <f aca="false">ROUNDUP(A191/12,0)</f>
        <v>16</v>
      </c>
      <c r="C191" s="40" t="n">
        <f aca="false">E190*Annahmen!$B$38/12</f>
        <v>2033.41791466454</v>
      </c>
      <c r="D191" s="40" t="n">
        <f aca="false">MIN($C$3-C191,E190)</f>
        <v>1466.58208533546</v>
      </c>
      <c r="E191" s="40" t="n">
        <f aca="false">E190-D191</f>
        <v>974574.016953645</v>
      </c>
      <c r="F191" s="40" t="n">
        <f aca="false">H190*Annahmen!$B$39/12</f>
        <v>1574.9708613594</v>
      </c>
      <c r="G191" s="40" t="n">
        <f aca="false">MIN($F$3-F191,H190)</f>
        <v>1031.69580530726</v>
      </c>
      <c r="H191" s="40" t="n">
        <f aca="false">H190-G191</f>
        <v>628956.648738453</v>
      </c>
      <c r="I191" s="40" t="n">
        <f aca="false">K190*Annahmen!$B$40/12</f>
        <v>6596.79233896048</v>
      </c>
      <c r="J191" s="40" t="n">
        <f aca="false">MIN($I$3-I191,K190)</f>
        <v>3856.69808571932</v>
      </c>
      <c r="K191" s="40" t="n">
        <f aca="false">K190-J191</f>
        <v>1975181.00360243</v>
      </c>
      <c r="L191" s="40" t="n">
        <f aca="false">C191+F191+I191</f>
        <v>10205.1811149844</v>
      </c>
      <c r="M191" s="40" t="n">
        <f aca="false">D191+G191+J191</f>
        <v>6354.97597636204</v>
      </c>
      <c r="N191" s="40" t="n">
        <f aca="false">L191+M191</f>
        <v>16560.1570913465</v>
      </c>
      <c r="O191" s="40" t="n">
        <f aca="false">E191+H191+K191</f>
        <v>3578711.66929452</v>
      </c>
    </row>
    <row r="192" customFormat="false" ht="15" hidden="false" customHeight="false" outlineLevel="0" collapsed="false">
      <c r="A192" s="39" t="n">
        <v>186</v>
      </c>
      <c r="B192" s="39" t="n">
        <f aca="false">ROUNDUP(A192/12,0)</f>
        <v>16</v>
      </c>
      <c r="C192" s="40" t="n">
        <f aca="false">E191*Annahmen!$B$38/12</f>
        <v>2030.36253532009</v>
      </c>
      <c r="D192" s="40" t="n">
        <f aca="false">MIN($C$3-C192,E191)</f>
        <v>1469.6374646799</v>
      </c>
      <c r="E192" s="40" t="n">
        <f aca="false">E191-D192</f>
        <v>973104.379488965</v>
      </c>
      <c r="F192" s="40" t="n">
        <f aca="false">H191*Annahmen!$B$39/12</f>
        <v>1572.39162184613</v>
      </c>
      <c r="G192" s="40" t="n">
        <f aca="false">MIN($F$3-F192,H191)</f>
        <v>1034.27504482053</v>
      </c>
      <c r="H192" s="40" t="n">
        <f aca="false">H191-G192</f>
        <v>627922.373693633</v>
      </c>
      <c r="I192" s="40" t="n">
        <f aca="false">K191*Annahmen!$B$40/12</f>
        <v>6583.93667867475</v>
      </c>
      <c r="J192" s="40" t="n">
        <f aca="false">MIN($I$3-I192,K191)</f>
        <v>3869.55374600505</v>
      </c>
      <c r="K192" s="40" t="n">
        <f aca="false">K191-J192</f>
        <v>1971311.44985642</v>
      </c>
      <c r="L192" s="40" t="n">
        <f aca="false">C192+F192+I192</f>
        <v>10186.690835841</v>
      </c>
      <c r="M192" s="40" t="n">
        <f aca="false">D192+G192+J192</f>
        <v>6373.46625550549</v>
      </c>
      <c r="N192" s="40" t="n">
        <f aca="false">L192+M192</f>
        <v>16560.1570913465</v>
      </c>
      <c r="O192" s="40" t="n">
        <f aca="false">E192+H192+K192</f>
        <v>3572338.20303902</v>
      </c>
    </row>
    <row r="193" customFormat="false" ht="15" hidden="false" customHeight="false" outlineLevel="0" collapsed="false">
      <c r="A193" s="39" t="n">
        <v>187</v>
      </c>
      <c r="B193" s="39" t="n">
        <f aca="false">ROUNDUP(A193/12,0)</f>
        <v>16</v>
      </c>
      <c r="C193" s="40" t="n">
        <f aca="false">E192*Annahmen!$B$38/12</f>
        <v>2027.30079060201</v>
      </c>
      <c r="D193" s="40" t="n">
        <f aca="false">MIN($C$3-C193,E192)</f>
        <v>1472.69920939799</v>
      </c>
      <c r="E193" s="40" t="n">
        <f aca="false">E192-D193</f>
        <v>971631.680279567</v>
      </c>
      <c r="F193" s="40" t="n">
        <f aca="false">H192*Annahmen!$B$39/12</f>
        <v>1569.80593423408</v>
      </c>
      <c r="G193" s="40" t="n">
        <f aca="false">MIN($F$3-F193,H192)</f>
        <v>1036.86073243258</v>
      </c>
      <c r="H193" s="40" t="n">
        <f aca="false">H192-G193</f>
        <v>626885.5129612</v>
      </c>
      <c r="I193" s="40" t="n">
        <f aca="false">K192*Annahmen!$B$40/12</f>
        <v>6571.03816618807</v>
      </c>
      <c r="J193" s="40" t="n">
        <f aca="false">MIN($I$3-I193,K192)</f>
        <v>3882.45225849173</v>
      </c>
      <c r="K193" s="40" t="n">
        <f aca="false">K192-J193</f>
        <v>1967428.99759793</v>
      </c>
      <c r="L193" s="40" t="n">
        <f aca="false">C193+F193+I193</f>
        <v>10168.1448910242</v>
      </c>
      <c r="M193" s="40" t="n">
        <f aca="false">D193+G193+J193</f>
        <v>6392.0122003223</v>
      </c>
      <c r="N193" s="40" t="n">
        <f aca="false">L193+M193</f>
        <v>16560.1570913465</v>
      </c>
      <c r="O193" s="40" t="n">
        <f aca="false">E193+H193+K193</f>
        <v>3565946.1908387</v>
      </c>
    </row>
    <row r="194" customFormat="false" ht="15" hidden="false" customHeight="false" outlineLevel="0" collapsed="false">
      <c r="A194" s="39" t="n">
        <v>188</v>
      </c>
      <c r="B194" s="39" t="n">
        <f aca="false">ROUNDUP(A194/12,0)</f>
        <v>16</v>
      </c>
      <c r="C194" s="40" t="n">
        <f aca="false">E193*Annahmen!$B$38/12</f>
        <v>2024.2326672491</v>
      </c>
      <c r="D194" s="40" t="n">
        <f aca="false">MIN($C$3-C194,E193)</f>
        <v>1475.7673327509</v>
      </c>
      <c r="E194" s="40" t="n">
        <f aca="false">E193-D194</f>
        <v>970155.912946816</v>
      </c>
      <c r="F194" s="40" t="n">
        <f aca="false">H193*Annahmen!$B$39/12</f>
        <v>1567.213782403</v>
      </c>
      <c r="G194" s="40" t="n">
        <f aca="false">MIN($F$3-F194,H193)</f>
        <v>1039.45288426367</v>
      </c>
      <c r="H194" s="40" t="n">
        <f aca="false">H193-G194</f>
        <v>625846.060076936</v>
      </c>
      <c r="I194" s="40" t="n">
        <f aca="false">K193*Annahmen!$B$40/12</f>
        <v>6558.09665865976</v>
      </c>
      <c r="J194" s="40" t="n">
        <f aca="false">MIN($I$3-I194,K193)</f>
        <v>3895.39376602004</v>
      </c>
      <c r="K194" s="40" t="n">
        <f aca="false">K193-J194</f>
        <v>1963533.60383191</v>
      </c>
      <c r="L194" s="40" t="n">
        <f aca="false">C194+F194+I194</f>
        <v>10149.5431083119</v>
      </c>
      <c r="M194" s="40" t="n">
        <f aca="false">D194+G194+J194</f>
        <v>6410.6139830346</v>
      </c>
      <c r="N194" s="40" t="n">
        <f aca="false">L194+M194</f>
        <v>16560.1570913465</v>
      </c>
      <c r="O194" s="40" t="n">
        <f aca="false">E194+H194+K194</f>
        <v>3559535.57685566</v>
      </c>
    </row>
    <row r="195" customFormat="false" ht="15" hidden="false" customHeight="false" outlineLevel="0" collapsed="false">
      <c r="A195" s="39" t="n">
        <v>189</v>
      </c>
      <c r="B195" s="39" t="n">
        <f aca="false">ROUNDUP(A195/12,0)</f>
        <v>16</v>
      </c>
      <c r="C195" s="40" t="n">
        <f aca="false">E194*Annahmen!$B$38/12</f>
        <v>2021.15815197253</v>
      </c>
      <c r="D195" s="40" t="n">
        <f aca="false">MIN($C$3-C195,E194)</f>
        <v>1478.84184802746</v>
      </c>
      <c r="E195" s="40" t="n">
        <f aca="false">E194-D195</f>
        <v>968677.071098789</v>
      </c>
      <c r="F195" s="40" t="n">
        <f aca="false">H194*Annahmen!$B$39/12</f>
        <v>1564.61515019234</v>
      </c>
      <c r="G195" s="40" t="n">
        <f aca="false">MIN($F$3-F195,H194)</f>
        <v>1042.05151647433</v>
      </c>
      <c r="H195" s="40" t="n">
        <f aca="false">H194-G195</f>
        <v>624804.008560462</v>
      </c>
      <c r="I195" s="40" t="n">
        <f aca="false">K194*Annahmen!$B$40/12</f>
        <v>6545.11201277303</v>
      </c>
      <c r="J195" s="40" t="n">
        <f aca="false">MIN($I$3-I195,K194)</f>
        <v>3908.37841190677</v>
      </c>
      <c r="K195" s="40" t="n">
        <f aca="false">K194-J195</f>
        <v>1959625.22542</v>
      </c>
      <c r="L195" s="40" t="n">
        <f aca="false">C195+F195+I195</f>
        <v>10130.8853149379</v>
      </c>
      <c r="M195" s="40" t="n">
        <f aca="false">D195+G195+J195</f>
        <v>6429.27177640856</v>
      </c>
      <c r="N195" s="40" t="n">
        <f aca="false">L195+M195</f>
        <v>16560.1570913465</v>
      </c>
      <c r="O195" s="40" t="n">
        <f aca="false">E195+H195+K195</f>
        <v>3553106.30507925</v>
      </c>
    </row>
    <row r="196" customFormat="false" ht="15" hidden="false" customHeight="false" outlineLevel="0" collapsed="false">
      <c r="A196" s="39" t="n">
        <v>190</v>
      </c>
      <c r="B196" s="39" t="n">
        <f aca="false">ROUNDUP(A196/12,0)</f>
        <v>16</v>
      </c>
      <c r="C196" s="40" t="n">
        <f aca="false">E195*Annahmen!$B$38/12</f>
        <v>2018.07723145581</v>
      </c>
      <c r="D196" s="40" t="n">
        <f aca="false">MIN($C$3-C196,E195)</f>
        <v>1481.92276854419</v>
      </c>
      <c r="E196" s="40" t="n">
        <f aca="false">E195-D196</f>
        <v>967195.148330245</v>
      </c>
      <c r="F196" s="40" t="n">
        <f aca="false">H195*Annahmen!$B$39/12</f>
        <v>1562.01002140116</v>
      </c>
      <c r="G196" s="40" t="n">
        <f aca="false">MIN($F$3-F196,H195)</f>
        <v>1044.65664526551</v>
      </c>
      <c r="H196" s="40" t="n">
        <f aca="false">H195-G196</f>
        <v>623759.351915197</v>
      </c>
      <c r="I196" s="40" t="n">
        <f aca="false">K195*Annahmen!$B$40/12</f>
        <v>6532.08408473334</v>
      </c>
      <c r="J196" s="40" t="n">
        <f aca="false">MIN($I$3-I196,K195)</f>
        <v>3921.40633994646</v>
      </c>
      <c r="K196" s="40" t="n">
        <f aca="false">K195-J196</f>
        <v>1955703.81908006</v>
      </c>
      <c r="L196" s="40" t="n">
        <f aca="false">C196+F196+I196</f>
        <v>10112.1713375903</v>
      </c>
      <c r="M196" s="40" t="n">
        <f aca="false">D196+G196+J196</f>
        <v>6447.98575375616</v>
      </c>
      <c r="N196" s="40" t="n">
        <f aca="false">L196+M196</f>
        <v>16560.1570913465</v>
      </c>
      <c r="O196" s="40" t="n">
        <f aca="false">E196+H196+K196</f>
        <v>3546658.3193255</v>
      </c>
    </row>
    <row r="197" customFormat="false" ht="15" hidden="false" customHeight="false" outlineLevel="0" collapsed="false">
      <c r="A197" s="39" t="n">
        <v>191</v>
      </c>
      <c r="B197" s="39" t="n">
        <f aca="false">ROUNDUP(A197/12,0)</f>
        <v>16</v>
      </c>
      <c r="C197" s="40" t="n">
        <f aca="false">E196*Annahmen!$B$38/12</f>
        <v>2014.98989235468</v>
      </c>
      <c r="D197" s="40" t="n">
        <f aca="false">MIN($C$3-C197,E196)</f>
        <v>1485.01010764532</v>
      </c>
      <c r="E197" s="40" t="n">
        <f aca="false">E196-D197</f>
        <v>965710.1382226</v>
      </c>
      <c r="F197" s="40" t="n">
        <f aca="false">H196*Annahmen!$B$39/12</f>
        <v>1559.39837978799</v>
      </c>
      <c r="G197" s="40" t="n">
        <f aca="false">MIN($F$3-F197,H196)</f>
        <v>1047.26828687867</v>
      </c>
      <c r="H197" s="40" t="n">
        <f aca="false">H196-G197</f>
        <v>622712.083628318</v>
      </c>
      <c r="I197" s="40" t="n">
        <f aca="false">K196*Annahmen!$B$40/12</f>
        <v>6519.01273026685</v>
      </c>
      <c r="J197" s="40" t="n">
        <f aca="false">MIN($I$3-I197,K196)</f>
        <v>3934.47769441295</v>
      </c>
      <c r="K197" s="40" t="n">
        <f aca="false">K196-J197</f>
        <v>1951769.34138564</v>
      </c>
      <c r="L197" s="40" t="n">
        <f aca="false">C197+F197+I197</f>
        <v>10093.4010024095</v>
      </c>
      <c r="M197" s="40" t="n">
        <f aca="false">D197+G197+J197</f>
        <v>6466.75608893695</v>
      </c>
      <c r="N197" s="40" t="n">
        <f aca="false">L197+M197</f>
        <v>16560.1570913465</v>
      </c>
      <c r="O197" s="40" t="n">
        <f aca="false">E197+H197+K197</f>
        <v>3540191.56323656</v>
      </c>
    </row>
    <row r="198" customFormat="false" ht="15" hidden="false" customHeight="false" outlineLevel="0" collapsed="false">
      <c r="A198" s="39" t="n">
        <v>192</v>
      </c>
      <c r="B198" s="39" t="n">
        <f aca="false">ROUNDUP(A198/12,0)</f>
        <v>16</v>
      </c>
      <c r="C198" s="40" t="n">
        <f aca="false">E197*Annahmen!$B$38/12</f>
        <v>2011.89612129708</v>
      </c>
      <c r="D198" s="40" t="n">
        <f aca="false">MIN($C$3-C198,E197)</f>
        <v>1488.10387870292</v>
      </c>
      <c r="E198" s="40" t="n">
        <f aca="false">E197-D198</f>
        <v>964222.034343897</v>
      </c>
      <c r="F198" s="40" t="n">
        <f aca="false">H197*Annahmen!$B$39/12</f>
        <v>1556.78020907079</v>
      </c>
      <c r="G198" s="40" t="n">
        <f aca="false">MIN($F$3-F198,H197)</f>
        <v>1049.88645759587</v>
      </c>
      <c r="H198" s="40" t="n">
        <f aca="false">H197-G198</f>
        <v>621662.197170722</v>
      </c>
      <c r="I198" s="40" t="n">
        <f aca="false">K197*Annahmen!$B$40/12</f>
        <v>6505.89780461881</v>
      </c>
      <c r="J198" s="40" t="n">
        <f aca="false">MIN($I$3-I198,K197)</f>
        <v>3947.59262006099</v>
      </c>
      <c r="K198" s="40" t="n">
        <f aca="false">K197-J198</f>
        <v>1947821.74876558</v>
      </c>
      <c r="L198" s="40" t="n">
        <f aca="false">C198+F198+I198</f>
        <v>10074.5741349867</v>
      </c>
      <c r="M198" s="40" t="n">
        <f aca="false">D198+G198+J198</f>
        <v>6485.58295635978</v>
      </c>
      <c r="N198" s="40" t="n">
        <f aca="false">L198+M198</f>
        <v>16560.1570913465</v>
      </c>
      <c r="O198" s="40" t="n">
        <f aca="false">E198+H198+K198</f>
        <v>3533705.9802802</v>
      </c>
    </row>
    <row r="199" customFormat="false" ht="15" hidden="false" customHeight="false" outlineLevel="0" collapsed="false">
      <c r="A199" s="39" t="n">
        <v>193</v>
      </c>
      <c r="B199" s="39" t="n">
        <f aca="false">ROUNDUP(A199/12,0)</f>
        <v>17</v>
      </c>
      <c r="C199" s="40" t="n">
        <f aca="false">E198*Annahmen!$B$38/12</f>
        <v>2008.79590488312</v>
      </c>
      <c r="D199" s="40" t="n">
        <f aca="false">MIN($C$3-C199,E198)</f>
        <v>1491.20409511688</v>
      </c>
      <c r="E199" s="40" t="n">
        <f aca="false">E198-D199</f>
        <v>962730.83024878</v>
      </c>
      <c r="F199" s="40" t="n">
        <f aca="false">H198*Annahmen!$B$39/12</f>
        <v>1554.1554929268</v>
      </c>
      <c r="G199" s="40" t="n">
        <f aca="false">MIN($F$3-F199,H198)</f>
        <v>1052.51117373986</v>
      </c>
      <c r="H199" s="40" t="n">
        <f aca="false">H198-G199</f>
        <v>620609.685996982</v>
      </c>
      <c r="I199" s="40" t="n">
        <f aca="false">K198*Annahmen!$B$40/12</f>
        <v>6492.73916255194</v>
      </c>
      <c r="J199" s="40" t="n">
        <f aca="false">MIN($I$3-I199,K198)</f>
        <v>3960.75126212786</v>
      </c>
      <c r="K199" s="40" t="n">
        <f aca="false">K198-J199</f>
        <v>1943860.99750345</v>
      </c>
      <c r="L199" s="40" t="n">
        <f aca="false">C199+F199+I199</f>
        <v>10055.6905603619</v>
      </c>
      <c r="M199" s="40" t="n">
        <f aca="false">D199+G199+J199</f>
        <v>6504.4665309846</v>
      </c>
      <c r="N199" s="40" t="n">
        <f aca="false">L199+M199</f>
        <v>16560.1570913465</v>
      </c>
      <c r="O199" s="40" t="n">
        <f aca="false">E199+H199+K199</f>
        <v>3527201.51374922</v>
      </c>
    </row>
    <row r="200" customFormat="false" ht="15" hidden="false" customHeight="false" outlineLevel="0" collapsed="false">
      <c r="A200" s="39" t="n">
        <v>194</v>
      </c>
      <c r="B200" s="39" t="n">
        <f aca="false">ROUNDUP(A200/12,0)</f>
        <v>17</v>
      </c>
      <c r="C200" s="40" t="n">
        <f aca="false">E199*Annahmen!$B$38/12</f>
        <v>2005.68922968496</v>
      </c>
      <c r="D200" s="40" t="n">
        <f aca="false">MIN($C$3-C200,E199)</f>
        <v>1494.31077031504</v>
      </c>
      <c r="E200" s="40" t="n">
        <f aca="false">E199-D200</f>
        <v>961236.519478465</v>
      </c>
      <c r="F200" s="40" t="n">
        <f aca="false">H199*Annahmen!$B$39/12</f>
        <v>1551.52421499246</v>
      </c>
      <c r="G200" s="40" t="n">
        <f aca="false">MIN($F$3-F200,H199)</f>
        <v>1055.14245167421</v>
      </c>
      <c r="H200" s="40" t="n">
        <f aca="false">H199-G200</f>
        <v>619554.543545308</v>
      </c>
      <c r="I200" s="40" t="n">
        <f aca="false">K199*Annahmen!$B$40/12</f>
        <v>6479.53665834485</v>
      </c>
      <c r="J200" s="40" t="n">
        <f aca="false">MIN($I$3-I200,K199)</f>
        <v>3973.95376633495</v>
      </c>
      <c r="K200" s="40" t="n">
        <f aca="false">K199-J200</f>
        <v>1939887.04373712</v>
      </c>
      <c r="L200" s="40" t="n">
        <f aca="false">C200+F200+I200</f>
        <v>10036.7501030223</v>
      </c>
      <c r="M200" s="40" t="n">
        <f aca="false">D200+G200+J200</f>
        <v>6523.40698832421</v>
      </c>
      <c r="N200" s="40" t="n">
        <f aca="false">L200+M200</f>
        <v>16560.1570913465</v>
      </c>
      <c r="O200" s="40" t="n">
        <f aca="false">E200+H200+K200</f>
        <v>3520678.10676089</v>
      </c>
    </row>
    <row r="201" customFormat="false" ht="15" hidden="false" customHeight="false" outlineLevel="0" collapsed="false">
      <c r="A201" s="39" t="n">
        <v>195</v>
      </c>
      <c r="B201" s="39" t="n">
        <f aca="false">ROUNDUP(A201/12,0)</f>
        <v>17</v>
      </c>
      <c r="C201" s="40" t="n">
        <f aca="false">E200*Annahmen!$B$38/12</f>
        <v>2002.5760822468</v>
      </c>
      <c r="D201" s="40" t="n">
        <f aca="false">MIN($C$3-C201,E200)</f>
        <v>1497.4239177532</v>
      </c>
      <c r="E201" s="40" t="n">
        <f aca="false">E200-D201</f>
        <v>959739.095560712</v>
      </c>
      <c r="F201" s="40" t="n">
        <f aca="false">H200*Annahmen!$B$39/12</f>
        <v>1548.88635886327</v>
      </c>
      <c r="G201" s="40" t="n">
        <f aca="false">MIN($F$3-F201,H200)</f>
        <v>1057.7803078034</v>
      </c>
      <c r="H201" s="40" t="n">
        <f aca="false">H200-G201</f>
        <v>618496.763237504</v>
      </c>
      <c r="I201" s="40" t="n">
        <f aca="false">K200*Annahmen!$B$40/12</f>
        <v>6466.2901457904</v>
      </c>
      <c r="J201" s="40" t="n">
        <f aca="false">MIN($I$3-I201,K200)</f>
        <v>3987.2002788894</v>
      </c>
      <c r="K201" s="40" t="n">
        <f aca="false">K200-J201</f>
        <v>1935899.84345823</v>
      </c>
      <c r="L201" s="40" t="n">
        <f aca="false">C201+F201+I201</f>
        <v>10017.7525869005</v>
      </c>
      <c r="M201" s="40" t="n">
        <f aca="false">D201+G201+J201</f>
        <v>6542.404504446</v>
      </c>
      <c r="N201" s="40" t="n">
        <f aca="false">L201+M201</f>
        <v>16560.1570913465</v>
      </c>
      <c r="O201" s="40" t="n">
        <f aca="false">E201+H201+K201</f>
        <v>3514135.70225645</v>
      </c>
    </row>
    <row r="202" customFormat="false" ht="15" hidden="false" customHeight="false" outlineLevel="0" collapsed="false">
      <c r="A202" s="39" t="n">
        <v>196</v>
      </c>
      <c r="B202" s="39" t="n">
        <f aca="false">ROUNDUP(A202/12,0)</f>
        <v>17</v>
      </c>
      <c r="C202" s="40" t="n">
        <f aca="false">E201*Annahmen!$B$38/12</f>
        <v>1999.45644908482</v>
      </c>
      <c r="D202" s="40" t="n">
        <f aca="false">MIN($C$3-C202,E201)</f>
        <v>1500.54355091518</v>
      </c>
      <c r="E202" s="40" t="n">
        <f aca="false">E201-D202</f>
        <v>958238.552009796</v>
      </c>
      <c r="F202" s="40" t="n">
        <f aca="false">H201*Annahmen!$B$39/12</f>
        <v>1546.24190809376</v>
      </c>
      <c r="G202" s="40" t="n">
        <f aca="false">MIN($F$3-F202,H201)</f>
        <v>1060.4247585729</v>
      </c>
      <c r="H202" s="40" t="n">
        <f aca="false">H201-G202</f>
        <v>617436.338478932</v>
      </c>
      <c r="I202" s="40" t="n">
        <f aca="false">K201*Annahmen!$B$40/12</f>
        <v>6452.9994781941</v>
      </c>
      <c r="J202" s="40" t="n">
        <f aca="false">MIN($I$3-I202,K201)</f>
        <v>4000.4909464857</v>
      </c>
      <c r="K202" s="40" t="n">
        <f aca="false">K201-J202</f>
        <v>1931899.35251174</v>
      </c>
      <c r="L202" s="40" t="n">
        <f aca="false">C202+F202+I202</f>
        <v>9998.69783537268</v>
      </c>
      <c r="M202" s="40" t="n">
        <f aca="false">D202+G202+J202</f>
        <v>6561.45925597379</v>
      </c>
      <c r="N202" s="40" t="n">
        <f aca="false">L202+M202</f>
        <v>16560.1570913465</v>
      </c>
      <c r="O202" s="40" t="n">
        <f aca="false">E202+H202+K202</f>
        <v>3507574.24300047</v>
      </c>
    </row>
    <row r="203" customFormat="false" ht="15" hidden="false" customHeight="false" outlineLevel="0" collapsed="false">
      <c r="A203" s="39" t="n">
        <v>197</v>
      </c>
      <c r="B203" s="39" t="n">
        <f aca="false">ROUNDUP(A203/12,0)</f>
        <v>17</v>
      </c>
      <c r="C203" s="40" t="n">
        <f aca="false">E202*Annahmen!$B$38/12</f>
        <v>1996.33031668708</v>
      </c>
      <c r="D203" s="40" t="n">
        <f aca="false">MIN($C$3-C203,E202)</f>
        <v>1503.66968331292</v>
      </c>
      <c r="E203" s="40" t="n">
        <f aca="false">E202-D203</f>
        <v>956734.882326483</v>
      </c>
      <c r="F203" s="40" t="n">
        <f aca="false">H202*Annahmen!$B$39/12</f>
        <v>1543.59084619733</v>
      </c>
      <c r="G203" s="40" t="n">
        <f aca="false">MIN($F$3-F203,H202)</f>
        <v>1063.07582046934</v>
      </c>
      <c r="H203" s="40" t="n">
        <f aca="false">H202-G203</f>
        <v>616373.262658462</v>
      </c>
      <c r="I203" s="40" t="n">
        <f aca="false">K202*Annahmen!$B$40/12</f>
        <v>6439.66450837248</v>
      </c>
      <c r="J203" s="40" t="n">
        <f aca="false">MIN($I$3-I203,K202)</f>
        <v>4013.82591630732</v>
      </c>
      <c r="K203" s="40" t="n">
        <f aca="false">K202-J203</f>
        <v>1927885.52659544</v>
      </c>
      <c r="L203" s="40" t="n">
        <f aca="false">C203+F203+I203</f>
        <v>9979.58567125688</v>
      </c>
      <c r="M203" s="40" t="n">
        <f aca="false">D203+G203+J203</f>
        <v>6580.57142008958</v>
      </c>
      <c r="N203" s="40" t="n">
        <f aca="false">L203+M203</f>
        <v>16560.1570913465</v>
      </c>
      <c r="O203" s="40" t="n">
        <f aca="false">E203+H203+K203</f>
        <v>3500993.67158038</v>
      </c>
    </row>
    <row r="204" customFormat="false" ht="15" hidden="false" customHeight="false" outlineLevel="0" collapsed="false">
      <c r="A204" s="39" t="n">
        <v>198</v>
      </c>
      <c r="B204" s="39" t="n">
        <f aca="false">ROUNDUP(A204/12,0)</f>
        <v>17</v>
      </c>
      <c r="C204" s="40" t="n">
        <f aca="false">E203*Annahmen!$B$38/12</f>
        <v>1993.19767151351</v>
      </c>
      <c r="D204" s="40" t="n">
        <f aca="false">MIN($C$3-C204,E203)</f>
        <v>1506.80232848649</v>
      </c>
      <c r="E204" s="40" t="n">
        <f aca="false">E203-D204</f>
        <v>955228.079997997</v>
      </c>
      <c r="F204" s="40" t="n">
        <f aca="false">H203*Annahmen!$B$39/12</f>
        <v>1540.93315664616</v>
      </c>
      <c r="G204" s="40" t="n">
        <f aca="false">MIN($F$3-F204,H203)</f>
        <v>1065.73351002051</v>
      </c>
      <c r="H204" s="40" t="n">
        <f aca="false">H203-G204</f>
        <v>615307.529148442</v>
      </c>
      <c r="I204" s="40" t="n">
        <f aca="false">K203*Annahmen!$B$40/12</f>
        <v>6426.28508865146</v>
      </c>
      <c r="J204" s="40" t="n">
        <f aca="false">MIN($I$3-I204,K203)</f>
        <v>4027.20533602835</v>
      </c>
      <c r="K204" s="40" t="n">
        <f aca="false">K203-J204</f>
        <v>1923858.32125941</v>
      </c>
      <c r="L204" s="40" t="n">
        <f aca="false">C204+F204+I204</f>
        <v>9960.41591681112</v>
      </c>
      <c r="M204" s="40" t="n">
        <f aca="false">D204+G204+J204</f>
        <v>6599.74117453535</v>
      </c>
      <c r="N204" s="40" t="n">
        <f aca="false">L204+M204</f>
        <v>16560.1570913465</v>
      </c>
      <c r="O204" s="40" t="n">
        <f aca="false">E204+H204+K204</f>
        <v>3494393.93040585</v>
      </c>
    </row>
    <row r="205" customFormat="false" ht="15" hidden="false" customHeight="false" outlineLevel="0" collapsed="false">
      <c r="A205" s="39" t="n">
        <v>199</v>
      </c>
      <c r="B205" s="39" t="n">
        <f aca="false">ROUNDUP(A205/12,0)</f>
        <v>17</v>
      </c>
      <c r="C205" s="40" t="n">
        <f aca="false">E204*Annahmen!$B$38/12</f>
        <v>1990.05849999583</v>
      </c>
      <c r="D205" s="40" t="n">
        <f aca="false">MIN($C$3-C205,E204)</f>
        <v>1509.94150000417</v>
      </c>
      <c r="E205" s="40" t="n">
        <f aca="false">E204-D205</f>
        <v>953718.138497993</v>
      </c>
      <c r="F205" s="40" t="n">
        <f aca="false">H204*Annahmen!$B$39/12</f>
        <v>1538.2688228711</v>
      </c>
      <c r="G205" s="40" t="n">
        <f aca="false">MIN($F$3-F205,H204)</f>
        <v>1068.39784379556</v>
      </c>
      <c r="H205" s="40" t="n">
        <f aca="false">H204-G205</f>
        <v>614239.131304646</v>
      </c>
      <c r="I205" s="40" t="n">
        <f aca="false">K204*Annahmen!$B$40/12</f>
        <v>6412.8610708647</v>
      </c>
      <c r="J205" s="40" t="n">
        <f aca="false">MIN($I$3-I205,K204)</f>
        <v>4040.62935381511</v>
      </c>
      <c r="K205" s="40" t="n">
        <f aca="false">K204-J205</f>
        <v>1919817.69190559</v>
      </c>
      <c r="L205" s="40" t="n">
        <f aca="false">C205+F205+I205</f>
        <v>9941.18839373163</v>
      </c>
      <c r="M205" s="40" t="n">
        <f aca="false">D205+G205+J205</f>
        <v>6618.96869761484</v>
      </c>
      <c r="N205" s="40" t="n">
        <f aca="false">L205+M205</f>
        <v>16560.1570913465</v>
      </c>
      <c r="O205" s="40" t="n">
        <f aca="false">E205+H205+K205</f>
        <v>3487774.96170823</v>
      </c>
    </row>
    <row r="206" customFormat="false" ht="15" hidden="false" customHeight="false" outlineLevel="0" collapsed="false">
      <c r="A206" s="39" t="n">
        <v>200</v>
      </c>
      <c r="B206" s="39" t="n">
        <f aca="false">ROUNDUP(A206/12,0)</f>
        <v>17</v>
      </c>
      <c r="C206" s="40" t="n">
        <f aca="false">E205*Annahmen!$B$38/12</f>
        <v>1986.91278853748</v>
      </c>
      <c r="D206" s="40" t="n">
        <f aca="false">MIN($C$3-C206,E205)</f>
        <v>1513.08721146251</v>
      </c>
      <c r="E206" s="40" t="n">
        <f aca="false">E205-D206</f>
        <v>952205.05128653</v>
      </c>
      <c r="F206" s="40" t="n">
        <f aca="false">H205*Annahmen!$B$39/12</f>
        <v>1535.59782826162</v>
      </c>
      <c r="G206" s="40" t="n">
        <f aca="false">MIN($F$3-F206,H205)</f>
        <v>1071.06883840505</v>
      </c>
      <c r="H206" s="40" t="n">
        <f aca="false">H205-G206</f>
        <v>613168.062466241</v>
      </c>
      <c r="I206" s="40" t="n">
        <f aca="false">K205*Annahmen!$B$40/12</f>
        <v>6399.39230635198</v>
      </c>
      <c r="J206" s="40" t="n">
        <f aca="false">MIN($I$3-I206,K205)</f>
        <v>4054.09811832782</v>
      </c>
      <c r="K206" s="40" t="n">
        <f aca="false">K205-J206</f>
        <v>1915763.59378727</v>
      </c>
      <c r="L206" s="40" t="n">
        <f aca="false">C206+F206+I206</f>
        <v>9921.90292315108</v>
      </c>
      <c r="M206" s="40" t="n">
        <f aca="false">D206+G206+J206</f>
        <v>6638.25416819539</v>
      </c>
      <c r="N206" s="40" t="n">
        <f aca="false">L206+M206</f>
        <v>16560.1570913465</v>
      </c>
      <c r="O206" s="40" t="n">
        <f aca="false">E206+H206+K206</f>
        <v>3481136.70754004</v>
      </c>
    </row>
    <row r="207" customFormat="false" ht="15" hidden="false" customHeight="false" outlineLevel="0" collapsed="false">
      <c r="A207" s="39" t="n">
        <v>201</v>
      </c>
      <c r="B207" s="39" t="n">
        <f aca="false">ROUNDUP(A207/12,0)</f>
        <v>17</v>
      </c>
      <c r="C207" s="40" t="n">
        <f aca="false">E206*Annahmen!$B$38/12</f>
        <v>1983.7605235136</v>
      </c>
      <c r="D207" s="40" t="n">
        <f aca="false">MIN($C$3-C207,E206)</f>
        <v>1516.23947648639</v>
      </c>
      <c r="E207" s="40" t="n">
        <f aca="false">E206-D207</f>
        <v>950688.811810044</v>
      </c>
      <c r="F207" s="40" t="n">
        <f aca="false">H206*Annahmen!$B$39/12</f>
        <v>1532.9201561656</v>
      </c>
      <c r="G207" s="40" t="n">
        <f aca="false">MIN($F$3-F207,H206)</f>
        <v>1073.74651050106</v>
      </c>
      <c r="H207" s="40" t="n">
        <f aca="false">H206-G207</f>
        <v>612094.31595574</v>
      </c>
      <c r="I207" s="40" t="n">
        <f aca="false">K206*Annahmen!$B$40/12</f>
        <v>6385.87864595755</v>
      </c>
      <c r="J207" s="40" t="n">
        <f aca="false">MIN($I$3-I207,K206)</f>
        <v>4067.61177872225</v>
      </c>
      <c r="K207" s="40" t="n">
        <f aca="false">K206-J207</f>
        <v>1911695.98200854</v>
      </c>
      <c r="L207" s="40" t="n">
        <f aca="false">C207+F207+I207</f>
        <v>9902.55932563676</v>
      </c>
      <c r="M207" s="40" t="n">
        <f aca="false">D207+G207+J207</f>
        <v>6657.59776570971</v>
      </c>
      <c r="N207" s="40" t="n">
        <f aca="false">L207+M207</f>
        <v>16560.1570913465</v>
      </c>
      <c r="O207" s="40" t="n">
        <f aca="false">E207+H207+K207</f>
        <v>3474479.10977433</v>
      </c>
    </row>
    <row r="208" customFormat="false" ht="15" hidden="false" customHeight="false" outlineLevel="0" collapsed="false">
      <c r="A208" s="39" t="n">
        <v>202</v>
      </c>
      <c r="B208" s="39" t="n">
        <f aca="false">ROUNDUP(A208/12,0)</f>
        <v>17</v>
      </c>
      <c r="C208" s="40" t="n">
        <f aca="false">E207*Annahmen!$B$38/12</f>
        <v>1980.60169127093</v>
      </c>
      <c r="D208" s="40" t="n">
        <f aca="false">MIN($C$3-C208,E207)</f>
        <v>1519.39830872907</v>
      </c>
      <c r="E208" s="40" t="n">
        <f aca="false">E207-D208</f>
        <v>949169.413501315</v>
      </c>
      <c r="F208" s="40" t="n">
        <f aca="false">H207*Annahmen!$B$39/12</f>
        <v>1530.23578988935</v>
      </c>
      <c r="G208" s="40" t="n">
        <f aca="false">MIN($F$3-F208,H207)</f>
        <v>1076.43087677732</v>
      </c>
      <c r="H208" s="40" t="n">
        <f aca="false">H207-G208</f>
        <v>611017.885078963</v>
      </c>
      <c r="I208" s="40" t="n">
        <f aca="false">K207*Annahmen!$B$40/12</f>
        <v>6372.31994002848</v>
      </c>
      <c r="J208" s="40" t="n">
        <f aca="false">MIN($I$3-I208,K207)</f>
        <v>4081.17048465132</v>
      </c>
      <c r="K208" s="40" t="n">
        <f aca="false">K207-J208</f>
        <v>1907614.81152389</v>
      </c>
      <c r="L208" s="40" t="n">
        <f aca="false">C208+F208+I208</f>
        <v>9883.15742118875</v>
      </c>
      <c r="M208" s="40" t="n">
        <f aca="false">D208+G208+J208</f>
        <v>6676.99967015771</v>
      </c>
      <c r="N208" s="40" t="n">
        <f aca="false">L208+M208</f>
        <v>16560.1570913465</v>
      </c>
      <c r="O208" s="40" t="n">
        <f aca="false">E208+H208+K208</f>
        <v>3467802.11010417</v>
      </c>
    </row>
    <row r="209" customFormat="false" ht="15" hidden="false" customHeight="false" outlineLevel="0" collapsed="false">
      <c r="A209" s="39" t="n">
        <v>203</v>
      </c>
      <c r="B209" s="39" t="n">
        <f aca="false">ROUNDUP(A209/12,0)</f>
        <v>17</v>
      </c>
      <c r="C209" s="40" t="n">
        <f aca="false">E208*Annahmen!$B$38/12</f>
        <v>1977.43627812774</v>
      </c>
      <c r="D209" s="40" t="n">
        <f aca="false">MIN($C$3-C209,E208)</f>
        <v>1522.56372187226</v>
      </c>
      <c r="E209" s="40" t="n">
        <f aca="false">E208-D209</f>
        <v>947646.849779443</v>
      </c>
      <c r="F209" s="40" t="n">
        <f aca="false">H208*Annahmen!$B$39/12</f>
        <v>1527.54471269741</v>
      </c>
      <c r="G209" s="40" t="n">
        <f aca="false">MIN($F$3-F209,H208)</f>
        <v>1079.12195396926</v>
      </c>
      <c r="H209" s="40" t="n">
        <f aca="false">H208-G209</f>
        <v>609938.763124993</v>
      </c>
      <c r="I209" s="40" t="n">
        <f aca="false">K208*Annahmen!$B$40/12</f>
        <v>6358.71603841298</v>
      </c>
      <c r="J209" s="40" t="n">
        <f aca="false">MIN($I$3-I209,K208)</f>
        <v>4094.77438626683</v>
      </c>
      <c r="K209" s="40" t="n">
        <f aca="false">K208-J209</f>
        <v>1903520.03713763</v>
      </c>
      <c r="L209" s="40" t="n">
        <f aca="false">C209+F209+I209</f>
        <v>9863.69702923812</v>
      </c>
      <c r="M209" s="40" t="n">
        <f aca="false">D209+G209+J209</f>
        <v>6696.46006210835</v>
      </c>
      <c r="N209" s="40" t="n">
        <f aca="false">L209+M209</f>
        <v>16560.1570913465</v>
      </c>
      <c r="O209" s="40" t="n">
        <f aca="false">E209+H209+K209</f>
        <v>3461105.65004206</v>
      </c>
    </row>
    <row r="210" customFormat="false" ht="15" hidden="false" customHeight="false" outlineLevel="0" collapsed="false">
      <c r="A210" s="39" t="n">
        <v>204</v>
      </c>
      <c r="B210" s="39" t="n">
        <f aca="false">ROUNDUP(A210/12,0)</f>
        <v>17</v>
      </c>
      <c r="C210" s="40" t="n">
        <f aca="false">E209*Annahmen!$B$38/12</f>
        <v>1974.26427037384</v>
      </c>
      <c r="D210" s="40" t="n">
        <f aca="false">MIN($C$3-C210,E209)</f>
        <v>1525.73572962616</v>
      </c>
      <c r="E210" s="40" t="n">
        <f aca="false">E209-D210</f>
        <v>946121.114049816</v>
      </c>
      <c r="F210" s="40" t="n">
        <f aca="false">H209*Annahmen!$B$39/12</f>
        <v>1524.84690781248</v>
      </c>
      <c r="G210" s="40" t="n">
        <f aca="false">MIN($F$3-F210,H209)</f>
        <v>1081.81975885418</v>
      </c>
      <c r="H210" s="40" t="n">
        <f aca="false">H209-G210</f>
        <v>608856.943366139</v>
      </c>
      <c r="I210" s="40" t="n">
        <f aca="false">K209*Annahmen!$B$40/12</f>
        <v>6345.06679045875</v>
      </c>
      <c r="J210" s="40" t="n">
        <f aca="false">MIN($I$3-I210,K209)</f>
        <v>4108.42363422105</v>
      </c>
      <c r="K210" s="40" t="n">
        <f aca="false">K209-J210</f>
        <v>1899411.6135034</v>
      </c>
      <c r="L210" s="40" t="n">
        <f aca="false">C210+F210+I210</f>
        <v>9844.17796864508</v>
      </c>
      <c r="M210" s="40" t="n">
        <f aca="false">D210+G210+J210</f>
        <v>6715.97912270139</v>
      </c>
      <c r="N210" s="40" t="n">
        <f aca="false">L210+M210</f>
        <v>16560.1570913465</v>
      </c>
      <c r="O210" s="40" t="n">
        <f aca="false">E210+H210+K210</f>
        <v>3454389.67091936</v>
      </c>
    </row>
    <row r="211" customFormat="false" ht="15" hidden="false" customHeight="false" outlineLevel="0" collapsed="false">
      <c r="A211" s="39" t="n">
        <v>205</v>
      </c>
      <c r="B211" s="39" t="n">
        <f aca="false">ROUNDUP(A211/12,0)</f>
        <v>18</v>
      </c>
      <c r="C211" s="40" t="n">
        <f aca="false">E210*Annahmen!$B$38/12</f>
        <v>1971.08565427045</v>
      </c>
      <c r="D211" s="40" t="n">
        <f aca="false">MIN($C$3-C211,E210)</f>
        <v>1528.91434572955</v>
      </c>
      <c r="E211" s="40" t="n">
        <f aca="false">E210-D211</f>
        <v>944592.199704087</v>
      </c>
      <c r="F211" s="40" t="n">
        <f aca="false">H210*Annahmen!$B$39/12</f>
        <v>1522.14235841535</v>
      </c>
      <c r="G211" s="40" t="n">
        <f aca="false">MIN($F$3-F211,H210)</f>
        <v>1084.52430825132</v>
      </c>
      <c r="H211" s="40" t="n">
        <f aca="false">H210-G211</f>
        <v>607772.419057888</v>
      </c>
      <c r="I211" s="40" t="n">
        <f aca="false">K210*Annahmen!$B$40/12</f>
        <v>6331.37204501135</v>
      </c>
      <c r="J211" s="40" t="n">
        <f aca="false">MIN($I$3-I211,K210)</f>
        <v>4122.11837966845</v>
      </c>
      <c r="K211" s="40" t="n">
        <f aca="false">K210-J211</f>
        <v>1895289.49512374</v>
      </c>
      <c r="L211" s="40" t="n">
        <f aca="false">C211+F211+I211</f>
        <v>9824.60005769715</v>
      </c>
      <c r="M211" s="40" t="n">
        <f aca="false">D211+G211+J211</f>
        <v>6735.55703364932</v>
      </c>
      <c r="N211" s="40" t="n">
        <f aca="false">L211+M211</f>
        <v>16560.1570913465</v>
      </c>
      <c r="O211" s="40" t="n">
        <f aca="false">E211+H211+K211</f>
        <v>3447654.11388571</v>
      </c>
    </row>
    <row r="212" customFormat="false" ht="15" hidden="false" customHeight="false" outlineLevel="0" collapsed="false">
      <c r="A212" s="39" t="n">
        <v>206</v>
      </c>
      <c r="B212" s="39" t="n">
        <f aca="false">ROUNDUP(A212/12,0)</f>
        <v>18</v>
      </c>
      <c r="C212" s="40" t="n">
        <f aca="false">E211*Annahmen!$B$38/12</f>
        <v>1967.90041605018</v>
      </c>
      <c r="D212" s="40" t="n">
        <f aca="false">MIN($C$3-C212,E211)</f>
        <v>1532.09958394982</v>
      </c>
      <c r="E212" s="40" t="n">
        <f aca="false">E211-D212</f>
        <v>943060.100120137</v>
      </c>
      <c r="F212" s="40" t="n">
        <f aca="false">H211*Annahmen!$B$39/12</f>
        <v>1519.43104764472</v>
      </c>
      <c r="G212" s="40" t="n">
        <f aca="false">MIN($F$3-F212,H211)</f>
        <v>1087.23561902195</v>
      </c>
      <c r="H212" s="40" t="n">
        <f aca="false">H211-G212</f>
        <v>606685.183438866</v>
      </c>
      <c r="I212" s="40" t="n">
        <f aca="false">K211*Annahmen!$B$40/12</f>
        <v>6317.63165041245</v>
      </c>
      <c r="J212" s="40" t="n">
        <f aca="false">MIN($I$3-I212,K211)</f>
        <v>4135.85877426735</v>
      </c>
      <c r="K212" s="40" t="n">
        <f aca="false">K211-J212</f>
        <v>1891153.63634947</v>
      </c>
      <c r="L212" s="40" t="n">
        <f aca="false">C212+F212+I212</f>
        <v>9804.96311410735</v>
      </c>
      <c r="M212" s="40" t="n">
        <f aca="false">D212+G212+J212</f>
        <v>6755.19397723911</v>
      </c>
      <c r="N212" s="40" t="n">
        <f aca="false">L212+M212</f>
        <v>16560.1570913465</v>
      </c>
      <c r="O212" s="40" t="n">
        <f aca="false">E212+H212+K212</f>
        <v>3440898.91990847</v>
      </c>
    </row>
    <row r="213" customFormat="false" ht="15" hidden="false" customHeight="false" outlineLevel="0" collapsed="false">
      <c r="A213" s="39" t="n">
        <v>207</v>
      </c>
      <c r="B213" s="39" t="n">
        <f aca="false">ROUNDUP(A213/12,0)</f>
        <v>18</v>
      </c>
      <c r="C213" s="40" t="n">
        <f aca="false">E212*Annahmen!$B$38/12</f>
        <v>1964.70854191695</v>
      </c>
      <c r="D213" s="40" t="n">
        <f aca="false">MIN($C$3-C213,E212)</f>
        <v>1535.29145808305</v>
      </c>
      <c r="E213" s="40" t="n">
        <f aca="false">E212-D213</f>
        <v>941524.808662054</v>
      </c>
      <c r="F213" s="40" t="n">
        <f aca="false">H212*Annahmen!$B$39/12</f>
        <v>1516.71295859717</v>
      </c>
      <c r="G213" s="40" t="n">
        <f aca="false">MIN($F$3-F213,H212)</f>
        <v>1089.9537080695</v>
      </c>
      <c r="H213" s="40" t="n">
        <f aca="false">H212-G213</f>
        <v>605595.229730796</v>
      </c>
      <c r="I213" s="40" t="n">
        <f aca="false">K212*Annahmen!$B$40/12</f>
        <v>6303.84545449823</v>
      </c>
      <c r="J213" s="40" t="n">
        <f aca="false">MIN($I$3-I213,K212)</f>
        <v>4149.64497018157</v>
      </c>
      <c r="K213" s="40" t="n">
        <f aca="false">K212-J213</f>
        <v>1887003.99137929</v>
      </c>
      <c r="L213" s="40" t="n">
        <f aca="false">C213+F213+I213</f>
        <v>9785.26695501235</v>
      </c>
      <c r="M213" s="40" t="n">
        <f aca="false">D213+G213+J213</f>
        <v>6774.89013633412</v>
      </c>
      <c r="N213" s="40" t="n">
        <f aca="false">L213+M213</f>
        <v>16560.1570913465</v>
      </c>
      <c r="O213" s="40" t="n">
        <f aca="false">E213+H213+K213</f>
        <v>3434124.02977214</v>
      </c>
    </row>
    <row r="214" customFormat="false" ht="15" hidden="false" customHeight="false" outlineLevel="0" collapsed="false">
      <c r="A214" s="39" t="n">
        <v>208</v>
      </c>
      <c r="B214" s="39" t="n">
        <f aca="false">ROUNDUP(A214/12,0)</f>
        <v>18</v>
      </c>
      <c r="C214" s="40" t="n">
        <f aca="false">E213*Annahmen!$B$38/12</f>
        <v>1961.51001804595</v>
      </c>
      <c r="D214" s="40" t="n">
        <f aca="false">MIN($C$3-C214,E213)</f>
        <v>1538.48998195405</v>
      </c>
      <c r="E214" s="40" t="n">
        <f aca="false">E213-D214</f>
        <v>939986.3186801</v>
      </c>
      <c r="F214" s="40" t="n">
        <f aca="false">H213*Annahmen!$B$39/12</f>
        <v>1513.98807432699</v>
      </c>
      <c r="G214" s="40" t="n">
        <f aca="false">MIN($F$3-F214,H213)</f>
        <v>1092.67859233967</v>
      </c>
      <c r="H214" s="40" t="n">
        <f aca="false">H213-G214</f>
        <v>604502.551138457</v>
      </c>
      <c r="I214" s="40" t="n">
        <f aca="false">K213*Annahmen!$B$40/12</f>
        <v>6290.01330459762</v>
      </c>
      <c r="J214" s="40" t="n">
        <f aca="false">MIN($I$3-I214,K213)</f>
        <v>4163.47712008218</v>
      </c>
      <c r="K214" s="40" t="n">
        <f aca="false">K213-J214</f>
        <v>1882840.5142592</v>
      </c>
      <c r="L214" s="40" t="n">
        <f aca="false">C214+F214+I214</f>
        <v>9765.51139697056</v>
      </c>
      <c r="M214" s="40" t="n">
        <f aca="false">D214+G214+J214</f>
        <v>6794.64569437591</v>
      </c>
      <c r="N214" s="40" t="n">
        <f aca="false">L214+M214</f>
        <v>16560.1570913465</v>
      </c>
      <c r="O214" s="40" t="n">
        <f aca="false">E214+H214+K214</f>
        <v>3427329.38407776</v>
      </c>
    </row>
    <row r="215" customFormat="false" ht="15" hidden="false" customHeight="false" outlineLevel="0" collapsed="false">
      <c r="A215" s="39" t="n">
        <v>209</v>
      </c>
      <c r="B215" s="39" t="n">
        <f aca="false">ROUNDUP(A215/12,0)</f>
        <v>18</v>
      </c>
      <c r="C215" s="40" t="n">
        <f aca="false">E214*Annahmen!$B$38/12</f>
        <v>1958.30483058354</v>
      </c>
      <c r="D215" s="40" t="n">
        <f aca="false">MIN($C$3-C215,E214)</f>
        <v>1541.69516941646</v>
      </c>
      <c r="E215" s="40" t="n">
        <f aca="false">E214-D215</f>
        <v>938444.623510683</v>
      </c>
      <c r="F215" s="40" t="n">
        <f aca="false">H214*Annahmen!$B$39/12</f>
        <v>1511.25637784614</v>
      </c>
      <c r="G215" s="40" t="n">
        <f aca="false">MIN($F$3-F215,H214)</f>
        <v>1095.41028882052</v>
      </c>
      <c r="H215" s="40" t="n">
        <f aca="false">H214-G215</f>
        <v>603407.140849636</v>
      </c>
      <c r="I215" s="40" t="n">
        <f aca="false">K214*Annahmen!$B$40/12</f>
        <v>6276.13504753068</v>
      </c>
      <c r="J215" s="40" t="n">
        <f aca="false">MIN($I$3-I215,K214)</f>
        <v>4177.35537714912</v>
      </c>
      <c r="K215" s="40" t="n">
        <f aca="false">K214-J215</f>
        <v>1878663.15888206</v>
      </c>
      <c r="L215" s="40" t="n">
        <f aca="false">C215+F215+I215</f>
        <v>9745.69625596037</v>
      </c>
      <c r="M215" s="40" t="n">
        <f aca="false">D215+G215+J215</f>
        <v>6814.4608353861</v>
      </c>
      <c r="N215" s="40" t="n">
        <f aca="false">L215+M215</f>
        <v>16560.1570913465</v>
      </c>
      <c r="O215" s="40" t="n">
        <f aca="false">E215+H215+K215</f>
        <v>3420514.92324238</v>
      </c>
    </row>
    <row r="216" customFormat="false" ht="15" hidden="false" customHeight="false" outlineLevel="0" collapsed="false">
      <c r="A216" s="39" t="n">
        <v>210</v>
      </c>
      <c r="B216" s="39" t="n">
        <f aca="false">ROUNDUP(A216/12,0)</f>
        <v>18</v>
      </c>
      <c r="C216" s="40" t="n">
        <f aca="false">E215*Annahmen!$B$38/12</f>
        <v>1955.09296564726</v>
      </c>
      <c r="D216" s="40" t="n">
        <f aca="false">MIN($C$3-C216,E215)</f>
        <v>1544.90703435274</v>
      </c>
      <c r="E216" s="40" t="n">
        <f aca="false">E215-D216</f>
        <v>936899.716476331</v>
      </c>
      <c r="F216" s="40" t="n">
        <f aca="false">H215*Annahmen!$B$39/12</f>
        <v>1508.51785212409</v>
      </c>
      <c r="G216" s="40" t="n">
        <f aca="false">MIN($F$3-F216,H215)</f>
        <v>1098.14881454257</v>
      </c>
      <c r="H216" s="40" t="n">
        <f aca="false">H215-G216</f>
        <v>602308.992035094</v>
      </c>
      <c r="I216" s="40" t="n">
        <f aca="false">K215*Annahmen!$B$40/12</f>
        <v>6262.21052960685</v>
      </c>
      <c r="J216" s="40" t="n">
        <f aca="false">MIN($I$3-I216,K215)</f>
        <v>4191.27989507295</v>
      </c>
      <c r="K216" s="40" t="n">
        <f aca="false">K215-J216</f>
        <v>1874471.87898698</v>
      </c>
      <c r="L216" s="40" t="n">
        <f aca="false">C216+F216+I216</f>
        <v>9725.8213473782</v>
      </c>
      <c r="M216" s="40" t="n">
        <f aca="false">D216+G216+J216</f>
        <v>6834.33574396827</v>
      </c>
      <c r="N216" s="40" t="n">
        <f aca="false">L216+M216</f>
        <v>16560.1570913465</v>
      </c>
      <c r="O216" s="40" t="n">
        <f aca="false">E216+H216+K216</f>
        <v>3413680.58749841</v>
      </c>
    </row>
    <row r="217" customFormat="false" ht="15" hidden="false" customHeight="false" outlineLevel="0" collapsed="false">
      <c r="A217" s="39" t="n">
        <v>211</v>
      </c>
      <c r="B217" s="39" t="n">
        <f aca="false">ROUNDUP(A217/12,0)</f>
        <v>18</v>
      </c>
      <c r="C217" s="40" t="n">
        <f aca="false">E216*Annahmen!$B$38/12</f>
        <v>1951.87440932569</v>
      </c>
      <c r="D217" s="40" t="n">
        <f aca="false">MIN($C$3-C217,E216)</f>
        <v>1548.12559067431</v>
      </c>
      <c r="E217" s="40" t="n">
        <f aca="false">E216-D217</f>
        <v>935351.590885656</v>
      </c>
      <c r="F217" s="40" t="n">
        <f aca="false">H216*Annahmen!$B$39/12</f>
        <v>1505.77248008773</v>
      </c>
      <c r="G217" s="40" t="n">
        <f aca="false">MIN($F$3-F217,H216)</f>
        <v>1100.89418657893</v>
      </c>
      <c r="H217" s="40" t="n">
        <f aca="false">H216-G217</f>
        <v>601208.097848515</v>
      </c>
      <c r="I217" s="40" t="n">
        <f aca="false">K216*Annahmen!$B$40/12</f>
        <v>6248.23959662328</v>
      </c>
      <c r="J217" s="40" t="n">
        <f aca="false">MIN($I$3-I217,K216)</f>
        <v>4205.25082805653</v>
      </c>
      <c r="K217" s="40" t="n">
        <f aca="false">K216-J217</f>
        <v>1870266.62815893</v>
      </c>
      <c r="L217" s="40" t="n">
        <f aca="false">C217+F217+I217</f>
        <v>9705.8864860367</v>
      </c>
      <c r="M217" s="40" t="n">
        <f aca="false">D217+G217+J217</f>
        <v>6854.27060530977</v>
      </c>
      <c r="N217" s="40" t="n">
        <f aca="false">L217+M217</f>
        <v>16560.1570913465</v>
      </c>
      <c r="O217" s="40" t="n">
        <f aca="false">E217+H217+K217</f>
        <v>3406826.3168931</v>
      </c>
    </row>
    <row r="218" customFormat="false" ht="15" hidden="false" customHeight="false" outlineLevel="0" collapsed="false">
      <c r="A218" s="39" t="n">
        <v>212</v>
      </c>
      <c r="B218" s="39" t="n">
        <f aca="false">ROUNDUP(A218/12,0)</f>
        <v>18</v>
      </c>
      <c r="C218" s="40" t="n">
        <f aca="false">E217*Annahmen!$B$38/12</f>
        <v>1948.64914767845</v>
      </c>
      <c r="D218" s="40" t="n">
        <f aca="false">MIN($C$3-C218,E217)</f>
        <v>1551.35085232155</v>
      </c>
      <c r="E218" s="40" t="n">
        <f aca="false">E217-D218</f>
        <v>933800.240033335</v>
      </c>
      <c r="F218" s="40" t="n">
        <f aca="false">H217*Annahmen!$B$39/12</f>
        <v>1503.02024462129</v>
      </c>
      <c r="G218" s="40" t="n">
        <f aca="false">MIN($F$3-F218,H217)</f>
        <v>1103.64642204538</v>
      </c>
      <c r="H218" s="40" t="n">
        <f aca="false">H217-G218</f>
        <v>600104.451426469</v>
      </c>
      <c r="I218" s="40" t="n">
        <f aca="false">K217*Annahmen!$B$40/12</f>
        <v>6234.22209386309</v>
      </c>
      <c r="J218" s="40" t="n">
        <f aca="false">MIN($I$3-I218,K217)</f>
        <v>4219.26833081672</v>
      </c>
      <c r="K218" s="40" t="n">
        <f aca="false">K217-J218</f>
        <v>1866047.35982811</v>
      </c>
      <c r="L218" s="40" t="n">
        <f aca="false">C218+F218+I218</f>
        <v>9685.89148616282</v>
      </c>
      <c r="M218" s="40" t="n">
        <f aca="false">D218+G218+J218</f>
        <v>6874.26560518364</v>
      </c>
      <c r="N218" s="40" t="n">
        <f aca="false">L218+M218</f>
        <v>16560.1570913465</v>
      </c>
      <c r="O218" s="40" t="n">
        <f aca="false">E218+H218+K218</f>
        <v>3399952.05128791</v>
      </c>
    </row>
    <row r="219" customFormat="false" ht="15" hidden="false" customHeight="false" outlineLevel="0" collapsed="false">
      <c r="A219" s="39" t="n">
        <v>213</v>
      </c>
      <c r="B219" s="39" t="n">
        <f aca="false">ROUNDUP(A219/12,0)</f>
        <v>18</v>
      </c>
      <c r="C219" s="40" t="n">
        <f aca="false">E218*Annahmen!$B$38/12</f>
        <v>1945.41716673611</v>
      </c>
      <c r="D219" s="40" t="n">
        <f aca="false">MIN($C$3-C219,E218)</f>
        <v>1554.58283326388</v>
      </c>
      <c r="E219" s="40" t="n">
        <f aca="false">E218-D219</f>
        <v>932245.657200071</v>
      </c>
      <c r="F219" s="40" t="n">
        <f aca="false">H218*Annahmen!$B$39/12</f>
        <v>1500.26112856617</v>
      </c>
      <c r="G219" s="40" t="n">
        <f aca="false">MIN($F$3-F219,H218)</f>
        <v>1106.40553810049</v>
      </c>
      <c r="H219" s="40" t="n">
        <f aca="false">H218-G219</f>
        <v>598998.045888369</v>
      </c>
      <c r="I219" s="40" t="n">
        <f aca="false">K218*Annahmen!$B$40/12</f>
        <v>6220.1578660937</v>
      </c>
      <c r="J219" s="40" t="n">
        <f aca="false">MIN($I$3-I219,K218)</f>
        <v>4233.3325585861</v>
      </c>
      <c r="K219" s="40" t="n">
        <f aca="false">K218-J219</f>
        <v>1861814.02726952</v>
      </c>
      <c r="L219" s="40" t="n">
        <f aca="false">C219+F219+I219</f>
        <v>9665.83616139599</v>
      </c>
      <c r="M219" s="40" t="n">
        <f aca="false">D219+G219+J219</f>
        <v>6894.32092995048</v>
      </c>
      <c r="N219" s="40" t="n">
        <f aca="false">L219+M219</f>
        <v>16560.1570913465</v>
      </c>
      <c r="O219" s="40" t="n">
        <f aca="false">E219+H219+K219</f>
        <v>3393057.73035796</v>
      </c>
    </row>
    <row r="220" customFormat="false" ht="15" hidden="false" customHeight="false" outlineLevel="0" collapsed="false">
      <c r="A220" s="39" t="n">
        <v>214</v>
      </c>
      <c r="B220" s="39" t="n">
        <f aca="false">ROUNDUP(A220/12,0)</f>
        <v>18</v>
      </c>
      <c r="C220" s="40" t="n">
        <f aca="false">E219*Annahmen!$B$38/12</f>
        <v>1942.17845250015</v>
      </c>
      <c r="D220" s="40" t="n">
        <f aca="false">MIN($C$3-C220,E219)</f>
        <v>1557.82154749985</v>
      </c>
      <c r="E220" s="40" t="n">
        <f aca="false">E219-D220</f>
        <v>930687.835652571</v>
      </c>
      <c r="F220" s="40" t="n">
        <f aca="false">H219*Annahmen!$B$39/12</f>
        <v>1497.49511472092</v>
      </c>
      <c r="G220" s="40" t="n">
        <f aca="false">MIN($F$3-F220,H219)</f>
        <v>1109.17155194574</v>
      </c>
      <c r="H220" s="40" t="n">
        <f aca="false">H219-G220</f>
        <v>597888.874336423</v>
      </c>
      <c r="I220" s="40" t="n">
        <f aca="false">K219*Annahmen!$B$40/12</f>
        <v>6206.04675756508</v>
      </c>
      <c r="J220" s="40" t="n">
        <f aca="false">MIN($I$3-I220,K219)</f>
        <v>4247.44366711472</v>
      </c>
      <c r="K220" s="40" t="n">
        <f aca="false">K219-J220</f>
        <v>1857566.58360241</v>
      </c>
      <c r="L220" s="40" t="n">
        <f aca="false">C220+F220+I220</f>
        <v>9645.72032478615</v>
      </c>
      <c r="M220" s="40" t="n">
        <f aca="false">D220+G220+J220</f>
        <v>6914.43676656032</v>
      </c>
      <c r="N220" s="40" t="n">
        <f aca="false">L220+M220</f>
        <v>16560.1570913465</v>
      </c>
      <c r="O220" s="40" t="n">
        <f aca="false">E220+H220+K220</f>
        <v>3386143.2935914</v>
      </c>
    </row>
    <row r="221" customFormat="false" ht="15" hidden="false" customHeight="false" outlineLevel="0" collapsed="false">
      <c r="A221" s="39" t="n">
        <v>215</v>
      </c>
      <c r="B221" s="39" t="n">
        <f aca="false">ROUNDUP(A221/12,0)</f>
        <v>18</v>
      </c>
      <c r="C221" s="40" t="n">
        <f aca="false">E220*Annahmen!$B$38/12</f>
        <v>1938.93299094286</v>
      </c>
      <c r="D221" s="40" t="n">
        <f aca="false">MIN($C$3-C221,E220)</f>
        <v>1561.06700905714</v>
      </c>
      <c r="E221" s="40" t="n">
        <f aca="false">E220-D221</f>
        <v>929126.768643514</v>
      </c>
      <c r="F221" s="40" t="n">
        <f aca="false">H220*Annahmen!$B$39/12</f>
        <v>1494.72218584106</v>
      </c>
      <c r="G221" s="40" t="n">
        <f aca="false">MIN($F$3-F221,H220)</f>
        <v>1111.94448082561</v>
      </c>
      <c r="H221" s="40" t="n">
        <f aca="false">H220-G221</f>
        <v>596776.929855598</v>
      </c>
      <c r="I221" s="40" t="n">
        <f aca="false">K220*Annahmen!$B$40/12</f>
        <v>6191.88861200803</v>
      </c>
      <c r="J221" s="40" t="n">
        <f aca="false">MIN($I$3-I221,K220)</f>
        <v>4261.60181267177</v>
      </c>
      <c r="K221" s="40" t="n">
        <f aca="false">K220-J221</f>
        <v>1853304.98178974</v>
      </c>
      <c r="L221" s="40" t="n">
        <f aca="false">C221+F221+I221</f>
        <v>9625.54378879194</v>
      </c>
      <c r="M221" s="40" t="n">
        <f aca="false">D221+G221+J221</f>
        <v>6934.61330255452</v>
      </c>
      <c r="N221" s="40" t="n">
        <f aca="false">L221+M221</f>
        <v>16560.1570913465</v>
      </c>
      <c r="O221" s="40" t="n">
        <f aca="false">E221+H221+K221</f>
        <v>3379208.68028885</v>
      </c>
    </row>
    <row r="222" customFormat="false" ht="15" hidden="false" customHeight="false" outlineLevel="0" collapsed="false">
      <c r="A222" s="39" t="n">
        <v>216</v>
      </c>
      <c r="B222" s="39" t="n">
        <f aca="false">ROUNDUP(A222/12,0)</f>
        <v>18</v>
      </c>
      <c r="C222" s="40" t="n">
        <f aca="false">E221*Annahmen!$B$38/12</f>
        <v>1935.68076800732</v>
      </c>
      <c r="D222" s="40" t="n">
        <f aca="false">MIN($C$3-C222,E221)</f>
        <v>1564.31923199268</v>
      </c>
      <c r="E222" s="40" t="n">
        <f aca="false">E221-D222</f>
        <v>927562.449411521</v>
      </c>
      <c r="F222" s="40" t="n">
        <f aca="false">H221*Annahmen!$B$39/12</f>
        <v>1491.94232463899</v>
      </c>
      <c r="G222" s="40" t="n">
        <f aca="false">MIN($F$3-F222,H221)</f>
        <v>1114.72434202767</v>
      </c>
      <c r="H222" s="40" t="n">
        <f aca="false">H221-G222</f>
        <v>595662.20551357</v>
      </c>
      <c r="I222" s="40" t="n">
        <f aca="false">K221*Annahmen!$B$40/12</f>
        <v>6177.68327263246</v>
      </c>
      <c r="J222" s="40" t="n">
        <f aca="false">MIN($I$3-I222,K221)</f>
        <v>4275.80715204735</v>
      </c>
      <c r="K222" s="40" t="n">
        <f aca="false">K221-J222</f>
        <v>1849029.17463769</v>
      </c>
      <c r="L222" s="40" t="n">
        <f aca="false">C222+F222+I222</f>
        <v>9605.30636527877</v>
      </c>
      <c r="M222" s="40" t="n">
        <f aca="false">D222+G222+J222</f>
        <v>6954.85072606769</v>
      </c>
      <c r="N222" s="40" t="n">
        <f aca="false">L222+M222</f>
        <v>16560.1570913465</v>
      </c>
      <c r="O222" s="40" t="n">
        <f aca="false">E222+H222+K222</f>
        <v>3372253.82956278</v>
      </c>
    </row>
    <row r="223" customFormat="false" ht="15" hidden="false" customHeight="false" outlineLevel="0" collapsed="false">
      <c r="A223" s="39" t="n">
        <v>217</v>
      </c>
      <c r="B223" s="39" t="n">
        <f aca="false">ROUNDUP(A223/12,0)</f>
        <v>19</v>
      </c>
      <c r="C223" s="40" t="n">
        <f aca="false">E222*Annahmen!$B$38/12</f>
        <v>1932.42176960734</v>
      </c>
      <c r="D223" s="40" t="n">
        <f aca="false">MIN($C$3-C223,E222)</f>
        <v>1567.57823039266</v>
      </c>
      <c r="E223" s="40" t="n">
        <f aca="false">E222-D223</f>
        <v>925994.871181128</v>
      </c>
      <c r="F223" s="40" t="n">
        <f aca="false">H222*Annahmen!$B$39/12</f>
        <v>1489.15551378392</v>
      </c>
      <c r="G223" s="40" t="n">
        <f aca="false">MIN($F$3-F223,H222)</f>
        <v>1117.51115288274</v>
      </c>
      <c r="H223" s="40" t="n">
        <f aca="false">H222-G223</f>
        <v>594544.694360687</v>
      </c>
      <c r="I223" s="40" t="n">
        <f aca="false">K222*Annahmen!$B$40/12</f>
        <v>6163.43058212563</v>
      </c>
      <c r="J223" s="40" t="n">
        <f aca="false">MIN($I$3-I223,K222)</f>
        <v>4290.05984255417</v>
      </c>
      <c r="K223" s="40" t="n">
        <f aca="false">K222-J223</f>
        <v>1844739.11479514</v>
      </c>
      <c r="L223" s="40" t="n">
        <f aca="false">C223+F223+I223</f>
        <v>9585.00786551689</v>
      </c>
      <c r="M223" s="40" t="n">
        <f aca="false">D223+G223+J223</f>
        <v>6975.14922582957</v>
      </c>
      <c r="N223" s="40" t="n">
        <f aca="false">L223+M223</f>
        <v>16560.1570913465</v>
      </c>
      <c r="O223" s="40" t="n">
        <f aca="false">E223+H223+K223</f>
        <v>3365278.68033695</v>
      </c>
    </row>
    <row r="224" customFormat="false" ht="15" hidden="false" customHeight="false" outlineLevel="0" collapsed="false">
      <c r="A224" s="39" t="n">
        <v>218</v>
      </c>
      <c r="B224" s="39" t="n">
        <f aca="false">ROUNDUP(A224/12,0)</f>
        <v>19</v>
      </c>
      <c r="C224" s="40" t="n">
        <f aca="false">E223*Annahmen!$B$38/12</f>
        <v>1929.15598162735</v>
      </c>
      <c r="D224" s="40" t="n">
        <f aca="false">MIN($C$3-C224,E223)</f>
        <v>1570.84401837265</v>
      </c>
      <c r="E224" s="40" t="n">
        <f aca="false">E223-D224</f>
        <v>924424.027162756</v>
      </c>
      <c r="F224" s="40" t="n">
        <f aca="false">H223*Annahmen!$B$39/12</f>
        <v>1486.36173590172</v>
      </c>
      <c r="G224" s="40" t="n">
        <f aca="false">MIN($F$3-F224,H223)</f>
        <v>1120.30493076495</v>
      </c>
      <c r="H224" s="40" t="n">
        <f aca="false">H223-G224</f>
        <v>593424.389429922</v>
      </c>
      <c r="I224" s="40" t="n">
        <f aca="false">K223*Annahmen!$B$40/12</f>
        <v>6149.13038265045</v>
      </c>
      <c r="J224" s="40" t="n">
        <f aca="false">MIN($I$3-I224,K223)</f>
        <v>4304.36004202935</v>
      </c>
      <c r="K224" s="40" t="n">
        <f aca="false">K223-J224</f>
        <v>1840434.75475311</v>
      </c>
      <c r="L224" s="40" t="n">
        <f aca="false">C224+F224+I224</f>
        <v>9564.64810017952</v>
      </c>
      <c r="M224" s="40" t="n">
        <f aca="false">D224+G224+J224</f>
        <v>6995.50899116695</v>
      </c>
      <c r="N224" s="40" t="n">
        <f aca="false">L224+M224</f>
        <v>16560.1570913465</v>
      </c>
      <c r="O224" s="40" t="n">
        <f aca="false">E224+H224+K224</f>
        <v>3358283.17134578</v>
      </c>
    </row>
    <row r="225" customFormat="false" ht="15" hidden="false" customHeight="false" outlineLevel="0" collapsed="false">
      <c r="A225" s="39" t="n">
        <v>219</v>
      </c>
      <c r="B225" s="39" t="n">
        <f aca="false">ROUNDUP(A225/12,0)</f>
        <v>19</v>
      </c>
      <c r="C225" s="40" t="n">
        <f aca="false">E224*Annahmen!$B$38/12</f>
        <v>1925.88338992241</v>
      </c>
      <c r="D225" s="40" t="n">
        <f aca="false">MIN($C$3-C225,E224)</f>
        <v>1574.11661007759</v>
      </c>
      <c r="E225" s="40" t="n">
        <f aca="false">E224-D225</f>
        <v>922849.910552678</v>
      </c>
      <c r="F225" s="40" t="n">
        <f aca="false">H224*Annahmen!$B$39/12</f>
        <v>1483.56097357481</v>
      </c>
      <c r="G225" s="40" t="n">
        <f aca="false">MIN($F$3-F225,H224)</f>
        <v>1123.10569309186</v>
      </c>
      <c r="H225" s="40" t="n">
        <f aca="false">H224-G225</f>
        <v>592301.28373683</v>
      </c>
      <c r="I225" s="40" t="n">
        <f aca="false">K224*Annahmen!$B$40/12</f>
        <v>6134.78251584369</v>
      </c>
      <c r="J225" s="40" t="n">
        <f aca="false">MIN($I$3-I225,K224)</f>
        <v>4318.70790883611</v>
      </c>
      <c r="K225" s="40" t="n">
        <f aca="false">K224-J225</f>
        <v>1836116.04684427</v>
      </c>
      <c r="L225" s="40" t="n">
        <f aca="false">C225+F225+I225</f>
        <v>9544.2268793409</v>
      </c>
      <c r="M225" s="40" t="n">
        <f aca="false">D225+G225+J225</f>
        <v>7015.93021200556</v>
      </c>
      <c r="N225" s="40" t="n">
        <f aca="false">L225+M225</f>
        <v>16560.1570913465</v>
      </c>
      <c r="O225" s="40" t="n">
        <f aca="false">E225+H225+K225</f>
        <v>3351267.24113378</v>
      </c>
    </row>
    <row r="226" customFormat="false" ht="15" hidden="false" customHeight="false" outlineLevel="0" collapsed="false">
      <c r="A226" s="39" t="n">
        <v>220</v>
      </c>
      <c r="B226" s="39" t="n">
        <f aca="false">ROUNDUP(A226/12,0)</f>
        <v>19</v>
      </c>
      <c r="C226" s="40" t="n">
        <f aca="false">E225*Annahmen!$B$38/12</f>
        <v>1922.60398031808</v>
      </c>
      <c r="D226" s="40" t="n">
        <f aca="false">MIN($C$3-C226,E225)</f>
        <v>1577.39601968192</v>
      </c>
      <c r="E226" s="40" t="n">
        <f aca="false">E225-D226</f>
        <v>921272.514532996</v>
      </c>
      <c r="F226" s="40" t="n">
        <f aca="false">H225*Annahmen!$B$39/12</f>
        <v>1480.75320934208</v>
      </c>
      <c r="G226" s="40" t="n">
        <f aca="false">MIN($F$3-F226,H225)</f>
        <v>1125.91345732459</v>
      </c>
      <c r="H226" s="40" t="n">
        <f aca="false">H225-G226</f>
        <v>591175.370279506</v>
      </c>
      <c r="I226" s="40" t="n">
        <f aca="false">K225*Annahmen!$B$40/12</f>
        <v>6120.38682281423</v>
      </c>
      <c r="J226" s="40" t="n">
        <f aca="false">MIN($I$3-I226,K225)</f>
        <v>4333.10360186557</v>
      </c>
      <c r="K226" s="40" t="n">
        <f aca="false">K225-J226</f>
        <v>1831782.9432424</v>
      </c>
      <c r="L226" s="40" t="n">
        <f aca="false">C226+F226+I226</f>
        <v>9523.74401247439</v>
      </c>
      <c r="M226" s="40" t="n">
        <f aca="false">D226+G226+J226</f>
        <v>7036.41307887208</v>
      </c>
      <c r="N226" s="40" t="n">
        <f aca="false">L226+M226</f>
        <v>16560.1570913465</v>
      </c>
      <c r="O226" s="40" t="n">
        <f aca="false">E226+H226+K226</f>
        <v>3344230.82805491</v>
      </c>
    </row>
    <row r="227" customFormat="false" ht="15" hidden="false" customHeight="false" outlineLevel="0" collapsed="false">
      <c r="A227" s="39" t="n">
        <v>221</v>
      </c>
      <c r="B227" s="39" t="n">
        <f aca="false">ROUNDUP(A227/12,0)</f>
        <v>19</v>
      </c>
      <c r="C227" s="40" t="n">
        <f aca="false">E226*Annahmen!$B$38/12</f>
        <v>1919.31773861041</v>
      </c>
      <c r="D227" s="40" t="n">
        <f aca="false">MIN($C$3-C227,E226)</f>
        <v>1580.68226138959</v>
      </c>
      <c r="E227" s="40" t="n">
        <f aca="false">E226-D227</f>
        <v>919691.832271607</v>
      </c>
      <c r="F227" s="40" t="n">
        <f aca="false">H226*Annahmen!$B$39/12</f>
        <v>1477.93842569876</v>
      </c>
      <c r="G227" s="40" t="n">
        <f aca="false">MIN($F$3-F227,H226)</f>
        <v>1128.7282409679</v>
      </c>
      <c r="H227" s="40" t="n">
        <f aca="false">H226-G227</f>
        <v>590046.642038538</v>
      </c>
      <c r="I227" s="40" t="n">
        <f aca="false">K226*Annahmen!$B$40/12</f>
        <v>6105.94314414135</v>
      </c>
      <c r="J227" s="40" t="n">
        <f aca="false">MIN($I$3-I227,K226)</f>
        <v>4347.54728053845</v>
      </c>
      <c r="K227" s="40" t="n">
        <f aca="false">K226-J227</f>
        <v>1827435.39596187</v>
      </c>
      <c r="L227" s="40" t="n">
        <f aca="false">C227+F227+I227</f>
        <v>9503.19930845052</v>
      </c>
      <c r="M227" s="40" t="n">
        <f aca="false">D227+G227+J227</f>
        <v>7056.95778289595</v>
      </c>
      <c r="N227" s="40" t="n">
        <f aca="false">L227+M227</f>
        <v>16560.1570913465</v>
      </c>
      <c r="O227" s="40" t="n">
        <f aca="false">E227+H227+K227</f>
        <v>3337173.87027201</v>
      </c>
    </row>
    <row r="228" customFormat="false" ht="15" hidden="false" customHeight="false" outlineLevel="0" collapsed="false">
      <c r="A228" s="39" t="n">
        <v>222</v>
      </c>
      <c r="B228" s="39" t="n">
        <f aca="false">ROUNDUP(A228/12,0)</f>
        <v>19</v>
      </c>
      <c r="C228" s="40" t="n">
        <f aca="false">E227*Annahmen!$B$38/12</f>
        <v>1916.02465056585</v>
      </c>
      <c r="D228" s="40" t="n">
        <f aca="false">MIN($C$3-C228,E227)</f>
        <v>1583.97534943415</v>
      </c>
      <c r="E228" s="40" t="n">
        <f aca="false">E227-D228</f>
        <v>918107.856922173</v>
      </c>
      <c r="F228" s="40" t="n">
        <f aca="false">H227*Annahmen!$B$39/12</f>
        <v>1475.11660509634</v>
      </c>
      <c r="G228" s="40" t="n">
        <f aca="false">MIN($F$3-F228,H227)</f>
        <v>1131.55006157032</v>
      </c>
      <c r="H228" s="40" t="n">
        <f aca="false">H227-G228</f>
        <v>588915.091976968</v>
      </c>
      <c r="I228" s="40" t="n">
        <f aca="false">K227*Annahmen!$B$40/12</f>
        <v>6091.45131987289</v>
      </c>
      <c r="J228" s="40" t="n">
        <f aca="false">MIN($I$3-I228,K227)</f>
        <v>4362.03910480692</v>
      </c>
      <c r="K228" s="40" t="n">
        <f aca="false">K227-J228</f>
        <v>1823073.35685706</v>
      </c>
      <c r="L228" s="40" t="n">
        <f aca="false">C228+F228+I228</f>
        <v>9482.59257553508</v>
      </c>
      <c r="M228" s="40" t="n">
        <f aca="false">D228+G228+J228</f>
        <v>7077.56451581139</v>
      </c>
      <c r="N228" s="40" t="n">
        <f aca="false">L228+M228</f>
        <v>16560.1570913465</v>
      </c>
      <c r="O228" s="40" t="n">
        <f aca="false">E228+H228+K228</f>
        <v>3330096.3057562</v>
      </c>
    </row>
    <row r="229" customFormat="false" ht="15" hidden="false" customHeight="false" outlineLevel="0" collapsed="false">
      <c r="A229" s="39" t="n">
        <v>223</v>
      </c>
      <c r="B229" s="39" t="n">
        <f aca="false">ROUNDUP(A229/12,0)</f>
        <v>19</v>
      </c>
      <c r="C229" s="40" t="n">
        <f aca="false">E228*Annahmen!$B$38/12</f>
        <v>1912.72470192119</v>
      </c>
      <c r="D229" s="40" t="n">
        <f aca="false">MIN($C$3-C229,E228)</f>
        <v>1587.27529807881</v>
      </c>
      <c r="E229" s="40" t="n">
        <f aca="false">E228-D229</f>
        <v>916520.581624094</v>
      </c>
      <c r="F229" s="40" t="n">
        <f aca="false">H228*Annahmen!$B$39/12</f>
        <v>1472.28772994242</v>
      </c>
      <c r="G229" s="40" t="n">
        <f aca="false">MIN($F$3-F229,H228)</f>
        <v>1134.37893672425</v>
      </c>
      <c r="H229" s="40" t="n">
        <f aca="false">H228-G229</f>
        <v>587780.713040243</v>
      </c>
      <c r="I229" s="40" t="n">
        <f aca="false">K228*Annahmen!$B$40/12</f>
        <v>6076.91118952353</v>
      </c>
      <c r="J229" s="40" t="n">
        <f aca="false">MIN($I$3-I229,K228)</f>
        <v>4376.57923515627</v>
      </c>
      <c r="K229" s="40" t="n">
        <f aca="false">K228-J229</f>
        <v>1818696.7776219</v>
      </c>
      <c r="L229" s="40" t="n">
        <f aca="false">C229+F229+I229</f>
        <v>9461.92362138714</v>
      </c>
      <c r="M229" s="40" t="n">
        <f aca="false">D229+G229+J229</f>
        <v>7098.23346995932</v>
      </c>
      <c r="N229" s="40" t="n">
        <f aca="false">L229+M229</f>
        <v>16560.1570913465</v>
      </c>
      <c r="O229" s="40" t="n">
        <f aca="false">E229+H229+K229</f>
        <v>3322998.07228624</v>
      </c>
    </row>
    <row r="230" customFormat="false" ht="15" hidden="false" customHeight="false" outlineLevel="0" collapsed="false">
      <c r="A230" s="39" t="n">
        <v>224</v>
      </c>
      <c r="B230" s="39" t="n">
        <f aca="false">ROUNDUP(A230/12,0)</f>
        <v>19</v>
      </c>
      <c r="C230" s="40" t="n">
        <f aca="false">E229*Annahmen!$B$38/12</f>
        <v>1909.41787838353</v>
      </c>
      <c r="D230" s="40" t="n">
        <f aca="false">MIN($C$3-C230,E229)</f>
        <v>1590.58212161647</v>
      </c>
      <c r="E230" s="40" t="n">
        <f aca="false">E229-D230</f>
        <v>914929.999502477</v>
      </c>
      <c r="F230" s="40" t="n">
        <f aca="false">H229*Annahmen!$B$39/12</f>
        <v>1469.45178260061</v>
      </c>
      <c r="G230" s="40" t="n">
        <f aca="false">MIN($F$3-F230,H229)</f>
        <v>1137.21488406606</v>
      </c>
      <c r="H230" s="40" t="n">
        <f aca="false">H229-G230</f>
        <v>586643.498156177</v>
      </c>
      <c r="I230" s="40" t="n">
        <f aca="false">K229*Annahmen!$B$40/12</f>
        <v>6062.32259207301</v>
      </c>
      <c r="J230" s="40" t="n">
        <f aca="false">MIN($I$3-I230,K229)</f>
        <v>4391.16783260679</v>
      </c>
      <c r="K230" s="40" t="n">
        <f aca="false">K229-J230</f>
        <v>1814305.6097893</v>
      </c>
      <c r="L230" s="40" t="n">
        <f aca="false">C230+F230+I230</f>
        <v>9441.19225305715</v>
      </c>
      <c r="M230" s="40" t="n">
        <f aca="false">D230+G230+J230</f>
        <v>7118.96483828932</v>
      </c>
      <c r="N230" s="40" t="n">
        <f aca="false">L230+M230</f>
        <v>16560.1570913465</v>
      </c>
      <c r="O230" s="40" t="n">
        <f aca="false">E230+H230+K230</f>
        <v>3315879.10744795</v>
      </c>
    </row>
    <row r="231" customFormat="false" ht="15" hidden="false" customHeight="false" outlineLevel="0" collapsed="false">
      <c r="A231" s="39" t="n">
        <v>225</v>
      </c>
      <c r="B231" s="39" t="n">
        <f aca="false">ROUNDUP(A231/12,0)</f>
        <v>19</v>
      </c>
      <c r="C231" s="40" t="n">
        <f aca="false">E230*Annahmen!$B$38/12</f>
        <v>1906.10416563016</v>
      </c>
      <c r="D231" s="40" t="n">
        <f aca="false">MIN($C$3-C231,E230)</f>
        <v>1593.89583436984</v>
      </c>
      <c r="E231" s="40" t="n">
        <f aca="false">E230-D231</f>
        <v>913336.103668108</v>
      </c>
      <c r="F231" s="40" t="n">
        <f aca="false">H230*Annahmen!$B$39/12</f>
        <v>1466.60874539044</v>
      </c>
      <c r="G231" s="40" t="n">
        <f aca="false">MIN($F$3-F231,H230)</f>
        <v>1140.05792127622</v>
      </c>
      <c r="H231" s="40" t="n">
        <f aca="false">H230-G231</f>
        <v>585503.440234901</v>
      </c>
      <c r="I231" s="40" t="n">
        <f aca="false">K230*Annahmen!$B$40/12</f>
        <v>6047.68536596432</v>
      </c>
      <c r="J231" s="40" t="n">
        <f aca="false">MIN($I$3-I231,K230)</f>
        <v>4405.80505871548</v>
      </c>
      <c r="K231" s="40" t="n">
        <f aca="false">K230-J231</f>
        <v>1809899.80473058</v>
      </c>
      <c r="L231" s="40" t="n">
        <f aca="false">C231+F231+I231</f>
        <v>9420.39827698492</v>
      </c>
      <c r="M231" s="40" t="n">
        <f aca="false">D231+G231+J231</f>
        <v>7139.75881436154</v>
      </c>
      <c r="N231" s="40" t="n">
        <f aca="false">L231+M231</f>
        <v>16560.1570913465</v>
      </c>
      <c r="O231" s="40" t="n">
        <f aca="false">E231+H231+K231</f>
        <v>3308739.34863359</v>
      </c>
    </row>
    <row r="232" customFormat="false" ht="15" hidden="false" customHeight="false" outlineLevel="0" collapsed="false">
      <c r="A232" s="39" t="n">
        <v>226</v>
      </c>
      <c r="B232" s="39" t="n">
        <f aca="false">ROUNDUP(A232/12,0)</f>
        <v>19</v>
      </c>
      <c r="C232" s="40" t="n">
        <f aca="false">E231*Annahmen!$B$38/12</f>
        <v>1902.78354930856</v>
      </c>
      <c r="D232" s="40" t="n">
        <f aca="false">MIN($C$3-C232,E231)</f>
        <v>1597.21645069144</v>
      </c>
      <c r="E232" s="40" t="n">
        <f aca="false">E231-D232</f>
        <v>911738.887217416</v>
      </c>
      <c r="F232" s="40" t="n">
        <f aca="false">H231*Annahmen!$B$39/12</f>
        <v>1463.75860058725</v>
      </c>
      <c r="G232" s="40" t="n">
        <f aca="false">MIN($F$3-F232,H231)</f>
        <v>1142.90806607941</v>
      </c>
      <c r="H232" s="40" t="n">
        <f aca="false">H231-G232</f>
        <v>584360.532168822</v>
      </c>
      <c r="I232" s="40" t="n">
        <f aca="false">K231*Annahmen!$B$40/12</f>
        <v>6032.99934910194</v>
      </c>
      <c r="J232" s="40" t="n">
        <f aca="false">MIN($I$3-I232,K231)</f>
        <v>4420.49107557787</v>
      </c>
      <c r="K232" s="40" t="n">
        <f aca="false">K231-J232</f>
        <v>1805479.313655</v>
      </c>
      <c r="L232" s="40" t="n">
        <f aca="false">C232+F232+I232</f>
        <v>9399.54149899775</v>
      </c>
      <c r="M232" s="40" t="n">
        <f aca="false">D232+G232+J232</f>
        <v>7160.61559234872</v>
      </c>
      <c r="N232" s="40" t="n">
        <f aca="false">L232+M232</f>
        <v>16560.1570913465</v>
      </c>
      <c r="O232" s="40" t="n">
        <f aca="false">E232+H232+K232</f>
        <v>3301578.73304124</v>
      </c>
    </row>
    <row r="233" customFormat="false" ht="15" hidden="false" customHeight="false" outlineLevel="0" collapsed="false">
      <c r="A233" s="39" t="n">
        <v>227</v>
      </c>
      <c r="B233" s="39" t="n">
        <f aca="false">ROUNDUP(A233/12,0)</f>
        <v>19</v>
      </c>
      <c r="C233" s="40" t="n">
        <f aca="false">E232*Annahmen!$B$38/12</f>
        <v>1899.45601503628</v>
      </c>
      <c r="D233" s="40" t="n">
        <f aca="false">MIN($C$3-C233,E232)</f>
        <v>1600.54398496371</v>
      </c>
      <c r="E233" s="40" t="n">
        <f aca="false">E232-D233</f>
        <v>910138.343232452</v>
      </c>
      <c r="F233" s="40" t="n">
        <f aca="false">H232*Annahmen!$B$39/12</f>
        <v>1460.90133042205</v>
      </c>
      <c r="G233" s="40" t="n">
        <f aca="false">MIN($F$3-F233,H232)</f>
        <v>1145.76533624461</v>
      </c>
      <c r="H233" s="40" t="n">
        <f aca="false">H232-G233</f>
        <v>583214.766832577</v>
      </c>
      <c r="I233" s="40" t="n">
        <f aca="false">K232*Annahmen!$B$40/12</f>
        <v>6018.26437885001</v>
      </c>
      <c r="J233" s="40" t="n">
        <f aca="false">MIN($I$3-I233,K232)</f>
        <v>4435.22604582979</v>
      </c>
      <c r="K233" s="40" t="n">
        <f aca="false">K232-J233</f>
        <v>1801044.08760917</v>
      </c>
      <c r="L233" s="40" t="n">
        <f aca="false">C233+F233+I233</f>
        <v>9378.62172430835</v>
      </c>
      <c r="M233" s="40" t="n">
        <f aca="false">D233+G233+J233</f>
        <v>7181.53536703812</v>
      </c>
      <c r="N233" s="40" t="n">
        <f aca="false">L233+M233</f>
        <v>16560.1570913465</v>
      </c>
      <c r="O233" s="40" t="n">
        <f aca="false">E233+H233+K233</f>
        <v>3294397.1976742</v>
      </c>
    </row>
    <row r="234" customFormat="false" ht="15" hidden="false" customHeight="false" outlineLevel="0" collapsed="false">
      <c r="A234" s="39" t="n">
        <v>228</v>
      </c>
      <c r="B234" s="39" t="n">
        <f aca="false">ROUNDUP(A234/12,0)</f>
        <v>19</v>
      </c>
      <c r="C234" s="40" t="n">
        <f aca="false">E233*Annahmen!$B$38/12</f>
        <v>1896.12154840094</v>
      </c>
      <c r="D234" s="40" t="n">
        <f aca="false">MIN($C$3-C234,E233)</f>
        <v>1603.87845159906</v>
      </c>
      <c r="E234" s="40" t="n">
        <f aca="false">E233-D234</f>
        <v>908534.464780853</v>
      </c>
      <c r="F234" s="40" t="n">
        <f aca="false">H233*Annahmen!$B$39/12</f>
        <v>1458.03691708144</v>
      </c>
      <c r="G234" s="40" t="n">
        <f aca="false">MIN($F$3-F234,H233)</f>
        <v>1148.62974958522</v>
      </c>
      <c r="H234" s="40" t="n">
        <f aca="false">H233-G234</f>
        <v>582066.137082992</v>
      </c>
      <c r="I234" s="40" t="n">
        <f aca="false">K233*Annahmen!$B$40/12</f>
        <v>6003.48029203058</v>
      </c>
      <c r="J234" s="40" t="n">
        <f aca="false">MIN($I$3-I234,K233)</f>
        <v>4450.01013264922</v>
      </c>
      <c r="K234" s="40" t="n">
        <f aca="false">K233-J234</f>
        <v>1796594.07747652</v>
      </c>
      <c r="L234" s="40" t="n">
        <f aca="false">C234+F234+I234</f>
        <v>9357.63875751296</v>
      </c>
      <c r="M234" s="40" t="n">
        <f aca="false">D234+G234+J234</f>
        <v>7202.5183338335</v>
      </c>
      <c r="N234" s="40" t="n">
        <f aca="false">L234+M234</f>
        <v>16560.1570913465</v>
      </c>
      <c r="O234" s="40" t="n">
        <f aca="false">E234+H234+K234</f>
        <v>3287194.67934037</v>
      </c>
    </row>
    <row r="235" customFormat="false" ht="15" hidden="false" customHeight="false" outlineLevel="0" collapsed="false">
      <c r="A235" s="39" t="n">
        <v>229</v>
      </c>
      <c r="B235" s="39" t="n">
        <f aca="false">ROUNDUP(A235/12,0)</f>
        <v>20</v>
      </c>
      <c r="C235" s="40" t="n">
        <f aca="false">E234*Annahmen!$B$38/12</f>
        <v>1892.78013496011</v>
      </c>
      <c r="D235" s="40" t="n">
        <f aca="false">MIN($C$3-C235,E234)</f>
        <v>1607.21986503989</v>
      </c>
      <c r="E235" s="40" t="n">
        <f aca="false">E234-D235</f>
        <v>906927.244915813</v>
      </c>
      <c r="F235" s="40" t="n">
        <f aca="false">H234*Annahmen!$B$39/12</f>
        <v>1455.16534270748</v>
      </c>
      <c r="G235" s="40" t="n">
        <f aca="false">MIN($F$3-F235,H234)</f>
        <v>1151.50132395919</v>
      </c>
      <c r="H235" s="40" t="n">
        <f aca="false">H234-G235</f>
        <v>580914.635759033</v>
      </c>
      <c r="I235" s="40" t="n">
        <f aca="false">K234*Annahmen!$B$40/12</f>
        <v>5988.64692492175</v>
      </c>
      <c r="J235" s="40" t="n">
        <f aca="false">MIN($I$3-I235,K234)</f>
        <v>4464.84349975805</v>
      </c>
      <c r="K235" s="40" t="n">
        <f aca="false">K234-J235</f>
        <v>1792129.23397677</v>
      </c>
      <c r="L235" s="40" t="n">
        <f aca="false">C235+F235+I235</f>
        <v>9336.59240258934</v>
      </c>
      <c r="M235" s="40" t="n">
        <f aca="false">D235+G235+J235</f>
        <v>7223.56468875713</v>
      </c>
      <c r="N235" s="40" t="n">
        <f aca="false">L235+M235</f>
        <v>16560.1570913465</v>
      </c>
      <c r="O235" s="40" t="n">
        <f aca="false">E235+H235+K235</f>
        <v>3279971.11465161</v>
      </c>
    </row>
    <row r="236" customFormat="false" ht="15" hidden="false" customHeight="false" outlineLevel="0" collapsed="false">
      <c r="A236" s="39" t="n">
        <v>230</v>
      </c>
      <c r="B236" s="39" t="n">
        <f aca="false">ROUNDUP(A236/12,0)</f>
        <v>20</v>
      </c>
      <c r="C236" s="40" t="n">
        <f aca="false">E235*Annahmen!$B$38/12</f>
        <v>1889.43176024128</v>
      </c>
      <c r="D236" s="40" t="n">
        <f aca="false">MIN($C$3-C236,E235)</f>
        <v>1610.56823975872</v>
      </c>
      <c r="E236" s="40" t="n">
        <f aca="false">E235-D236</f>
        <v>905316.676676055</v>
      </c>
      <c r="F236" s="40" t="n">
        <f aca="false">H235*Annahmen!$B$39/12</f>
        <v>1452.28658939758</v>
      </c>
      <c r="G236" s="40" t="n">
        <f aca="false">MIN($F$3-F236,H235)</f>
        <v>1154.38007726908</v>
      </c>
      <c r="H236" s="40" t="n">
        <f aca="false">H235-G236</f>
        <v>579760.255681764</v>
      </c>
      <c r="I236" s="40" t="n">
        <f aca="false">K235*Annahmen!$B$40/12</f>
        <v>5973.76411325589</v>
      </c>
      <c r="J236" s="40" t="n">
        <f aca="false">MIN($I$3-I236,K235)</f>
        <v>4479.72631142392</v>
      </c>
      <c r="K236" s="40" t="n">
        <f aca="false">K235-J236</f>
        <v>1787649.50766534</v>
      </c>
      <c r="L236" s="40" t="n">
        <f aca="false">C236+F236+I236</f>
        <v>9315.48246289475</v>
      </c>
      <c r="M236" s="40" t="n">
        <f aca="false">D236+G236+J236</f>
        <v>7244.67462845172</v>
      </c>
      <c r="N236" s="40" t="n">
        <f aca="false">L236+M236</f>
        <v>16560.1570913465</v>
      </c>
      <c r="O236" s="40" t="n">
        <f aca="false">E236+H236+K236</f>
        <v>3272726.44002316</v>
      </c>
    </row>
    <row r="237" customFormat="false" ht="15" hidden="false" customHeight="false" outlineLevel="0" collapsed="false">
      <c r="A237" s="39" t="n">
        <v>231</v>
      </c>
      <c r="B237" s="39" t="n">
        <f aca="false">ROUNDUP(A237/12,0)</f>
        <v>20</v>
      </c>
      <c r="C237" s="40" t="n">
        <f aca="false">E236*Annahmen!$B$38/12</f>
        <v>1886.07640974178</v>
      </c>
      <c r="D237" s="40" t="n">
        <f aca="false">MIN($C$3-C237,E236)</f>
        <v>1613.92359025822</v>
      </c>
      <c r="E237" s="40" t="n">
        <f aca="false">E236-D237</f>
        <v>903702.753085797</v>
      </c>
      <c r="F237" s="40" t="n">
        <f aca="false">H236*Annahmen!$B$39/12</f>
        <v>1449.40063920441</v>
      </c>
      <c r="G237" s="40" t="n">
        <f aca="false">MIN($F$3-F237,H236)</f>
        <v>1157.26602746226</v>
      </c>
      <c r="H237" s="40" t="n">
        <f aca="false">H236-G237</f>
        <v>578602.989654301</v>
      </c>
      <c r="I237" s="40" t="n">
        <f aca="false">K236*Annahmen!$B$40/12</f>
        <v>5958.83169221781</v>
      </c>
      <c r="J237" s="40" t="n">
        <f aca="false">MIN($I$3-I237,K236)</f>
        <v>4494.658732462</v>
      </c>
      <c r="K237" s="40" t="n">
        <f aca="false">K236-J237</f>
        <v>1783154.84893288</v>
      </c>
      <c r="L237" s="40" t="n">
        <f aca="false">C237+F237+I237</f>
        <v>9294.308741164</v>
      </c>
      <c r="M237" s="40" t="n">
        <f aca="false">D237+G237+J237</f>
        <v>7265.84835018247</v>
      </c>
      <c r="N237" s="40" t="n">
        <f aca="false">L237+M237</f>
        <v>16560.1570913465</v>
      </c>
      <c r="O237" s="40" t="n">
        <f aca="false">E237+H237+K237</f>
        <v>3265460.59167298</v>
      </c>
    </row>
    <row r="238" customFormat="false" ht="15" hidden="false" customHeight="false" outlineLevel="0" collapsed="false">
      <c r="A238" s="39" t="n">
        <v>232</v>
      </c>
      <c r="B238" s="39" t="n">
        <f aca="false">ROUNDUP(A238/12,0)</f>
        <v>20</v>
      </c>
      <c r="C238" s="40" t="n">
        <f aca="false">E237*Annahmen!$B$38/12</f>
        <v>1882.71406892874</v>
      </c>
      <c r="D238" s="40" t="n">
        <f aca="false">MIN($C$3-C238,E237)</f>
        <v>1617.28593107126</v>
      </c>
      <c r="E238" s="40" t="n">
        <f aca="false">E237-D238</f>
        <v>902085.467154725</v>
      </c>
      <c r="F238" s="40" t="n">
        <f aca="false">H237*Annahmen!$B$39/12</f>
        <v>1446.50747413575</v>
      </c>
      <c r="G238" s="40" t="n">
        <f aca="false">MIN($F$3-F238,H237)</f>
        <v>1160.15919253091</v>
      </c>
      <c r="H238" s="40" t="n">
        <f aca="false">H237-G238</f>
        <v>577442.830461771</v>
      </c>
      <c r="I238" s="40" t="n">
        <f aca="false">K237*Annahmen!$B$40/12</f>
        <v>5943.84949644293</v>
      </c>
      <c r="J238" s="40" t="n">
        <f aca="false">MIN($I$3-I238,K237)</f>
        <v>4509.64092823687</v>
      </c>
      <c r="K238" s="40" t="n">
        <f aca="false">K237-J238</f>
        <v>1778645.20800464</v>
      </c>
      <c r="L238" s="40" t="n">
        <f aca="false">C238+F238+I238</f>
        <v>9273.07103950743</v>
      </c>
      <c r="M238" s="40" t="n">
        <f aca="false">D238+G238+J238</f>
        <v>7287.08605183904</v>
      </c>
      <c r="N238" s="40" t="n">
        <f aca="false">L238+M238</f>
        <v>16560.1570913465</v>
      </c>
      <c r="O238" s="40" t="n">
        <f aca="false">E238+H238+K238</f>
        <v>3258173.50562114</v>
      </c>
    </row>
    <row r="239" customFormat="false" ht="15" hidden="false" customHeight="false" outlineLevel="0" collapsed="false">
      <c r="A239" s="39" t="n">
        <v>233</v>
      </c>
      <c r="B239" s="39" t="n">
        <f aca="false">ROUNDUP(A239/12,0)</f>
        <v>20</v>
      </c>
      <c r="C239" s="40" t="n">
        <f aca="false">E238*Annahmen!$B$38/12</f>
        <v>1879.34472323901</v>
      </c>
      <c r="D239" s="40" t="n">
        <f aca="false">MIN($C$3-C239,E238)</f>
        <v>1620.65527676099</v>
      </c>
      <c r="E239" s="40" t="n">
        <f aca="false">E238-D239</f>
        <v>900464.811877964</v>
      </c>
      <c r="F239" s="40" t="n">
        <f aca="false">H238*Annahmen!$B$39/12</f>
        <v>1443.60707615443</v>
      </c>
      <c r="G239" s="40" t="n">
        <f aca="false">MIN($F$3-F239,H238)</f>
        <v>1163.05959051224</v>
      </c>
      <c r="H239" s="40" t="n">
        <f aca="false">H238-G239</f>
        <v>576279.770871258</v>
      </c>
      <c r="I239" s="40" t="n">
        <f aca="false">K238*Annahmen!$B$40/12</f>
        <v>5928.81736001548</v>
      </c>
      <c r="J239" s="40" t="n">
        <f aca="false">MIN($I$3-I239,K238)</f>
        <v>4524.67306466432</v>
      </c>
      <c r="K239" s="40" t="n">
        <f aca="false">K238-J239</f>
        <v>1774120.53493998</v>
      </c>
      <c r="L239" s="40" t="n">
        <f aca="false">C239+F239+I239</f>
        <v>9251.76915940892</v>
      </c>
      <c r="M239" s="40" t="n">
        <f aca="false">D239+G239+J239</f>
        <v>7308.38793193755</v>
      </c>
      <c r="N239" s="40" t="n">
        <f aca="false">L239+M239</f>
        <v>16560.1570913465</v>
      </c>
      <c r="O239" s="40" t="n">
        <f aca="false">E239+H239+K239</f>
        <v>3250865.1176892</v>
      </c>
    </row>
    <row r="240" customFormat="false" ht="15" hidden="false" customHeight="false" outlineLevel="0" collapsed="false">
      <c r="A240" s="39" t="n">
        <v>234</v>
      </c>
      <c r="B240" s="39" t="n">
        <f aca="false">ROUNDUP(A240/12,0)</f>
        <v>20</v>
      </c>
      <c r="C240" s="40" t="n">
        <f aca="false">E239*Annahmen!$B$38/12</f>
        <v>1875.96835807909</v>
      </c>
      <c r="D240" s="40" t="n">
        <f aca="false">MIN($C$3-C240,E239)</f>
        <v>1624.03164192091</v>
      </c>
      <c r="E240" s="40" t="n">
        <f aca="false">E239-D240</f>
        <v>898840.780236043</v>
      </c>
      <c r="F240" s="40" t="n">
        <f aca="false">H239*Annahmen!$B$39/12</f>
        <v>1440.69942717815</v>
      </c>
      <c r="G240" s="40" t="n">
        <f aca="false">MIN($F$3-F240,H239)</f>
        <v>1165.96723948852</v>
      </c>
      <c r="H240" s="40" t="n">
        <f aca="false">H239-G240</f>
        <v>575113.80363177</v>
      </c>
      <c r="I240" s="40" t="n">
        <f aca="false">K239*Annahmen!$B$40/12</f>
        <v>5913.7351164666</v>
      </c>
      <c r="J240" s="40" t="n">
        <f aca="false">MIN($I$3-I240,K239)</f>
        <v>4539.7553082132</v>
      </c>
      <c r="K240" s="40" t="n">
        <f aca="false">K239-J240</f>
        <v>1769580.77963177</v>
      </c>
      <c r="L240" s="40" t="n">
        <f aca="false">C240+F240+I240</f>
        <v>9230.40290172384</v>
      </c>
      <c r="M240" s="40" t="n">
        <f aca="false">D240+G240+J240</f>
        <v>7329.75418962263</v>
      </c>
      <c r="N240" s="40" t="n">
        <f aca="false">L240+M240</f>
        <v>16560.1570913465</v>
      </c>
      <c r="O240" s="40" t="n">
        <f aca="false">E240+H240+K240</f>
        <v>3243535.36349958</v>
      </c>
    </row>
    <row r="241" customFormat="false" ht="15" hidden="false" customHeight="false" outlineLevel="0" collapsed="false">
      <c r="A241" s="39" t="n">
        <v>235</v>
      </c>
      <c r="B241" s="39" t="n">
        <f aca="false">ROUNDUP(A241/12,0)</f>
        <v>20</v>
      </c>
      <c r="C241" s="40" t="n">
        <f aca="false">E240*Annahmen!$B$38/12</f>
        <v>1872.58495882509</v>
      </c>
      <c r="D241" s="40" t="n">
        <f aca="false">MIN($C$3-C241,E240)</f>
        <v>1627.41504117491</v>
      </c>
      <c r="E241" s="40" t="n">
        <f aca="false">E240-D241</f>
        <v>897213.365194868</v>
      </c>
      <c r="F241" s="40" t="n">
        <f aca="false">H240*Annahmen!$B$39/12</f>
        <v>1437.78450907942</v>
      </c>
      <c r="G241" s="40" t="n">
        <f aca="false">MIN($F$3-F241,H240)</f>
        <v>1168.88215758724</v>
      </c>
      <c r="H241" s="40" t="n">
        <f aca="false">H240-G241</f>
        <v>573944.921474183</v>
      </c>
      <c r="I241" s="40" t="n">
        <f aca="false">K240*Annahmen!$B$40/12</f>
        <v>5898.60259877255</v>
      </c>
      <c r="J241" s="40" t="n">
        <f aca="false">MIN($I$3-I241,K240)</f>
        <v>4554.88782590725</v>
      </c>
      <c r="K241" s="40" t="n">
        <f aca="false">K240-J241</f>
        <v>1765025.89180586</v>
      </c>
      <c r="L241" s="40" t="n">
        <f aca="false">C241+F241+I241</f>
        <v>9208.97206667707</v>
      </c>
      <c r="M241" s="40" t="n">
        <f aca="false">D241+G241+J241</f>
        <v>7351.1850246694</v>
      </c>
      <c r="N241" s="40" t="n">
        <f aca="false">L241+M241</f>
        <v>16560.1570913465</v>
      </c>
      <c r="O241" s="40" t="n">
        <f aca="false">E241+H241+K241</f>
        <v>3236184.17847491</v>
      </c>
    </row>
    <row r="242" customFormat="false" ht="15" hidden="false" customHeight="false" outlineLevel="0" collapsed="false">
      <c r="A242" s="39" t="n">
        <v>236</v>
      </c>
      <c r="B242" s="39" t="n">
        <f aca="false">ROUNDUP(A242/12,0)</f>
        <v>20</v>
      </c>
      <c r="C242" s="40" t="n">
        <f aca="false">E241*Annahmen!$B$38/12</f>
        <v>1869.19451082264</v>
      </c>
      <c r="D242" s="40" t="n">
        <f aca="false">MIN($C$3-C242,E241)</f>
        <v>1630.80548917736</v>
      </c>
      <c r="E242" s="40" t="n">
        <f aca="false">E241-D242</f>
        <v>895582.559705691</v>
      </c>
      <c r="F242" s="40" t="n">
        <f aca="false">H241*Annahmen!$B$39/12</f>
        <v>1434.86230368546</v>
      </c>
      <c r="G242" s="40" t="n">
        <f aca="false">MIN($F$3-F242,H241)</f>
        <v>1171.80436298121</v>
      </c>
      <c r="H242" s="40" t="n">
        <f aca="false">H241-G242</f>
        <v>572773.117111201</v>
      </c>
      <c r="I242" s="40" t="n">
        <f aca="false">K241*Annahmen!$B$40/12</f>
        <v>5883.41963935286</v>
      </c>
      <c r="J242" s="40" t="n">
        <f aca="false">MIN($I$3-I242,K241)</f>
        <v>4570.07078532694</v>
      </c>
      <c r="K242" s="40" t="n">
        <f aca="false">K241-J242</f>
        <v>1760455.82102053</v>
      </c>
      <c r="L242" s="40" t="n">
        <f aca="false">C242+F242+I242</f>
        <v>9187.47645386096</v>
      </c>
      <c r="M242" s="40" t="n">
        <f aca="false">D242+G242+J242</f>
        <v>7372.6806374855</v>
      </c>
      <c r="N242" s="40" t="n">
        <f aca="false">L242+M242</f>
        <v>16560.1570913465</v>
      </c>
      <c r="O242" s="40" t="n">
        <f aca="false">E242+H242+K242</f>
        <v>3228811.49783742</v>
      </c>
    </row>
    <row r="243" customFormat="false" ht="15" hidden="false" customHeight="false" outlineLevel="0" collapsed="false">
      <c r="A243" s="39" t="n">
        <v>237</v>
      </c>
      <c r="B243" s="39" t="n">
        <f aca="false">ROUNDUP(A243/12,0)</f>
        <v>20</v>
      </c>
      <c r="C243" s="40" t="n">
        <f aca="false">E242*Annahmen!$B$38/12</f>
        <v>1865.79699938686</v>
      </c>
      <c r="D243" s="40" t="n">
        <f aca="false">MIN($C$3-C243,E242)</f>
        <v>1634.20300061314</v>
      </c>
      <c r="E243" s="40" t="n">
        <f aca="false">E242-D243</f>
        <v>893948.356705078</v>
      </c>
      <c r="F243" s="40" t="n">
        <f aca="false">H242*Annahmen!$B$39/12</f>
        <v>1431.932792778</v>
      </c>
      <c r="G243" s="40" t="n">
        <f aca="false">MIN($F$3-F243,H242)</f>
        <v>1174.73387388866</v>
      </c>
      <c r="H243" s="40" t="n">
        <f aca="false">H242-G243</f>
        <v>571598.383237313</v>
      </c>
      <c r="I243" s="40" t="n">
        <f aca="false">K242*Annahmen!$B$40/12</f>
        <v>5868.18607006844</v>
      </c>
      <c r="J243" s="40" t="n">
        <f aca="false">MIN($I$3-I243,K242)</f>
        <v>4585.30435461136</v>
      </c>
      <c r="K243" s="40" t="n">
        <f aca="false">K242-J243</f>
        <v>1755870.51666592</v>
      </c>
      <c r="L243" s="40" t="n">
        <f aca="false">C243+F243+I243</f>
        <v>9165.9158622333</v>
      </c>
      <c r="M243" s="40" t="n">
        <f aca="false">D243+G243+J243</f>
        <v>7394.24122911317</v>
      </c>
      <c r="N243" s="40" t="n">
        <f aca="false">L243+M243</f>
        <v>16560.1570913465</v>
      </c>
      <c r="O243" s="40" t="n">
        <f aca="false">E243+H243+K243</f>
        <v>3221417.25660831</v>
      </c>
    </row>
    <row r="244" customFormat="false" ht="15" hidden="false" customHeight="false" outlineLevel="0" collapsed="false">
      <c r="A244" s="39" t="n">
        <v>238</v>
      </c>
      <c r="B244" s="39" t="n">
        <f aca="false">ROUNDUP(A244/12,0)</f>
        <v>20</v>
      </c>
      <c r="C244" s="40" t="n">
        <f aca="false">E243*Annahmen!$B$38/12</f>
        <v>1862.39240980225</v>
      </c>
      <c r="D244" s="40" t="n">
        <f aca="false">MIN($C$3-C244,E243)</f>
        <v>1637.60759019775</v>
      </c>
      <c r="E244" s="40" t="n">
        <f aca="false">E243-D244</f>
        <v>892310.74911488</v>
      </c>
      <c r="F244" s="40" t="n">
        <f aca="false">H243*Annahmen!$B$39/12</f>
        <v>1428.99595809328</v>
      </c>
      <c r="G244" s="40" t="n">
        <f aca="false">MIN($F$3-F244,H243)</f>
        <v>1177.67070857338</v>
      </c>
      <c r="H244" s="40" t="n">
        <f aca="false">H243-G244</f>
        <v>570420.712528739</v>
      </c>
      <c r="I244" s="40" t="n">
        <f aca="false">K243*Annahmen!$B$40/12</f>
        <v>5852.90172221974</v>
      </c>
      <c r="J244" s="40" t="n">
        <f aca="false">MIN($I$3-I244,K243)</f>
        <v>4600.58870246007</v>
      </c>
      <c r="K244" s="40" t="n">
        <f aca="false">K243-J244</f>
        <v>1751269.92796346</v>
      </c>
      <c r="L244" s="40" t="n">
        <f aca="false">C244+F244+I244</f>
        <v>9144.29009011526</v>
      </c>
      <c r="M244" s="40" t="n">
        <f aca="false">D244+G244+J244</f>
        <v>7415.8670012312</v>
      </c>
      <c r="N244" s="40" t="n">
        <f aca="false">L244+M244</f>
        <v>16560.1570913465</v>
      </c>
      <c r="O244" s="40" t="n">
        <f aca="false">E244+H244+K244</f>
        <v>3214001.38960708</v>
      </c>
    </row>
    <row r="245" customFormat="false" ht="15" hidden="false" customHeight="false" outlineLevel="0" collapsed="false">
      <c r="A245" s="39" t="n">
        <v>239</v>
      </c>
      <c r="B245" s="39" t="n">
        <f aca="false">ROUNDUP(A245/12,0)</f>
        <v>20</v>
      </c>
      <c r="C245" s="40" t="n">
        <f aca="false">E244*Annahmen!$B$38/12</f>
        <v>1858.98072732267</v>
      </c>
      <c r="D245" s="40" t="n">
        <f aca="false">MIN($C$3-C245,E244)</f>
        <v>1641.01927267733</v>
      </c>
      <c r="E245" s="40" t="n">
        <f aca="false">E244-D245</f>
        <v>890669.729842203</v>
      </c>
      <c r="F245" s="40" t="n">
        <f aca="false">H244*Annahmen!$B$39/12</f>
        <v>1426.05178132185</v>
      </c>
      <c r="G245" s="40" t="n">
        <f aca="false">MIN($F$3-F245,H244)</f>
        <v>1180.61488534482</v>
      </c>
      <c r="H245" s="40" t="n">
        <f aca="false">H244-G245</f>
        <v>569240.097643395</v>
      </c>
      <c r="I245" s="40" t="n">
        <f aca="false">K244*Annahmen!$B$40/12</f>
        <v>5837.56642654487</v>
      </c>
      <c r="J245" s="40" t="n">
        <f aca="false">MIN($I$3-I245,K244)</f>
        <v>4615.92399813493</v>
      </c>
      <c r="K245" s="40" t="n">
        <f aca="false">K244-J245</f>
        <v>1746654.00396533</v>
      </c>
      <c r="L245" s="40" t="n">
        <f aca="false">C245+F245+I245</f>
        <v>9122.59893518938</v>
      </c>
      <c r="M245" s="40" t="n">
        <f aca="false">D245+G245+J245</f>
        <v>7437.55815615708</v>
      </c>
      <c r="N245" s="40" t="n">
        <f aca="false">L245+M245</f>
        <v>16560.1570913465</v>
      </c>
      <c r="O245" s="40" t="n">
        <f aca="false">E245+H245+K245</f>
        <v>3206563.83145092</v>
      </c>
    </row>
    <row r="246" customFormat="false" ht="15" hidden="false" customHeight="false" outlineLevel="0" collapsed="false">
      <c r="A246" s="39" t="n">
        <v>240</v>
      </c>
      <c r="B246" s="39" t="n">
        <f aca="false">ROUNDUP(A246/12,0)</f>
        <v>20</v>
      </c>
      <c r="C246" s="40" t="n">
        <f aca="false">E245*Annahmen!$B$38/12</f>
        <v>1855.56193717126</v>
      </c>
      <c r="D246" s="40" t="n">
        <f aca="false">MIN($C$3-C246,E245)</f>
        <v>1644.43806282874</v>
      </c>
      <c r="E246" s="40" t="n">
        <f aca="false">E245-D246</f>
        <v>889025.291779374</v>
      </c>
      <c r="F246" s="40" t="n">
        <f aca="false">H245*Annahmen!$B$39/12</f>
        <v>1423.10024410849</v>
      </c>
      <c r="G246" s="40" t="n">
        <f aca="false">MIN($F$3-F246,H245)</f>
        <v>1183.56642255818</v>
      </c>
      <c r="H246" s="40" t="n">
        <f aca="false">H245-G246</f>
        <v>568056.531220836</v>
      </c>
      <c r="I246" s="40" t="n">
        <f aca="false">K245*Annahmen!$B$40/12</f>
        <v>5822.18001321775</v>
      </c>
      <c r="J246" s="40" t="n">
        <f aca="false">MIN($I$3-I246,K245)</f>
        <v>4631.31041146205</v>
      </c>
      <c r="K246" s="40" t="n">
        <f aca="false">K245-J246</f>
        <v>1742022.69355386</v>
      </c>
      <c r="L246" s="40" t="n">
        <f aca="false">C246+F246+I246</f>
        <v>9100.84219449749</v>
      </c>
      <c r="M246" s="40" t="n">
        <f aca="false">D246+G246+J246</f>
        <v>7459.31489684897</v>
      </c>
      <c r="N246" s="40" t="n">
        <f aca="false">L246+M246</f>
        <v>16560.1570913465</v>
      </c>
      <c r="O246" s="40" t="n">
        <f aca="false">E246+H246+K246</f>
        <v>3199104.51655407</v>
      </c>
    </row>
    <row r="247" customFormat="false" ht="15" hidden="false" customHeight="false" outlineLevel="0" collapsed="false">
      <c r="A247" s="39" t="n">
        <v>241</v>
      </c>
      <c r="B247" s="39" t="n">
        <f aca="false">ROUNDUP(A247/12,0)</f>
        <v>21</v>
      </c>
      <c r="C247" s="40" t="n">
        <f aca="false">E246*Annahmen!$B$38/12</f>
        <v>1852.13602454036</v>
      </c>
      <c r="D247" s="40" t="n">
        <f aca="false">MIN($C$3-C247,E246)</f>
        <v>1647.86397545964</v>
      </c>
      <c r="E247" s="40" t="n">
        <f aca="false">E246-D247</f>
        <v>887377.427803915</v>
      </c>
      <c r="F247" s="40" t="n">
        <f aca="false">H246*Annahmen!$B$39/12</f>
        <v>1420.14132805209</v>
      </c>
      <c r="G247" s="40" t="n">
        <f aca="false">MIN($F$3-F247,H246)</f>
        <v>1186.52533861457</v>
      </c>
      <c r="H247" s="40" t="n">
        <f aca="false">H246-G247</f>
        <v>566870.005882222</v>
      </c>
      <c r="I247" s="40" t="n">
        <f aca="false">K246*Annahmen!$B$40/12</f>
        <v>5806.74231184621</v>
      </c>
      <c r="J247" s="40" t="n">
        <f aca="false">MIN($I$3-I247,K246)</f>
        <v>4646.74811283359</v>
      </c>
      <c r="K247" s="40" t="n">
        <f aca="false">K246-J247</f>
        <v>1737375.94544103</v>
      </c>
      <c r="L247" s="40" t="n">
        <f aca="false">C247+F247+I247</f>
        <v>9079.01966443867</v>
      </c>
      <c r="M247" s="40" t="n">
        <f aca="false">D247+G247+J247</f>
        <v>7481.1374269078</v>
      </c>
      <c r="N247" s="40" t="n">
        <f aca="false">L247+M247</f>
        <v>16560.1570913465</v>
      </c>
      <c r="O247" s="40" t="n">
        <f aca="false">E247+H247+K247</f>
        <v>3191623.37912717</v>
      </c>
    </row>
    <row r="248" customFormat="false" ht="15" hidden="false" customHeight="false" outlineLevel="0" collapsed="false">
      <c r="A248" s="39" t="n">
        <v>242</v>
      </c>
      <c r="B248" s="39" t="n">
        <f aca="false">ROUNDUP(A248/12,0)</f>
        <v>21</v>
      </c>
      <c r="C248" s="40" t="n">
        <f aca="false">E247*Annahmen!$B$38/12</f>
        <v>1848.70297459149</v>
      </c>
      <c r="D248" s="40" t="n">
        <f aca="false">MIN($C$3-C248,E247)</f>
        <v>1651.29702540851</v>
      </c>
      <c r="E248" s="40" t="n">
        <f aca="false">E247-D248</f>
        <v>885726.130778506</v>
      </c>
      <c r="F248" s="40" t="n">
        <f aca="false">H247*Annahmen!$B$39/12</f>
        <v>1417.17501470555</v>
      </c>
      <c r="G248" s="40" t="n">
        <f aca="false">MIN($F$3-F248,H247)</f>
        <v>1189.49165196111</v>
      </c>
      <c r="H248" s="40" t="n">
        <f aca="false">H247-G248</f>
        <v>565680.514230261</v>
      </c>
      <c r="I248" s="40" t="n">
        <f aca="false">K247*Annahmen!$B$40/12</f>
        <v>5791.2531514701</v>
      </c>
      <c r="J248" s="40" t="n">
        <f aca="false">MIN($I$3-I248,K247)</f>
        <v>4662.2372732097</v>
      </c>
      <c r="K248" s="40" t="n">
        <f aca="false">K247-J248</f>
        <v>1732713.70816782</v>
      </c>
      <c r="L248" s="40" t="n">
        <f aca="false">C248+F248+I248</f>
        <v>9057.13114076714</v>
      </c>
      <c r="M248" s="40" t="n">
        <f aca="false">D248+G248+J248</f>
        <v>7503.02595057932</v>
      </c>
      <c r="N248" s="40" t="n">
        <f aca="false">L248+M248</f>
        <v>16560.1570913465</v>
      </c>
      <c r="O248" s="40" t="n">
        <f aca="false">E248+H248+K248</f>
        <v>3184120.35317659</v>
      </c>
    </row>
    <row r="249" customFormat="false" ht="15" hidden="false" customHeight="false" outlineLevel="0" collapsed="false">
      <c r="A249" s="39" t="n">
        <v>243</v>
      </c>
      <c r="B249" s="39" t="n">
        <f aca="false">ROUNDUP(A249/12,0)</f>
        <v>21</v>
      </c>
      <c r="C249" s="40" t="n">
        <f aca="false">E248*Annahmen!$B$38/12</f>
        <v>1845.26277245522</v>
      </c>
      <c r="D249" s="40" t="n">
        <f aca="false">MIN($C$3-C249,E248)</f>
        <v>1654.73722754478</v>
      </c>
      <c r="E249" s="40" t="n">
        <f aca="false">E248-D249</f>
        <v>884071.393550961</v>
      </c>
      <c r="F249" s="40" t="n">
        <f aca="false">H248*Annahmen!$B$39/12</f>
        <v>1414.20128557565</v>
      </c>
      <c r="G249" s="40" t="n">
        <f aca="false">MIN($F$3-F249,H248)</f>
        <v>1192.46538109101</v>
      </c>
      <c r="H249" s="40" t="n">
        <f aca="false">H248-G249</f>
        <v>564488.04884917</v>
      </c>
      <c r="I249" s="40" t="n">
        <f aca="false">K248*Annahmen!$B$40/12</f>
        <v>5775.7123605594</v>
      </c>
      <c r="J249" s="40" t="n">
        <f aca="false">MIN($I$3-I249,K248)</f>
        <v>4677.7780641204</v>
      </c>
      <c r="K249" s="40" t="n">
        <f aca="false">K248-J249</f>
        <v>1728035.9301037</v>
      </c>
      <c r="L249" s="40" t="n">
        <f aca="false">C249+F249+I249</f>
        <v>9035.17641859027</v>
      </c>
      <c r="M249" s="40" t="n">
        <f aca="false">D249+G249+J249</f>
        <v>7524.98067275619</v>
      </c>
      <c r="N249" s="40" t="n">
        <f aca="false">L249+M249</f>
        <v>16560.1570913465</v>
      </c>
      <c r="O249" s="40" t="n">
        <f aca="false">E249+H249+K249</f>
        <v>3176595.37250383</v>
      </c>
    </row>
    <row r="250" customFormat="false" ht="15" hidden="false" customHeight="false" outlineLevel="0" collapsed="false">
      <c r="A250" s="39" t="n">
        <v>244</v>
      </c>
      <c r="B250" s="39" t="n">
        <f aca="false">ROUNDUP(A250/12,0)</f>
        <v>21</v>
      </c>
      <c r="C250" s="40" t="n">
        <f aca="false">E249*Annahmen!$B$38/12</f>
        <v>1841.81540323117</v>
      </c>
      <c r="D250" s="40" t="n">
        <f aca="false">MIN($C$3-C250,E249)</f>
        <v>1658.18459676883</v>
      </c>
      <c r="E250" s="40" t="n">
        <f aca="false">E249-D250</f>
        <v>882413.208954193</v>
      </c>
      <c r="F250" s="40" t="n">
        <f aca="false">H249*Annahmen!$B$39/12</f>
        <v>1411.22012212292</v>
      </c>
      <c r="G250" s="40" t="n">
        <f aca="false">MIN($F$3-F250,H249)</f>
        <v>1195.44654454374</v>
      </c>
      <c r="H250" s="40" t="n">
        <f aca="false">H249-G250</f>
        <v>563292.602304626</v>
      </c>
      <c r="I250" s="40" t="n">
        <f aca="false">K249*Annahmen!$B$40/12</f>
        <v>5760.11976701233</v>
      </c>
      <c r="J250" s="40" t="n">
        <f aca="false">MIN($I$3-I250,K249)</f>
        <v>4693.37065766747</v>
      </c>
      <c r="K250" s="40" t="n">
        <f aca="false">K249-J250</f>
        <v>1723342.55944603</v>
      </c>
      <c r="L250" s="40" t="n">
        <f aca="false">C250+F250+I250</f>
        <v>9013.15529236643</v>
      </c>
      <c r="M250" s="40" t="n">
        <f aca="false">D250+G250+J250</f>
        <v>7547.00179898004</v>
      </c>
      <c r="N250" s="40" t="n">
        <f aca="false">L250+M250</f>
        <v>16560.1570913465</v>
      </c>
      <c r="O250" s="40" t="n">
        <f aca="false">E250+H250+K250</f>
        <v>3169048.37070485</v>
      </c>
    </row>
    <row r="251" customFormat="false" ht="15" hidden="false" customHeight="false" outlineLevel="0" collapsed="false">
      <c r="A251" s="39" t="n">
        <v>245</v>
      </c>
      <c r="B251" s="39" t="n">
        <f aca="false">ROUNDUP(A251/12,0)</f>
        <v>21</v>
      </c>
      <c r="C251" s="40" t="n">
        <f aca="false">E250*Annahmen!$B$38/12</f>
        <v>1838.3608519879</v>
      </c>
      <c r="D251" s="40" t="n">
        <f aca="false">MIN($C$3-C251,E250)</f>
        <v>1661.6391480121</v>
      </c>
      <c r="E251" s="40" t="n">
        <f aca="false">E250-D251</f>
        <v>880751.56980618</v>
      </c>
      <c r="F251" s="40" t="n">
        <f aca="false">H250*Annahmen!$B$39/12</f>
        <v>1408.23150576157</v>
      </c>
      <c r="G251" s="40" t="n">
        <f aca="false">MIN($F$3-F251,H250)</f>
        <v>1198.4351609051</v>
      </c>
      <c r="H251" s="40" t="n">
        <f aca="false">H250-G251</f>
        <v>562094.167143721</v>
      </c>
      <c r="I251" s="40" t="n">
        <f aca="false">K250*Annahmen!$B$40/12</f>
        <v>5744.47519815344</v>
      </c>
      <c r="J251" s="40" t="n">
        <f aca="false">MIN($I$3-I251,K250)</f>
        <v>4709.01522652636</v>
      </c>
      <c r="K251" s="40" t="n">
        <f aca="false">K250-J251</f>
        <v>1718633.54421951</v>
      </c>
      <c r="L251" s="40" t="n">
        <f aca="false">C251+F251+I251</f>
        <v>8991.06755590291</v>
      </c>
      <c r="M251" s="40" t="n">
        <f aca="false">D251+G251+J251</f>
        <v>7569.08953544356</v>
      </c>
      <c r="N251" s="40" t="n">
        <f aca="false">L251+M251</f>
        <v>16560.1570913465</v>
      </c>
      <c r="O251" s="40" t="n">
        <f aca="false">E251+H251+K251</f>
        <v>3161479.28116941</v>
      </c>
    </row>
    <row r="252" customFormat="false" ht="15" hidden="false" customHeight="false" outlineLevel="0" collapsed="false">
      <c r="A252" s="39" t="n">
        <v>246</v>
      </c>
      <c r="B252" s="39" t="n">
        <f aca="false">ROUNDUP(A252/12,0)</f>
        <v>21</v>
      </c>
      <c r="C252" s="40" t="n">
        <f aca="false">E251*Annahmen!$B$38/12</f>
        <v>1834.89910376288</v>
      </c>
      <c r="D252" s="40" t="n">
        <f aca="false">MIN($C$3-C252,E251)</f>
        <v>1665.10089623712</v>
      </c>
      <c r="E252" s="40" t="n">
        <f aca="false">E251-D252</f>
        <v>879086.468909943</v>
      </c>
      <c r="F252" s="40" t="n">
        <f aca="false">H251*Annahmen!$B$39/12</f>
        <v>1405.2354178593</v>
      </c>
      <c r="G252" s="40" t="n">
        <f aca="false">MIN($F$3-F252,H251)</f>
        <v>1201.43124880736</v>
      </c>
      <c r="H252" s="40" t="n">
        <f aca="false">H251-G252</f>
        <v>560892.735894913</v>
      </c>
      <c r="I252" s="40" t="n">
        <f aca="false">K251*Annahmen!$B$40/12</f>
        <v>5728.77848073169</v>
      </c>
      <c r="J252" s="40" t="n">
        <f aca="false">MIN($I$3-I252,K251)</f>
        <v>4724.71194394812</v>
      </c>
      <c r="K252" s="40" t="n">
        <f aca="false">K251-J252</f>
        <v>1713908.83227556</v>
      </c>
      <c r="L252" s="40" t="n">
        <f aca="false">C252+F252+I252</f>
        <v>8968.91300235386</v>
      </c>
      <c r="M252" s="40" t="n">
        <f aca="false">D252+G252+J252</f>
        <v>7591.2440889926</v>
      </c>
      <c r="N252" s="40" t="n">
        <f aca="false">L252+M252</f>
        <v>16560.1570913465</v>
      </c>
      <c r="O252" s="40" t="n">
        <f aca="false">E252+H252+K252</f>
        <v>3153888.03708041</v>
      </c>
    </row>
    <row r="253" customFormat="false" ht="15" hidden="false" customHeight="false" outlineLevel="0" collapsed="false">
      <c r="A253" s="39" t="n">
        <v>247</v>
      </c>
      <c r="B253" s="39" t="n">
        <f aca="false">ROUNDUP(A253/12,0)</f>
        <v>21</v>
      </c>
      <c r="C253" s="40" t="n">
        <f aca="false">E252*Annahmen!$B$38/12</f>
        <v>1831.43014356238</v>
      </c>
      <c r="D253" s="40" t="n">
        <f aca="false">MIN($C$3-C253,E252)</f>
        <v>1668.56985643762</v>
      </c>
      <c r="E253" s="40" t="n">
        <f aca="false">E252-D253</f>
        <v>877417.899053506</v>
      </c>
      <c r="F253" s="40" t="n">
        <f aca="false">H252*Annahmen!$B$39/12</f>
        <v>1402.23183973728</v>
      </c>
      <c r="G253" s="40" t="n">
        <f aca="false">MIN($F$3-F253,H252)</f>
        <v>1204.43482692938</v>
      </c>
      <c r="H253" s="40" t="n">
        <f aca="false">H252-G253</f>
        <v>559688.301067984</v>
      </c>
      <c r="I253" s="40" t="n">
        <f aca="false">K252*Annahmen!$B$40/12</f>
        <v>5713.02944091853</v>
      </c>
      <c r="J253" s="40" t="n">
        <f aca="false">MIN($I$3-I253,K252)</f>
        <v>4740.46098376128</v>
      </c>
      <c r="K253" s="40" t="n">
        <f aca="false">K252-J253</f>
        <v>1709168.3712918</v>
      </c>
      <c r="L253" s="40" t="n">
        <f aca="false">C253+F253+I253</f>
        <v>8946.69142421819</v>
      </c>
      <c r="M253" s="40" t="n">
        <f aca="false">D253+G253+J253</f>
        <v>7613.46566712828</v>
      </c>
      <c r="N253" s="40" t="n">
        <f aca="false">L253+M253</f>
        <v>16560.1570913465</v>
      </c>
      <c r="O253" s="40" t="n">
        <f aca="false">E253+H253+K253</f>
        <v>3146274.57141329</v>
      </c>
    </row>
    <row r="254" customFormat="false" ht="15" hidden="false" customHeight="false" outlineLevel="0" collapsed="false">
      <c r="A254" s="39" t="n">
        <v>248</v>
      </c>
      <c r="B254" s="39" t="n">
        <f aca="false">ROUNDUP(A254/12,0)</f>
        <v>21</v>
      </c>
      <c r="C254" s="40" t="n">
        <f aca="false">E253*Annahmen!$B$38/12</f>
        <v>1827.95395636147</v>
      </c>
      <c r="D254" s="40" t="n">
        <f aca="false">MIN($C$3-C254,E253)</f>
        <v>1672.04604363853</v>
      </c>
      <c r="E254" s="40" t="n">
        <f aca="false">E253-D254</f>
        <v>875745.853009867</v>
      </c>
      <c r="F254" s="40" t="n">
        <f aca="false">H253*Annahmen!$B$39/12</f>
        <v>1399.22075266996</v>
      </c>
      <c r="G254" s="40" t="n">
        <f aca="false">MIN($F$3-F254,H253)</f>
        <v>1207.44591399671</v>
      </c>
      <c r="H254" s="40" t="n">
        <f aca="false">H253-G254</f>
        <v>558480.855153987</v>
      </c>
      <c r="I254" s="40" t="n">
        <f aca="false">K253*Annahmen!$B$40/12</f>
        <v>5697.22790430599</v>
      </c>
      <c r="J254" s="40" t="n">
        <f aca="false">MIN($I$3-I254,K253)</f>
        <v>4756.26252037381</v>
      </c>
      <c r="K254" s="40" t="n">
        <f aca="false">K253-J254</f>
        <v>1704412.10877142</v>
      </c>
      <c r="L254" s="40" t="n">
        <f aca="false">C254+F254+I254</f>
        <v>8924.40261333742</v>
      </c>
      <c r="M254" s="40" t="n">
        <f aca="false">D254+G254+J254</f>
        <v>7635.75447800905</v>
      </c>
      <c r="N254" s="40" t="n">
        <f aca="false">L254+M254</f>
        <v>16560.1570913465</v>
      </c>
      <c r="O254" s="40" t="n">
        <f aca="false">E254+H254+K254</f>
        <v>3138638.81693528</v>
      </c>
    </row>
    <row r="255" customFormat="false" ht="15" hidden="false" customHeight="false" outlineLevel="0" collapsed="false">
      <c r="A255" s="39" t="n">
        <v>249</v>
      </c>
      <c r="B255" s="39" t="n">
        <f aca="false">ROUNDUP(A255/12,0)</f>
        <v>21</v>
      </c>
      <c r="C255" s="40" t="n">
        <f aca="false">E254*Annahmen!$B$38/12</f>
        <v>1824.47052710389</v>
      </c>
      <c r="D255" s="40" t="n">
        <f aca="false">MIN($C$3-C255,E254)</f>
        <v>1675.52947289611</v>
      </c>
      <c r="E255" s="40" t="n">
        <f aca="false">E254-D255</f>
        <v>874070.323536971</v>
      </c>
      <c r="F255" s="40" t="n">
        <f aca="false">H254*Annahmen!$B$39/12</f>
        <v>1396.20213788497</v>
      </c>
      <c r="G255" s="40" t="n">
        <f aca="false">MIN($F$3-F255,H254)</f>
        <v>1210.4645287817</v>
      </c>
      <c r="H255" s="40" t="n">
        <f aca="false">H254-G255</f>
        <v>557270.390625206</v>
      </c>
      <c r="I255" s="40" t="n">
        <f aca="false">K254*Annahmen!$B$40/12</f>
        <v>5681.37369590474</v>
      </c>
      <c r="J255" s="40" t="n">
        <f aca="false">MIN($I$3-I255,K254)</f>
        <v>4772.11672877506</v>
      </c>
      <c r="K255" s="40" t="n">
        <f aca="false">K254-J255</f>
        <v>1699639.99204265</v>
      </c>
      <c r="L255" s="40" t="n">
        <f aca="false">C255+F255+I255</f>
        <v>8902.0463608936</v>
      </c>
      <c r="M255" s="40" t="n">
        <f aca="false">D255+G255+J255</f>
        <v>7658.11073045287</v>
      </c>
      <c r="N255" s="40" t="n">
        <f aca="false">L255+M255</f>
        <v>16560.1570913465</v>
      </c>
      <c r="O255" s="40" t="n">
        <f aca="false">E255+H255+K255</f>
        <v>3130980.70620482</v>
      </c>
    </row>
    <row r="256" customFormat="false" ht="15" hidden="false" customHeight="false" outlineLevel="0" collapsed="false">
      <c r="A256" s="39" t="n">
        <v>250</v>
      </c>
      <c r="B256" s="39" t="n">
        <f aca="false">ROUNDUP(A256/12,0)</f>
        <v>21</v>
      </c>
      <c r="C256" s="40" t="n">
        <f aca="false">E255*Annahmen!$B$38/12</f>
        <v>1820.97984070202</v>
      </c>
      <c r="D256" s="40" t="n">
        <f aca="false">MIN($C$3-C256,E255)</f>
        <v>1679.02015929798</v>
      </c>
      <c r="E256" s="40" t="n">
        <f aca="false">E255-D256</f>
        <v>872391.303377673</v>
      </c>
      <c r="F256" s="40" t="n">
        <f aca="false">H255*Annahmen!$B$39/12</f>
        <v>1393.17597656301</v>
      </c>
      <c r="G256" s="40" t="n">
        <f aca="false">MIN($F$3-F256,H255)</f>
        <v>1213.49069010365</v>
      </c>
      <c r="H256" s="40" t="n">
        <f aca="false">H255-G256</f>
        <v>556056.899935102</v>
      </c>
      <c r="I256" s="40" t="n">
        <f aca="false">K255*Annahmen!$B$40/12</f>
        <v>5665.46664014216</v>
      </c>
      <c r="J256" s="40" t="n">
        <f aca="false">MIN($I$3-I256,K255)</f>
        <v>4788.02378453764</v>
      </c>
      <c r="K256" s="40" t="n">
        <f aca="false">K255-J256</f>
        <v>1694851.96825811</v>
      </c>
      <c r="L256" s="40" t="n">
        <f aca="false">C256+F256+I256</f>
        <v>8879.6224574072</v>
      </c>
      <c r="M256" s="40" t="n">
        <f aca="false">D256+G256+J256</f>
        <v>7680.53463393927</v>
      </c>
      <c r="N256" s="40" t="n">
        <f aca="false">L256+M256</f>
        <v>16560.1570913465</v>
      </c>
      <c r="O256" s="40" t="n">
        <f aca="false">E256+H256+K256</f>
        <v>3123300.17157089</v>
      </c>
    </row>
    <row r="257" customFormat="false" ht="15" hidden="false" customHeight="false" outlineLevel="0" collapsed="false">
      <c r="A257" s="39" t="n">
        <v>251</v>
      </c>
      <c r="B257" s="39" t="n">
        <f aca="false">ROUNDUP(A257/12,0)</f>
        <v>21</v>
      </c>
      <c r="C257" s="40" t="n">
        <f aca="false">E256*Annahmen!$B$38/12</f>
        <v>1817.48188203682</v>
      </c>
      <c r="D257" s="40" t="n">
        <f aca="false">MIN($C$3-C257,E256)</f>
        <v>1682.51811796318</v>
      </c>
      <c r="E257" s="40" t="n">
        <f aca="false">E256-D257</f>
        <v>870708.78525971</v>
      </c>
      <c r="F257" s="40" t="n">
        <f aca="false">H256*Annahmen!$B$39/12</f>
        <v>1390.14224983776</v>
      </c>
      <c r="G257" s="40" t="n">
        <f aca="false">MIN($F$3-F257,H256)</f>
        <v>1216.52441682891</v>
      </c>
      <c r="H257" s="40" t="n">
        <f aca="false">H256-G257</f>
        <v>554840.375518273</v>
      </c>
      <c r="I257" s="40" t="n">
        <f aca="false">K256*Annahmen!$B$40/12</f>
        <v>5649.50656086037</v>
      </c>
      <c r="J257" s="40" t="n">
        <f aca="false">MIN($I$3-I257,K256)</f>
        <v>4803.98386381944</v>
      </c>
      <c r="K257" s="40" t="n">
        <f aca="false">K256-J257</f>
        <v>1690047.98439429</v>
      </c>
      <c r="L257" s="40" t="n">
        <f aca="false">C257+F257+I257</f>
        <v>8857.13069273494</v>
      </c>
      <c r="M257" s="40" t="n">
        <f aca="false">D257+G257+J257</f>
        <v>7703.02639861153</v>
      </c>
      <c r="N257" s="40" t="n">
        <f aca="false">L257+M257</f>
        <v>16560.1570913465</v>
      </c>
      <c r="O257" s="40" t="n">
        <f aca="false">E257+H257+K257</f>
        <v>3115597.14517227</v>
      </c>
    </row>
    <row r="258" customFormat="false" ht="15" hidden="false" customHeight="false" outlineLevel="0" collapsed="false">
      <c r="A258" s="39" t="n">
        <v>252</v>
      </c>
      <c r="B258" s="39" t="n">
        <f aca="false">ROUNDUP(A258/12,0)</f>
        <v>21</v>
      </c>
      <c r="C258" s="40" t="n">
        <f aca="false">E257*Annahmen!$B$38/12</f>
        <v>1813.97663595773</v>
      </c>
      <c r="D258" s="40" t="n">
        <f aca="false">MIN($C$3-C258,E257)</f>
        <v>1686.02336404227</v>
      </c>
      <c r="E258" s="40" t="n">
        <f aca="false">E257-D258</f>
        <v>869022.761895668</v>
      </c>
      <c r="F258" s="40" t="n">
        <f aca="false">H257*Annahmen!$B$39/12</f>
        <v>1387.10093879568</v>
      </c>
      <c r="G258" s="40" t="n">
        <f aca="false">MIN($F$3-F258,H257)</f>
        <v>1219.56572787098</v>
      </c>
      <c r="H258" s="40" t="n">
        <f aca="false">H257-G258</f>
        <v>553620.809790402</v>
      </c>
      <c r="I258" s="40" t="n">
        <f aca="false">K257*Annahmen!$B$40/12</f>
        <v>5633.4932813143</v>
      </c>
      <c r="J258" s="40" t="n">
        <f aca="false">MIN($I$3-I258,K257)</f>
        <v>4819.9971433655</v>
      </c>
      <c r="K258" s="40" t="n">
        <f aca="false">K257-J258</f>
        <v>1685227.98725093</v>
      </c>
      <c r="L258" s="40" t="n">
        <f aca="false">C258+F258+I258</f>
        <v>8834.57085606771</v>
      </c>
      <c r="M258" s="40" t="n">
        <f aca="false">D258+G258+J258</f>
        <v>7725.58623527875</v>
      </c>
      <c r="N258" s="40" t="n">
        <f aca="false">L258+M258</f>
        <v>16560.1570913465</v>
      </c>
      <c r="O258" s="40" t="n">
        <f aca="false">E258+H258+K258</f>
        <v>3107871.55893699</v>
      </c>
    </row>
    <row r="259" customFormat="false" ht="15" hidden="false" customHeight="false" outlineLevel="0" collapsed="false">
      <c r="A259" s="39" t="n">
        <v>253</v>
      </c>
      <c r="B259" s="39" t="n">
        <f aca="false">ROUNDUP(A259/12,0)</f>
        <v>22</v>
      </c>
      <c r="C259" s="40" t="n">
        <f aca="false">E258*Annahmen!$B$38/12</f>
        <v>1810.46408728264</v>
      </c>
      <c r="D259" s="40" t="n">
        <f aca="false">MIN($C$3-C259,E258)</f>
        <v>1689.53591271736</v>
      </c>
      <c r="E259" s="40" t="n">
        <f aca="false">E258-D259</f>
        <v>867333.22598295</v>
      </c>
      <c r="F259" s="40" t="n">
        <f aca="false">H258*Annahmen!$B$39/12</f>
        <v>1384.05202447601</v>
      </c>
      <c r="G259" s="40" t="n">
        <f aca="false">MIN($F$3-F259,H258)</f>
        <v>1222.61464219066</v>
      </c>
      <c r="H259" s="40" t="n">
        <f aca="false">H258-G259</f>
        <v>552398.195148212</v>
      </c>
      <c r="I259" s="40" t="n">
        <f aca="false">K258*Annahmen!$B$40/12</f>
        <v>5617.42662416975</v>
      </c>
      <c r="J259" s="40" t="n">
        <f aca="false">MIN($I$3-I259,K258)</f>
        <v>4836.06380051005</v>
      </c>
      <c r="K259" s="40" t="n">
        <f aca="false">K258-J259</f>
        <v>1680391.92345042</v>
      </c>
      <c r="L259" s="40" t="n">
        <f aca="false">C259+F259+I259</f>
        <v>8811.9427359284</v>
      </c>
      <c r="M259" s="40" t="n">
        <f aca="false">D259+G259+J259</f>
        <v>7748.21435541807</v>
      </c>
      <c r="N259" s="40" t="n">
        <f aca="false">L259+M259</f>
        <v>16560.1570913465</v>
      </c>
      <c r="O259" s="40" t="n">
        <f aca="false">E259+H259+K259</f>
        <v>3100123.34458158</v>
      </c>
    </row>
    <row r="260" customFormat="false" ht="15" hidden="false" customHeight="false" outlineLevel="0" collapsed="false">
      <c r="A260" s="39" t="n">
        <v>254</v>
      </c>
      <c r="B260" s="39" t="n">
        <f aca="false">ROUNDUP(A260/12,0)</f>
        <v>22</v>
      </c>
      <c r="C260" s="40" t="n">
        <f aca="false">E259*Annahmen!$B$38/12</f>
        <v>1806.94422079781</v>
      </c>
      <c r="D260" s="40" t="n">
        <f aca="false">MIN($C$3-C260,E259)</f>
        <v>1693.05577920219</v>
      </c>
      <c r="E260" s="40" t="n">
        <f aca="false">E259-D260</f>
        <v>865640.170203748</v>
      </c>
      <c r="F260" s="40" t="n">
        <f aca="false">H259*Annahmen!$B$39/12</f>
        <v>1380.99548787053</v>
      </c>
      <c r="G260" s="40" t="n">
        <f aca="false">MIN($F$3-F260,H259)</f>
        <v>1225.67117879614</v>
      </c>
      <c r="H260" s="40" t="n">
        <f aca="false">H259-G260</f>
        <v>551172.523969416</v>
      </c>
      <c r="I260" s="40" t="n">
        <f aca="false">K259*Annahmen!$B$40/12</f>
        <v>5601.30641150138</v>
      </c>
      <c r="J260" s="40" t="n">
        <f aca="false">MIN($I$3-I260,K259)</f>
        <v>4852.18401317842</v>
      </c>
      <c r="K260" s="40" t="n">
        <f aca="false">K259-J260</f>
        <v>1675539.73943724</v>
      </c>
      <c r="L260" s="40" t="n">
        <f aca="false">C260+F260+I260</f>
        <v>8789.24612016973</v>
      </c>
      <c r="M260" s="40" t="n">
        <f aca="false">D260+G260+J260</f>
        <v>7770.91097117674</v>
      </c>
      <c r="N260" s="40" t="n">
        <f aca="false">L260+M260</f>
        <v>16560.1570913465</v>
      </c>
      <c r="O260" s="40" t="n">
        <f aca="false">E260+H260+K260</f>
        <v>3092352.4336104</v>
      </c>
    </row>
    <row r="261" customFormat="false" ht="15" hidden="false" customHeight="false" outlineLevel="0" collapsed="false">
      <c r="A261" s="39" t="n">
        <v>255</v>
      </c>
      <c r="B261" s="39" t="n">
        <f aca="false">ROUNDUP(A261/12,0)</f>
        <v>22</v>
      </c>
      <c r="C261" s="40" t="n">
        <f aca="false">E260*Annahmen!$B$38/12</f>
        <v>1803.41702125781</v>
      </c>
      <c r="D261" s="40" t="n">
        <f aca="false">MIN($C$3-C261,E260)</f>
        <v>1696.58297874219</v>
      </c>
      <c r="E261" s="40" t="n">
        <f aca="false">E260-D261</f>
        <v>863943.587225006</v>
      </c>
      <c r="F261" s="40" t="n">
        <f aca="false">H260*Annahmen!$B$39/12</f>
        <v>1377.93130992354</v>
      </c>
      <c r="G261" s="40" t="n">
        <f aca="false">MIN($F$3-F261,H260)</f>
        <v>1228.73535674313</v>
      </c>
      <c r="H261" s="40" t="n">
        <f aca="false">H260-G261</f>
        <v>549943.788612672</v>
      </c>
      <c r="I261" s="40" t="n">
        <f aca="false">K260*Annahmen!$B$40/12</f>
        <v>5585.13246479079</v>
      </c>
      <c r="J261" s="40" t="n">
        <f aca="false">MIN($I$3-I261,K260)</f>
        <v>4868.35795988901</v>
      </c>
      <c r="K261" s="40" t="n">
        <f aca="false">K260-J261</f>
        <v>1670671.38147735</v>
      </c>
      <c r="L261" s="40" t="n">
        <f aca="false">C261+F261+I261</f>
        <v>8766.48079597214</v>
      </c>
      <c r="M261" s="40" t="n">
        <f aca="false">D261+G261+J261</f>
        <v>7793.67629537433</v>
      </c>
      <c r="N261" s="40" t="n">
        <f aca="false">L261+M261</f>
        <v>16560.1570913465</v>
      </c>
      <c r="O261" s="40" t="n">
        <f aca="false">E261+H261+K261</f>
        <v>3084558.75731503</v>
      </c>
    </row>
    <row r="262" customFormat="false" ht="15" hidden="false" customHeight="false" outlineLevel="0" collapsed="false">
      <c r="A262" s="39" t="n">
        <v>256</v>
      </c>
      <c r="B262" s="39" t="n">
        <f aca="false">ROUNDUP(A262/12,0)</f>
        <v>22</v>
      </c>
      <c r="C262" s="40" t="n">
        <f aca="false">E261*Annahmen!$B$38/12</f>
        <v>1799.88247338543</v>
      </c>
      <c r="D262" s="40" t="n">
        <f aca="false">MIN($C$3-C262,E261)</f>
        <v>1700.11752661457</v>
      </c>
      <c r="E262" s="40" t="n">
        <f aca="false">E261-D262</f>
        <v>862243.469698391</v>
      </c>
      <c r="F262" s="40" t="n">
        <f aca="false">H261*Annahmen!$B$39/12</f>
        <v>1374.85947153168</v>
      </c>
      <c r="G262" s="40" t="n">
        <f aca="false">MIN($F$3-F262,H261)</f>
        <v>1231.80719513498</v>
      </c>
      <c r="H262" s="40" t="n">
        <f aca="false">H261-G262</f>
        <v>548711.981417537</v>
      </c>
      <c r="I262" s="40" t="n">
        <f aca="false">K261*Annahmen!$B$40/12</f>
        <v>5568.90460492449</v>
      </c>
      <c r="J262" s="40" t="n">
        <f aca="false">MIN($I$3-I262,K261)</f>
        <v>4884.58581975531</v>
      </c>
      <c r="K262" s="40" t="n">
        <f aca="false">K261-J262</f>
        <v>1665786.79565759</v>
      </c>
      <c r="L262" s="40" t="n">
        <f aca="false">C262+F262+I262</f>
        <v>8743.6465498416</v>
      </c>
      <c r="M262" s="40" t="n">
        <f aca="false">D262+G262+J262</f>
        <v>7816.51054150486</v>
      </c>
      <c r="N262" s="40" t="n">
        <f aca="false">L262+M262</f>
        <v>16560.1570913465</v>
      </c>
      <c r="O262" s="40" t="n">
        <f aca="false">E262+H262+K262</f>
        <v>3076742.24677352</v>
      </c>
    </row>
    <row r="263" customFormat="false" ht="15" hidden="false" customHeight="false" outlineLevel="0" collapsed="false">
      <c r="A263" s="39" t="n">
        <v>257</v>
      </c>
      <c r="B263" s="39" t="n">
        <f aca="false">ROUNDUP(A263/12,0)</f>
        <v>22</v>
      </c>
      <c r="C263" s="40" t="n">
        <f aca="false">E262*Annahmen!$B$38/12</f>
        <v>1796.34056187165</v>
      </c>
      <c r="D263" s="40" t="n">
        <f aca="false">MIN($C$3-C263,E262)</f>
        <v>1703.65943812835</v>
      </c>
      <c r="E263" s="40" t="n">
        <f aca="false">E262-D263</f>
        <v>860539.810260263</v>
      </c>
      <c r="F263" s="40" t="n">
        <f aca="false">H262*Annahmen!$B$39/12</f>
        <v>1371.77995354384</v>
      </c>
      <c r="G263" s="40" t="n">
        <f aca="false">MIN($F$3-F263,H262)</f>
        <v>1234.88671312282</v>
      </c>
      <c r="H263" s="40" t="n">
        <f aca="false">H262-G263</f>
        <v>547477.094704415</v>
      </c>
      <c r="I263" s="40" t="n">
        <f aca="false">K262*Annahmen!$B$40/12</f>
        <v>5552.62265219197</v>
      </c>
      <c r="J263" s="40" t="n">
        <f aca="false">MIN($I$3-I263,K262)</f>
        <v>4900.86777248783</v>
      </c>
      <c r="K263" s="40" t="n">
        <f aca="false">K262-J263</f>
        <v>1660885.9278851</v>
      </c>
      <c r="L263" s="40" t="n">
        <f aca="false">C263+F263+I263</f>
        <v>8720.74316760747</v>
      </c>
      <c r="M263" s="40" t="n">
        <f aca="false">D263+G263+J263</f>
        <v>7839.413923739</v>
      </c>
      <c r="N263" s="40" t="n">
        <f aca="false">L263+M263</f>
        <v>16560.1570913465</v>
      </c>
      <c r="O263" s="40" t="n">
        <f aca="false">E263+H263+K263</f>
        <v>3068902.83284978</v>
      </c>
    </row>
    <row r="264" customFormat="false" ht="15" hidden="false" customHeight="false" outlineLevel="0" collapsed="false">
      <c r="A264" s="39" t="n">
        <v>258</v>
      </c>
      <c r="B264" s="39" t="n">
        <f aca="false">ROUNDUP(A264/12,0)</f>
        <v>22</v>
      </c>
      <c r="C264" s="40" t="n">
        <f aca="false">E263*Annahmen!$B$38/12</f>
        <v>1792.79127137555</v>
      </c>
      <c r="D264" s="40" t="n">
        <f aca="false">MIN($C$3-C264,E263)</f>
        <v>1707.20872862445</v>
      </c>
      <c r="E264" s="40" t="n">
        <f aca="false">E263-D264</f>
        <v>858832.601531638</v>
      </c>
      <c r="F264" s="40" t="n">
        <f aca="false">H263*Annahmen!$B$39/12</f>
        <v>1368.69273676104</v>
      </c>
      <c r="G264" s="40" t="n">
        <f aca="false">MIN($F$3-F264,H263)</f>
        <v>1237.97392990563</v>
      </c>
      <c r="H264" s="40" t="n">
        <f aca="false">H263-G264</f>
        <v>546239.120774509</v>
      </c>
      <c r="I264" s="40" t="n">
        <f aca="false">K263*Annahmen!$B$40/12</f>
        <v>5536.28642628368</v>
      </c>
      <c r="J264" s="40" t="n">
        <f aca="false">MIN($I$3-I264,K263)</f>
        <v>4917.20399839612</v>
      </c>
      <c r="K264" s="40" t="n">
        <f aca="false">K263-J264</f>
        <v>1655968.72388671</v>
      </c>
      <c r="L264" s="40" t="n">
        <f aca="false">C264+F264+I264</f>
        <v>8697.77043442027</v>
      </c>
      <c r="M264" s="40" t="n">
        <f aca="false">D264+G264+J264</f>
        <v>7862.3866569262</v>
      </c>
      <c r="N264" s="40" t="n">
        <f aca="false">L264+M264</f>
        <v>16560.1570913465</v>
      </c>
      <c r="O264" s="40" t="n">
        <f aca="false">E264+H264+K264</f>
        <v>3061040.44619286</v>
      </c>
    </row>
    <row r="265" customFormat="false" ht="15" hidden="false" customHeight="false" outlineLevel="0" collapsed="false">
      <c r="A265" s="39" t="n">
        <v>259</v>
      </c>
      <c r="B265" s="39" t="n">
        <f aca="false">ROUNDUP(A265/12,0)</f>
        <v>22</v>
      </c>
      <c r="C265" s="40" t="n">
        <f aca="false">E264*Annahmen!$B$38/12</f>
        <v>1789.23458652425</v>
      </c>
      <c r="D265" s="40" t="n">
        <f aca="false">MIN($C$3-C265,E264)</f>
        <v>1710.76541347575</v>
      </c>
      <c r="E265" s="40" t="n">
        <f aca="false">E264-D265</f>
        <v>857121.836118163</v>
      </c>
      <c r="F265" s="40" t="n">
        <f aca="false">H264*Annahmen!$B$39/12</f>
        <v>1365.59780193627</v>
      </c>
      <c r="G265" s="40" t="n">
        <f aca="false">MIN($F$3-F265,H264)</f>
        <v>1241.06886473039</v>
      </c>
      <c r="H265" s="40" t="n">
        <f aca="false">H264-G265</f>
        <v>544998.051909779</v>
      </c>
      <c r="I265" s="40" t="n">
        <f aca="false">K264*Annahmen!$B$40/12</f>
        <v>5519.89574628903</v>
      </c>
      <c r="J265" s="40" t="n">
        <f aca="false">MIN($I$3-I265,K264)</f>
        <v>4933.59467839077</v>
      </c>
      <c r="K265" s="40" t="n">
        <f aca="false">K264-J265</f>
        <v>1651035.12920832</v>
      </c>
      <c r="L265" s="40" t="n">
        <f aca="false">C265+F265+I265</f>
        <v>8674.72813474955</v>
      </c>
      <c r="M265" s="40" t="n">
        <f aca="false">D265+G265+J265</f>
        <v>7885.42895659692</v>
      </c>
      <c r="N265" s="40" t="n">
        <f aca="false">L265+M265</f>
        <v>16560.1570913465</v>
      </c>
      <c r="O265" s="40" t="n">
        <f aca="false">E265+H265+K265</f>
        <v>3053155.01723626</v>
      </c>
    </row>
    <row r="266" customFormat="false" ht="15" hidden="false" customHeight="false" outlineLevel="0" collapsed="false">
      <c r="A266" s="39" t="n">
        <v>260</v>
      </c>
      <c r="B266" s="39" t="n">
        <f aca="false">ROUNDUP(A266/12,0)</f>
        <v>22</v>
      </c>
      <c r="C266" s="40" t="n">
        <f aca="false">E265*Annahmen!$B$38/12</f>
        <v>1785.67049191284</v>
      </c>
      <c r="D266" s="40" t="n">
        <f aca="false">MIN($C$3-C266,E265)</f>
        <v>1714.32950808716</v>
      </c>
      <c r="E266" s="40" t="n">
        <f aca="false">E265-D266</f>
        <v>855407.506610076</v>
      </c>
      <c r="F266" s="40" t="n">
        <f aca="false">H265*Annahmen!$B$39/12</f>
        <v>1362.49512977445</v>
      </c>
      <c r="G266" s="40" t="n">
        <f aca="false">MIN($F$3-F266,H265)</f>
        <v>1244.17153689222</v>
      </c>
      <c r="H266" s="40" t="n">
        <f aca="false">H265-G266</f>
        <v>543753.880372886</v>
      </c>
      <c r="I266" s="40" t="n">
        <f aca="false">K265*Annahmen!$B$40/12</f>
        <v>5503.45043069439</v>
      </c>
      <c r="J266" s="40" t="n">
        <f aca="false">MIN($I$3-I266,K265)</f>
        <v>4950.03999398541</v>
      </c>
      <c r="K266" s="40" t="n">
        <f aca="false">K265-J266</f>
        <v>1646085.08921433</v>
      </c>
      <c r="L266" s="40" t="n">
        <f aca="false">C266+F266+I266</f>
        <v>8651.61605238168</v>
      </c>
      <c r="M266" s="40" t="n">
        <f aca="false">D266+G266+J266</f>
        <v>7908.54103896479</v>
      </c>
      <c r="N266" s="40" t="n">
        <f aca="false">L266+M266</f>
        <v>16560.1570913465</v>
      </c>
      <c r="O266" s="40" t="n">
        <f aca="false">E266+H266+K266</f>
        <v>3045246.47619729</v>
      </c>
    </row>
    <row r="267" customFormat="false" ht="15" hidden="false" customHeight="false" outlineLevel="0" collapsed="false">
      <c r="A267" s="39" t="n">
        <v>261</v>
      </c>
      <c r="B267" s="39" t="n">
        <f aca="false">ROUNDUP(A267/12,0)</f>
        <v>22</v>
      </c>
      <c r="C267" s="40" t="n">
        <f aca="false">E266*Annahmen!$B$38/12</f>
        <v>1782.09897210432</v>
      </c>
      <c r="D267" s="40" t="n">
        <f aca="false">MIN($C$3-C267,E266)</f>
        <v>1717.90102789567</v>
      </c>
      <c r="E267" s="40" t="n">
        <f aca="false">E266-D267</f>
        <v>853689.60558218</v>
      </c>
      <c r="F267" s="40" t="n">
        <f aca="false">H266*Annahmen!$B$39/12</f>
        <v>1359.38470093222</v>
      </c>
      <c r="G267" s="40" t="n">
        <f aca="false">MIN($F$3-F267,H266)</f>
        <v>1247.28196573445</v>
      </c>
      <c r="H267" s="40" t="n">
        <f aca="false">H266-G267</f>
        <v>542506.598407152</v>
      </c>
      <c r="I267" s="40" t="n">
        <f aca="false">K266*Annahmen!$B$40/12</f>
        <v>5486.95029738111</v>
      </c>
      <c r="J267" s="40" t="n">
        <f aca="false">MIN($I$3-I267,K266)</f>
        <v>4966.5401272987</v>
      </c>
      <c r="K267" s="40" t="n">
        <f aca="false">K266-J267</f>
        <v>1641118.54908703</v>
      </c>
      <c r="L267" s="40" t="n">
        <f aca="false">C267+F267+I267</f>
        <v>8628.43397041765</v>
      </c>
      <c r="M267" s="40" t="n">
        <f aca="false">D267+G267+J267</f>
        <v>7931.72312092882</v>
      </c>
      <c r="N267" s="40" t="n">
        <f aca="false">L267+M267</f>
        <v>16560.1570913465</v>
      </c>
      <c r="O267" s="40" t="n">
        <f aca="false">E267+H267+K267</f>
        <v>3037314.75307637</v>
      </c>
    </row>
    <row r="268" customFormat="false" ht="15" hidden="false" customHeight="false" outlineLevel="0" collapsed="false">
      <c r="A268" s="39" t="n">
        <v>262</v>
      </c>
      <c r="B268" s="39" t="n">
        <f aca="false">ROUNDUP(A268/12,0)</f>
        <v>22</v>
      </c>
      <c r="C268" s="40" t="n">
        <f aca="false">E267*Annahmen!$B$38/12</f>
        <v>1778.52001162954</v>
      </c>
      <c r="D268" s="40" t="n">
        <f aca="false">MIN($C$3-C268,E267)</f>
        <v>1721.47998837046</v>
      </c>
      <c r="E268" s="40" t="n">
        <f aca="false">E267-D268</f>
        <v>851968.125593809</v>
      </c>
      <c r="F268" s="40" t="n">
        <f aca="false">H267*Annahmen!$B$39/12</f>
        <v>1356.26649601788</v>
      </c>
      <c r="G268" s="40" t="n">
        <f aca="false">MIN($F$3-F268,H267)</f>
        <v>1250.40017064879</v>
      </c>
      <c r="H268" s="40" t="n">
        <f aca="false">H267-G268</f>
        <v>541256.198236503</v>
      </c>
      <c r="I268" s="40" t="n">
        <f aca="false">K267*Annahmen!$B$40/12</f>
        <v>5470.39516362345</v>
      </c>
      <c r="J268" s="40" t="n">
        <f aca="false">MIN($I$3-I268,K267)</f>
        <v>4983.09526105636</v>
      </c>
      <c r="K268" s="40" t="n">
        <f aca="false">K267-J268</f>
        <v>1636135.45382598</v>
      </c>
      <c r="L268" s="40" t="n">
        <f aca="false">C268+F268+I268</f>
        <v>8605.18167127087</v>
      </c>
      <c r="M268" s="40" t="n">
        <f aca="false">D268+G268+J268</f>
        <v>7954.9754200756</v>
      </c>
      <c r="N268" s="40" t="n">
        <f aca="false">L268+M268</f>
        <v>16560.1570913465</v>
      </c>
      <c r="O268" s="40" t="n">
        <f aca="false">E268+H268+K268</f>
        <v>3029359.77765629</v>
      </c>
    </row>
    <row r="269" customFormat="false" ht="15" hidden="false" customHeight="false" outlineLevel="0" collapsed="false">
      <c r="A269" s="39" t="n">
        <v>263</v>
      </c>
      <c r="B269" s="39" t="n">
        <f aca="false">ROUNDUP(A269/12,0)</f>
        <v>22</v>
      </c>
      <c r="C269" s="40" t="n">
        <f aca="false">E268*Annahmen!$B$38/12</f>
        <v>1774.9335949871</v>
      </c>
      <c r="D269" s="40" t="n">
        <f aca="false">MIN($C$3-C269,E268)</f>
        <v>1725.0664050129</v>
      </c>
      <c r="E269" s="40" t="n">
        <f aca="false">E268-D269</f>
        <v>850243.059188797</v>
      </c>
      <c r="F269" s="40" t="n">
        <f aca="false">H268*Annahmen!$B$39/12</f>
        <v>1353.14049559126</v>
      </c>
      <c r="G269" s="40" t="n">
        <f aca="false">MIN($F$3-F269,H268)</f>
        <v>1253.52617107541</v>
      </c>
      <c r="H269" s="40" t="n">
        <f aca="false">H268-G269</f>
        <v>540002.672065428</v>
      </c>
      <c r="I269" s="40" t="n">
        <f aca="false">K268*Annahmen!$B$40/12</f>
        <v>5453.78484608659</v>
      </c>
      <c r="J269" s="40" t="n">
        <f aca="false">MIN($I$3-I269,K268)</f>
        <v>4999.70557859321</v>
      </c>
      <c r="K269" s="40" t="n">
        <f aca="false">K268-J269</f>
        <v>1631135.74824738</v>
      </c>
      <c r="L269" s="40" t="n">
        <f aca="false">C269+F269+I269</f>
        <v>8581.85893666495</v>
      </c>
      <c r="M269" s="40" t="n">
        <f aca="false">D269+G269+J269</f>
        <v>7978.29815468152</v>
      </c>
      <c r="N269" s="40" t="n">
        <f aca="false">L269+M269</f>
        <v>16560.1570913465</v>
      </c>
      <c r="O269" s="40" t="n">
        <f aca="false">E269+H269+K269</f>
        <v>3021381.47950161</v>
      </c>
    </row>
    <row r="270" customFormat="false" ht="15" hidden="false" customHeight="false" outlineLevel="0" collapsed="false">
      <c r="A270" s="39" t="n">
        <v>264</v>
      </c>
      <c r="B270" s="39" t="n">
        <f aca="false">ROUNDUP(A270/12,0)</f>
        <v>22</v>
      </c>
      <c r="C270" s="40" t="n">
        <f aca="false">E269*Annahmen!$B$38/12</f>
        <v>1771.33970664333</v>
      </c>
      <c r="D270" s="40" t="n">
        <f aca="false">MIN($C$3-C270,E269)</f>
        <v>1728.66029335667</v>
      </c>
      <c r="E270" s="40" t="n">
        <f aca="false">E269-D270</f>
        <v>848514.39889544</v>
      </c>
      <c r="F270" s="40" t="n">
        <f aca="false">H269*Annahmen!$B$39/12</f>
        <v>1350.00668016357</v>
      </c>
      <c r="G270" s="40" t="n">
        <f aca="false">MIN($F$3-F270,H269)</f>
        <v>1256.6599865031</v>
      </c>
      <c r="H270" s="40" t="n">
        <f aca="false">H269-G270</f>
        <v>538746.012078925</v>
      </c>
      <c r="I270" s="40" t="n">
        <f aca="false">K269*Annahmen!$B$40/12</f>
        <v>5437.11916082461</v>
      </c>
      <c r="J270" s="40" t="n">
        <f aca="false">MIN($I$3-I270,K269)</f>
        <v>5016.37126385519</v>
      </c>
      <c r="K270" s="40" t="n">
        <f aca="false">K269-J270</f>
        <v>1626119.37698353</v>
      </c>
      <c r="L270" s="40" t="n">
        <f aca="false">C270+F270+I270</f>
        <v>8558.46554763151</v>
      </c>
      <c r="M270" s="40" t="n">
        <f aca="false">D270+G270+J270</f>
        <v>8001.69154371496</v>
      </c>
      <c r="N270" s="40" t="n">
        <f aca="false">L270+M270</f>
        <v>16560.1570913465</v>
      </c>
      <c r="O270" s="40" t="n">
        <f aca="false">E270+H270+K270</f>
        <v>3013379.78795789</v>
      </c>
    </row>
    <row r="271" customFormat="false" ht="15" hidden="false" customHeight="false" outlineLevel="0" collapsed="false">
      <c r="A271" s="39" t="n">
        <v>265</v>
      </c>
      <c r="B271" s="39" t="n">
        <f aca="false">ROUNDUP(A271/12,0)</f>
        <v>23</v>
      </c>
      <c r="C271" s="40" t="n">
        <f aca="false">E270*Annahmen!$B$38/12</f>
        <v>1767.73833103217</v>
      </c>
      <c r="D271" s="40" t="n">
        <f aca="false">MIN($C$3-C271,E270)</f>
        <v>1732.26166896783</v>
      </c>
      <c r="E271" s="40" t="n">
        <f aca="false">E270-D271</f>
        <v>846782.137226472</v>
      </c>
      <c r="F271" s="40" t="n">
        <f aca="false">H270*Annahmen!$B$39/12</f>
        <v>1346.86503019731</v>
      </c>
      <c r="G271" s="40" t="n">
        <f aca="false">MIN($F$3-F271,H270)</f>
        <v>1259.80163646935</v>
      </c>
      <c r="H271" s="40" t="n">
        <f aca="false">H270-G271</f>
        <v>537486.210442455</v>
      </c>
      <c r="I271" s="40" t="n">
        <f aca="false">K270*Annahmen!$B$40/12</f>
        <v>5420.39792327843</v>
      </c>
      <c r="J271" s="40" t="n">
        <f aca="false">MIN($I$3-I271,K270)</f>
        <v>5033.09250140137</v>
      </c>
      <c r="K271" s="40" t="n">
        <f aca="false">K270-J271</f>
        <v>1621086.28448213</v>
      </c>
      <c r="L271" s="40" t="n">
        <f aca="false">C271+F271+I271</f>
        <v>8535.00128450791</v>
      </c>
      <c r="M271" s="40" t="n">
        <f aca="false">D271+G271+J271</f>
        <v>8025.15580683856</v>
      </c>
      <c r="N271" s="40" t="n">
        <f aca="false">L271+M271</f>
        <v>16560.1570913465</v>
      </c>
      <c r="O271" s="40" t="n">
        <f aca="false">E271+H271+K271</f>
        <v>3005354.63215105</v>
      </c>
    </row>
    <row r="272" customFormat="false" ht="15" hidden="false" customHeight="false" outlineLevel="0" collapsed="false">
      <c r="A272" s="39" t="n">
        <v>266</v>
      </c>
      <c r="B272" s="39" t="n">
        <f aca="false">ROUNDUP(A272/12,0)</f>
        <v>23</v>
      </c>
      <c r="C272" s="40" t="n">
        <f aca="false">E271*Annahmen!$B$38/12</f>
        <v>1764.12945255515</v>
      </c>
      <c r="D272" s="40" t="n">
        <f aca="false">MIN($C$3-C272,E271)</f>
        <v>1735.87054744485</v>
      </c>
      <c r="E272" s="40" t="n">
        <f aca="false">E271-D272</f>
        <v>845046.266679027</v>
      </c>
      <c r="F272" s="40" t="n">
        <f aca="false">H271*Annahmen!$B$39/12</f>
        <v>1343.71552610614</v>
      </c>
      <c r="G272" s="40" t="n">
        <f aca="false">MIN($F$3-F272,H271)</f>
        <v>1262.95114056053</v>
      </c>
      <c r="H272" s="40" t="n">
        <f aca="false">H271-G272</f>
        <v>536223.259301895</v>
      </c>
      <c r="I272" s="40" t="n">
        <f aca="false">K271*Annahmen!$B$40/12</f>
        <v>5403.62094827376</v>
      </c>
      <c r="J272" s="40" t="n">
        <f aca="false">MIN($I$3-I272,K271)</f>
        <v>5049.86947640605</v>
      </c>
      <c r="K272" s="40" t="n">
        <f aca="false">K271-J272</f>
        <v>1616036.41500572</v>
      </c>
      <c r="L272" s="40" t="n">
        <f aca="false">C272+F272+I272</f>
        <v>8511.46592693505</v>
      </c>
      <c r="M272" s="40" t="n">
        <f aca="false">D272+G272+J272</f>
        <v>8048.69116441142</v>
      </c>
      <c r="N272" s="40" t="n">
        <f aca="false">L272+M272</f>
        <v>16560.1570913465</v>
      </c>
      <c r="O272" s="40" t="n">
        <f aca="false">E272+H272+K272</f>
        <v>2997305.94098664</v>
      </c>
    </row>
    <row r="273" customFormat="false" ht="15" hidden="false" customHeight="false" outlineLevel="0" collapsed="false">
      <c r="A273" s="39" t="n">
        <v>267</v>
      </c>
      <c r="B273" s="39" t="n">
        <f aca="false">ROUNDUP(A273/12,0)</f>
        <v>23</v>
      </c>
      <c r="C273" s="40" t="n">
        <f aca="false">E272*Annahmen!$B$38/12</f>
        <v>1760.51305558131</v>
      </c>
      <c r="D273" s="40" t="n">
        <f aca="false">MIN($C$3-C273,E272)</f>
        <v>1739.48694441869</v>
      </c>
      <c r="E273" s="40" t="n">
        <f aca="false">E272-D273</f>
        <v>843306.779734609</v>
      </c>
      <c r="F273" s="40" t="n">
        <f aca="false">H272*Annahmen!$B$39/12</f>
        <v>1340.55814825474</v>
      </c>
      <c r="G273" s="40" t="n">
        <f aca="false">MIN($F$3-F273,H272)</f>
        <v>1266.10851841193</v>
      </c>
      <c r="H273" s="40" t="n">
        <f aca="false">H272-G273</f>
        <v>534957.150783483</v>
      </c>
      <c r="I273" s="40" t="n">
        <f aca="false">K272*Annahmen!$B$40/12</f>
        <v>5386.78805001907</v>
      </c>
      <c r="J273" s="40" t="n">
        <f aca="false">MIN($I$3-I273,K272)</f>
        <v>5066.70237466073</v>
      </c>
      <c r="K273" s="40" t="n">
        <f aca="false">K272-J273</f>
        <v>1610969.71263106</v>
      </c>
      <c r="L273" s="40" t="n">
        <f aca="false">C273+F273+I273</f>
        <v>8487.85925385512</v>
      </c>
      <c r="M273" s="40" t="n">
        <f aca="false">D273+G273+J273</f>
        <v>8072.29783749135</v>
      </c>
      <c r="N273" s="40" t="n">
        <f aca="false">L273+M273</f>
        <v>16560.1570913465</v>
      </c>
      <c r="O273" s="40" t="n">
        <f aca="false">E273+H273+K273</f>
        <v>2989233.64314915</v>
      </c>
    </row>
    <row r="274" customFormat="false" ht="15" hidden="false" customHeight="false" outlineLevel="0" collapsed="false">
      <c r="A274" s="39" t="n">
        <v>268</v>
      </c>
      <c r="B274" s="39" t="n">
        <f aca="false">ROUNDUP(A274/12,0)</f>
        <v>23</v>
      </c>
      <c r="C274" s="40" t="n">
        <f aca="false">E273*Annahmen!$B$38/12</f>
        <v>1756.8891244471</v>
      </c>
      <c r="D274" s="40" t="n">
        <f aca="false">MIN($C$3-C274,E273)</f>
        <v>1743.1108755529</v>
      </c>
      <c r="E274" s="40" t="n">
        <f aca="false">E273-D274</f>
        <v>841563.668859056</v>
      </c>
      <c r="F274" s="40" t="n">
        <f aca="false">H273*Annahmen!$B$39/12</f>
        <v>1337.39287695871</v>
      </c>
      <c r="G274" s="40" t="n">
        <f aca="false">MIN($F$3-F274,H273)</f>
        <v>1269.27378970796</v>
      </c>
      <c r="H274" s="40" t="n">
        <f aca="false">H273-G274</f>
        <v>533687.876993775</v>
      </c>
      <c r="I274" s="40" t="n">
        <f aca="false">K273*Annahmen!$B$40/12</f>
        <v>5369.89904210353</v>
      </c>
      <c r="J274" s="40" t="n">
        <f aca="false">MIN($I$3-I274,K273)</f>
        <v>5083.59138257627</v>
      </c>
      <c r="K274" s="40" t="n">
        <f aca="false">K273-J274</f>
        <v>1605886.12124848</v>
      </c>
      <c r="L274" s="40" t="n">
        <f aca="false">C274+F274+I274</f>
        <v>8464.18104350934</v>
      </c>
      <c r="M274" s="40" t="n">
        <f aca="false">D274+G274+J274</f>
        <v>8095.97604783712</v>
      </c>
      <c r="N274" s="40" t="n">
        <f aca="false">L274+M274</f>
        <v>16560.1570913465</v>
      </c>
      <c r="O274" s="40" t="n">
        <f aca="false">E274+H274+K274</f>
        <v>2981137.66710131</v>
      </c>
    </row>
    <row r="275" customFormat="false" ht="15" hidden="false" customHeight="false" outlineLevel="0" collapsed="false">
      <c r="A275" s="39" t="n">
        <v>269</v>
      </c>
      <c r="B275" s="39" t="n">
        <f aca="false">ROUNDUP(A275/12,0)</f>
        <v>23</v>
      </c>
      <c r="C275" s="40" t="n">
        <f aca="false">E274*Annahmen!$B$38/12</f>
        <v>1753.25764345637</v>
      </c>
      <c r="D275" s="40" t="n">
        <f aca="false">MIN($C$3-C275,E274)</f>
        <v>1746.74235654363</v>
      </c>
      <c r="E275" s="40" t="n">
        <f aca="false">E274-D275</f>
        <v>839816.926502512</v>
      </c>
      <c r="F275" s="40" t="n">
        <f aca="false">H274*Annahmen!$B$39/12</f>
        <v>1334.21969248444</v>
      </c>
      <c r="G275" s="40" t="n">
        <f aca="false">MIN($F$3-F275,H274)</f>
        <v>1272.44697418223</v>
      </c>
      <c r="H275" s="40" t="n">
        <f aca="false">H274-G275</f>
        <v>532415.430019593</v>
      </c>
      <c r="I275" s="40" t="n">
        <f aca="false">K274*Annahmen!$B$40/12</f>
        <v>5352.95373749495</v>
      </c>
      <c r="J275" s="40" t="n">
        <f aca="false">MIN($I$3-I275,K274)</f>
        <v>5100.53668718485</v>
      </c>
      <c r="K275" s="40" t="n">
        <f aca="false">K274-J275</f>
        <v>1600785.5845613</v>
      </c>
      <c r="L275" s="40" t="n">
        <f aca="false">C275+F275+I275</f>
        <v>8440.43107343575</v>
      </c>
      <c r="M275" s="40" t="n">
        <f aca="false">D275+G275+J275</f>
        <v>8119.72601791071</v>
      </c>
      <c r="N275" s="40" t="n">
        <f aca="false">L275+M275</f>
        <v>16560.1570913465</v>
      </c>
      <c r="O275" s="40" t="n">
        <f aca="false">E275+H275+K275</f>
        <v>2973017.9410834</v>
      </c>
    </row>
    <row r="276" customFormat="false" ht="15" hidden="false" customHeight="false" outlineLevel="0" collapsed="false">
      <c r="A276" s="39" t="n">
        <v>270</v>
      </c>
      <c r="B276" s="39" t="n">
        <f aca="false">ROUNDUP(A276/12,0)</f>
        <v>23</v>
      </c>
      <c r="C276" s="40" t="n">
        <f aca="false">E275*Annahmen!$B$38/12</f>
        <v>1749.61859688023</v>
      </c>
      <c r="D276" s="40" t="n">
        <f aca="false">MIN($C$3-C276,E275)</f>
        <v>1750.38140311976</v>
      </c>
      <c r="E276" s="40" t="n">
        <f aca="false">E275-D276</f>
        <v>838066.545099392</v>
      </c>
      <c r="F276" s="40" t="n">
        <f aca="false">H275*Annahmen!$B$39/12</f>
        <v>1331.03857504898</v>
      </c>
      <c r="G276" s="40" t="n">
        <f aca="false">MIN($F$3-F276,H275)</f>
        <v>1275.62809161768</v>
      </c>
      <c r="H276" s="40" t="n">
        <f aca="false">H275-G276</f>
        <v>531139.801927975</v>
      </c>
      <c r="I276" s="40" t="n">
        <f aca="false">K275*Annahmen!$B$40/12</f>
        <v>5335.95194853767</v>
      </c>
      <c r="J276" s="40" t="n">
        <f aca="false">MIN($I$3-I276,K275)</f>
        <v>5117.53847614214</v>
      </c>
      <c r="K276" s="40" t="n">
        <f aca="false">K275-J276</f>
        <v>1595668.04608516</v>
      </c>
      <c r="L276" s="40" t="n">
        <f aca="false">C276+F276+I276</f>
        <v>8416.60912046688</v>
      </c>
      <c r="M276" s="40" t="n">
        <f aca="false">D276+G276+J276</f>
        <v>8143.54797087959</v>
      </c>
      <c r="N276" s="40" t="n">
        <f aca="false">L276+M276</f>
        <v>16560.1570913465</v>
      </c>
      <c r="O276" s="40" t="n">
        <f aca="false">E276+H276+K276</f>
        <v>2964874.39311252</v>
      </c>
    </row>
    <row r="277" customFormat="false" ht="15" hidden="false" customHeight="false" outlineLevel="0" collapsed="false">
      <c r="A277" s="39" t="n">
        <v>271</v>
      </c>
      <c r="B277" s="39" t="n">
        <f aca="false">ROUNDUP(A277/12,0)</f>
        <v>23</v>
      </c>
      <c r="C277" s="40" t="n">
        <f aca="false">E276*Annahmen!$B$38/12</f>
        <v>1745.97196895707</v>
      </c>
      <c r="D277" s="40" t="n">
        <f aca="false">MIN($C$3-C277,E276)</f>
        <v>1754.02803104293</v>
      </c>
      <c r="E277" s="40" t="n">
        <f aca="false">E276-D277</f>
        <v>836312.51706835</v>
      </c>
      <c r="F277" s="40" t="n">
        <f aca="false">H276*Annahmen!$B$39/12</f>
        <v>1327.84950481994</v>
      </c>
      <c r="G277" s="40" t="n">
        <f aca="false">MIN($F$3-F277,H276)</f>
        <v>1278.81716184673</v>
      </c>
      <c r="H277" s="40" t="n">
        <f aca="false">H276-G277</f>
        <v>529860.984766128</v>
      </c>
      <c r="I277" s="40" t="n">
        <f aca="false">K276*Annahmen!$B$40/12</f>
        <v>5318.89348695052</v>
      </c>
      <c r="J277" s="40" t="n">
        <f aca="false">MIN($I$3-I277,K276)</f>
        <v>5134.59693772928</v>
      </c>
      <c r="K277" s="40" t="n">
        <f aca="false">K276-J277</f>
        <v>1590533.44914743</v>
      </c>
      <c r="L277" s="40" t="n">
        <f aca="false">C277+F277+I277</f>
        <v>8392.71496072753</v>
      </c>
      <c r="M277" s="40" t="n">
        <f aca="false">D277+G277+J277</f>
        <v>8167.44213061894</v>
      </c>
      <c r="N277" s="40" t="n">
        <f aca="false">L277+M277</f>
        <v>16560.1570913465</v>
      </c>
      <c r="O277" s="40" t="n">
        <f aca="false">E277+H277+K277</f>
        <v>2956706.95098191</v>
      </c>
    </row>
    <row r="278" customFormat="false" ht="15" hidden="false" customHeight="false" outlineLevel="0" collapsed="false">
      <c r="A278" s="39" t="n">
        <v>272</v>
      </c>
      <c r="B278" s="39" t="n">
        <f aca="false">ROUNDUP(A278/12,0)</f>
        <v>23</v>
      </c>
      <c r="C278" s="40" t="n">
        <f aca="false">E277*Annahmen!$B$38/12</f>
        <v>1742.3177438924</v>
      </c>
      <c r="D278" s="40" t="n">
        <f aca="false">MIN($C$3-C278,E277)</f>
        <v>1757.6822561076</v>
      </c>
      <c r="E278" s="40" t="n">
        <f aca="false">E277-D278</f>
        <v>834554.834812242</v>
      </c>
      <c r="F278" s="40" t="n">
        <f aca="false">H277*Annahmen!$B$39/12</f>
        <v>1324.65246191532</v>
      </c>
      <c r="G278" s="40" t="n">
        <f aca="false">MIN($F$3-F278,H277)</f>
        <v>1282.01420475135</v>
      </c>
      <c r="H278" s="40" t="n">
        <f aca="false">H277-G278</f>
        <v>528578.970561377</v>
      </c>
      <c r="I278" s="40" t="n">
        <f aca="false">K277*Annahmen!$B$40/12</f>
        <v>5301.77816382476</v>
      </c>
      <c r="J278" s="40" t="n">
        <f aca="false">MIN($I$3-I278,K277)</f>
        <v>5151.71226085504</v>
      </c>
      <c r="K278" s="40" t="n">
        <f aca="false">K277-J278</f>
        <v>1585381.73688657</v>
      </c>
      <c r="L278" s="40" t="n">
        <f aca="false">C278+F278+I278</f>
        <v>8368.74836963247</v>
      </c>
      <c r="M278" s="40" t="n">
        <f aca="false">D278+G278+J278</f>
        <v>8191.40872171399</v>
      </c>
      <c r="N278" s="40" t="n">
        <f aca="false">L278+M278</f>
        <v>16560.1570913465</v>
      </c>
      <c r="O278" s="40" t="n">
        <f aca="false">E278+H278+K278</f>
        <v>2948515.54226019</v>
      </c>
    </row>
    <row r="279" customFormat="false" ht="15" hidden="false" customHeight="false" outlineLevel="0" collapsed="false">
      <c r="A279" s="39" t="n">
        <v>273</v>
      </c>
      <c r="B279" s="39" t="n">
        <f aca="false">ROUNDUP(A279/12,0)</f>
        <v>23</v>
      </c>
      <c r="C279" s="40" t="n">
        <f aca="false">E278*Annahmen!$B$38/12</f>
        <v>1738.65590585884</v>
      </c>
      <c r="D279" s="40" t="n">
        <f aca="false">MIN($C$3-C279,E278)</f>
        <v>1761.34409414116</v>
      </c>
      <c r="E279" s="40" t="n">
        <f aca="false">E278-D279</f>
        <v>832793.490718101</v>
      </c>
      <c r="F279" s="40" t="n">
        <f aca="false">H278*Annahmen!$B$39/12</f>
        <v>1321.44742640344</v>
      </c>
      <c r="G279" s="40" t="n">
        <f aca="false">MIN($F$3-F279,H278)</f>
        <v>1285.21924026322</v>
      </c>
      <c r="H279" s="40" t="n">
        <f aca="false">H278-G279</f>
        <v>527293.751321114</v>
      </c>
      <c r="I279" s="40" t="n">
        <f aca="false">K278*Annahmen!$B$40/12</f>
        <v>5284.60578962191</v>
      </c>
      <c r="J279" s="40" t="n">
        <f aca="false">MIN($I$3-I279,K278)</f>
        <v>5168.88463505789</v>
      </c>
      <c r="K279" s="40" t="n">
        <f aca="false">K278-J279</f>
        <v>1580212.85225151</v>
      </c>
      <c r="L279" s="40" t="n">
        <f aca="false">C279+F279+I279</f>
        <v>8344.70912188419</v>
      </c>
      <c r="M279" s="40" t="n">
        <f aca="false">D279+G279+J279</f>
        <v>8215.44796946228</v>
      </c>
      <c r="N279" s="40" t="n">
        <f aca="false">L279+M279</f>
        <v>16560.1570913465</v>
      </c>
      <c r="O279" s="40" t="n">
        <f aca="false">E279+H279+K279</f>
        <v>2940300.09429073</v>
      </c>
    </row>
    <row r="280" customFormat="false" ht="15" hidden="false" customHeight="false" outlineLevel="0" collapsed="false">
      <c r="A280" s="39" t="n">
        <v>274</v>
      </c>
      <c r="B280" s="39" t="n">
        <f aca="false">ROUNDUP(A280/12,0)</f>
        <v>23</v>
      </c>
      <c r="C280" s="40" t="n">
        <f aca="false">E279*Annahmen!$B$38/12</f>
        <v>1734.98643899604</v>
      </c>
      <c r="D280" s="40" t="n">
        <f aca="false">MIN($C$3-C280,E279)</f>
        <v>1765.01356100396</v>
      </c>
      <c r="E280" s="40" t="n">
        <f aca="false">E279-D280</f>
        <v>831028.477157097</v>
      </c>
      <c r="F280" s="40" t="n">
        <f aca="false">H279*Annahmen!$B$39/12</f>
        <v>1318.23437830278</v>
      </c>
      <c r="G280" s="40" t="n">
        <f aca="false">MIN($F$3-F280,H279)</f>
        <v>1288.43228836388</v>
      </c>
      <c r="H280" s="40" t="n">
        <f aca="false">H279-G280</f>
        <v>526005.31903275</v>
      </c>
      <c r="I280" s="40" t="n">
        <f aca="false">K279*Annahmen!$B$40/12</f>
        <v>5267.37617417172</v>
      </c>
      <c r="J280" s="40" t="n">
        <f aca="false">MIN($I$3-I280,K279)</f>
        <v>5186.11425050809</v>
      </c>
      <c r="K280" s="40" t="n">
        <f aca="false">K279-J280</f>
        <v>1575026.73800101</v>
      </c>
      <c r="L280" s="40" t="n">
        <f aca="false">C280+F280+I280</f>
        <v>8320.59699147054</v>
      </c>
      <c r="M280" s="40" t="n">
        <f aca="false">D280+G280+J280</f>
        <v>8239.56009987592</v>
      </c>
      <c r="N280" s="40" t="n">
        <f aca="false">L280+M280</f>
        <v>16560.1570913465</v>
      </c>
      <c r="O280" s="40" t="n">
        <f aca="false">E280+H280+K280</f>
        <v>2932060.53419085</v>
      </c>
    </row>
    <row r="281" customFormat="false" ht="15" hidden="false" customHeight="false" outlineLevel="0" collapsed="false">
      <c r="A281" s="39" t="n">
        <v>275</v>
      </c>
      <c r="B281" s="39" t="n">
        <f aca="false">ROUNDUP(A281/12,0)</f>
        <v>23</v>
      </c>
      <c r="C281" s="40" t="n">
        <f aca="false">E280*Annahmen!$B$38/12</f>
        <v>1731.30932741062</v>
      </c>
      <c r="D281" s="40" t="n">
        <f aca="false">MIN($C$3-C281,E280)</f>
        <v>1768.69067258938</v>
      </c>
      <c r="E281" s="40" t="n">
        <f aca="false">E280-D281</f>
        <v>829259.786484508</v>
      </c>
      <c r="F281" s="40" t="n">
        <f aca="false">H280*Annahmen!$B$39/12</f>
        <v>1315.01329758187</v>
      </c>
      <c r="G281" s="40" t="n">
        <f aca="false">MIN($F$3-F281,H280)</f>
        <v>1291.65336908479</v>
      </c>
      <c r="H281" s="40" t="n">
        <f aca="false">H280-G281</f>
        <v>524713.665663665</v>
      </c>
      <c r="I281" s="40" t="n">
        <f aca="false">K280*Annahmen!$B$40/12</f>
        <v>5250.08912667002</v>
      </c>
      <c r="J281" s="40" t="n">
        <f aca="false">MIN($I$3-I281,K280)</f>
        <v>5203.40129800978</v>
      </c>
      <c r="K281" s="40" t="n">
        <f aca="false">K280-J281</f>
        <v>1569823.336703</v>
      </c>
      <c r="L281" s="40" t="n">
        <f aca="false">C281+F281+I281</f>
        <v>8296.41175166252</v>
      </c>
      <c r="M281" s="40" t="n">
        <f aca="false">D281+G281+J281</f>
        <v>8263.74533968395</v>
      </c>
      <c r="N281" s="40" t="n">
        <f aca="false">L281+M281</f>
        <v>16560.1570913465</v>
      </c>
      <c r="O281" s="40" t="n">
        <f aca="false">E281+H281+K281</f>
        <v>2923796.78885117</v>
      </c>
    </row>
    <row r="282" customFormat="false" ht="15" hidden="false" customHeight="false" outlineLevel="0" collapsed="false">
      <c r="A282" s="39" t="n">
        <v>276</v>
      </c>
      <c r="B282" s="39" t="n">
        <f aca="false">ROUNDUP(A282/12,0)</f>
        <v>23</v>
      </c>
      <c r="C282" s="40" t="n">
        <f aca="false">E281*Annahmen!$B$38/12</f>
        <v>1727.62455517606</v>
      </c>
      <c r="D282" s="40" t="n">
        <f aca="false">MIN($C$3-C282,E281)</f>
        <v>1772.37544482394</v>
      </c>
      <c r="E282" s="40" t="n">
        <f aca="false">E281-D282</f>
        <v>827487.411039684</v>
      </c>
      <c r="F282" s="40" t="n">
        <f aca="false">H281*Annahmen!$B$39/12</f>
        <v>1311.78416415916</v>
      </c>
      <c r="G282" s="40" t="n">
        <f aca="false">MIN($F$3-F282,H281)</f>
        <v>1294.8825025075</v>
      </c>
      <c r="H282" s="40" t="n">
        <f aca="false">H281-G282</f>
        <v>523418.783161157</v>
      </c>
      <c r="I282" s="40" t="n">
        <f aca="false">K281*Annahmen!$B$40/12</f>
        <v>5232.74445567666</v>
      </c>
      <c r="J282" s="40" t="n">
        <f aca="false">MIN($I$3-I282,K281)</f>
        <v>5220.74596900315</v>
      </c>
      <c r="K282" s="40" t="n">
        <f aca="false">K281-J282</f>
        <v>1564602.59073399</v>
      </c>
      <c r="L282" s="40" t="n">
        <f aca="false">C282+F282+I282</f>
        <v>8272.15317501188</v>
      </c>
      <c r="M282" s="40" t="n">
        <f aca="false">D282+G282+J282</f>
        <v>8288.00391633459</v>
      </c>
      <c r="N282" s="40" t="n">
        <f aca="false">L282+M282</f>
        <v>16560.1570913465</v>
      </c>
      <c r="O282" s="40" t="n">
        <f aca="false">E282+H282+K282</f>
        <v>2915508.78493483</v>
      </c>
    </row>
    <row r="283" customFormat="false" ht="15" hidden="false" customHeight="false" outlineLevel="0" collapsed="false">
      <c r="A283" s="39" t="n">
        <v>277</v>
      </c>
      <c r="B283" s="39" t="n">
        <f aca="false">ROUNDUP(A283/12,0)</f>
        <v>24</v>
      </c>
      <c r="C283" s="40" t="n">
        <f aca="false">E282*Annahmen!$B$38/12</f>
        <v>1723.93210633267</v>
      </c>
      <c r="D283" s="40" t="n">
        <f aca="false">MIN($C$3-C283,E282)</f>
        <v>1776.06789366732</v>
      </c>
      <c r="E283" s="40" t="n">
        <f aca="false">E282-D283</f>
        <v>825711.343146016</v>
      </c>
      <c r="F283" s="40" t="n">
        <f aca="false">H282*Annahmen!$B$39/12</f>
        <v>1308.54695790289</v>
      </c>
      <c r="G283" s="40" t="n">
        <f aca="false">MIN($F$3-F283,H282)</f>
        <v>1298.11970876377</v>
      </c>
      <c r="H283" s="40" t="n">
        <f aca="false">H282-G283</f>
        <v>522120.663452394</v>
      </c>
      <c r="I283" s="40" t="n">
        <f aca="false">K282*Annahmen!$B$40/12</f>
        <v>5215.34196911331</v>
      </c>
      <c r="J283" s="40" t="n">
        <f aca="false">MIN($I$3-I283,K282)</f>
        <v>5238.14845556649</v>
      </c>
      <c r="K283" s="40" t="n">
        <f aca="false">K282-J283</f>
        <v>1559364.44227843</v>
      </c>
      <c r="L283" s="40" t="n">
        <f aca="false">C283+F283+I283</f>
        <v>8247.82103334888</v>
      </c>
      <c r="M283" s="40" t="n">
        <f aca="false">D283+G283+J283</f>
        <v>8312.33605799759</v>
      </c>
      <c r="N283" s="40" t="n">
        <f aca="false">L283+M283</f>
        <v>16560.1570913465</v>
      </c>
      <c r="O283" s="40" t="n">
        <f aca="false">E283+H283+K283</f>
        <v>2907196.44887684</v>
      </c>
    </row>
    <row r="284" customFormat="false" ht="15" hidden="false" customHeight="false" outlineLevel="0" collapsed="false">
      <c r="A284" s="39" t="n">
        <v>278</v>
      </c>
      <c r="B284" s="39" t="n">
        <f aca="false">ROUNDUP(A284/12,0)</f>
        <v>24</v>
      </c>
      <c r="C284" s="40" t="n">
        <f aca="false">E283*Annahmen!$B$38/12</f>
        <v>1720.23196488753</v>
      </c>
      <c r="D284" s="40" t="n">
        <f aca="false">MIN($C$3-C284,E283)</f>
        <v>1779.76803511247</v>
      </c>
      <c r="E284" s="40" t="n">
        <f aca="false">E283-D284</f>
        <v>823931.575110904</v>
      </c>
      <c r="F284" s="40" t="n">
        <f aca="false">H283*Annahmen!$B$39/12</f>
        <v>1305.30165863098</v>
      </c>
      <c r="G284" s="40" t="n">
        <f aca="false">MIN($F$3-F284,H283)</f>
        <v>1301.36500803568</v>
      </c>
      <c r="H284" s="40" t="n">
        <f aca="false">H283-G284</f>
        <v>520819.298444358</v>
      </c>
      <c r="I284" s="40" t="n">
        <f aca="false">K283*Annahmen!$B$40/12</f>
        <v>5197.88147426142</v>
      </c>
      <c r="J284" s="40" t="n">
        <f aca="false">MIN($I$3-I284,K283)</f>
        <v>5255.60895041838</v>
      </c>
      <c r="K284" s="40" t="n">
        <f aca="false">K283-J284</f>
        <v>1554108.83332801</v>
      </c>
      <c r="L284" s="40" t="n">
        <f aca="false">C284+F284+I284</f>
        <v>8223.41509777994</v>
      </c>
      <c r="M284" s="40" t="n">
        <f aca="false">D284+G284+J284</f>
        <v>8336.74199356652</v>
      </c>
      <c r="N284" s="40" t="n">
        <f aca="false">L284+M284</f>
        <v>16560.1570913465</v>
      </c>
      <c r="O284" s="40" t="n">
        <f aca="false">E284+H284+K284</f>
        <v>2898859.70688327</v>
      </c>
    </row>
    <row r="285" customFormat="false" ht="15" hidden="false" customHeight="false" outlineLevel="0" collapsed="false">
      <c r="A285" s="39" t="n">
        <v>279</v>
      </c>
      <c r="B285" s="39" t="n">
        <f aca="false">ROUNDUP(A285/12,0)</f>
        <v>24</v>
      </c>
      <c r="C285" s="40" t="n">
        <f aca="false">E284*Annahmen!$B$38/12</f>
        <v>1716.52411481438</v>
      </c>
      <c r="D285" s="40" t="n">
        <f aca="false">MIN($C$3-C285,E284)</f>
        <v>1783.47588518562</v>
      </c>
      <c r="E285" s="40" t="n">
        <f aca="false">E284-D285</f>
        <v>822148.099225718</v>
      </c>
      <c r="F285" s="40" t="n">
        <f aca="false">H284*Annahmen!$B$39/12</f>
        <v>1302.0482461109</v>
      </c>
      <c r="G285" s="40" t="n">
        <f aca="false">MIN($F$3-F285,H284)</f>
        <v>1304.61842055577</v>
      </c>
      <c r="H285" s="40" t="n">
        <f aca="false">H284-G285</f>
        <v>519514.680023802</v>
      </c>
      <c r="I285" s="40" t="n">
        <f aca="false">K284*Annahmen!$B$40/12</f>
        <v>5180.36277776003</v>
      </c>
      <c r="J285" s="40" t="n">
        <f aca="false">MIN($I$3-I285,K284)</f>
        <v>5273.12764691977</v>
      </c>
      <c r="K285" s="40" t="n">
        <f aca="false">K284-J285</f>
        <v>1548835.70568109</v>
      </c>
      <c r="L285" s="40" t="n">
        <f aca="false">C285+F285+I285</f>
        <v>8198.93513868531</v>
      </c>
      <c r="M285" s="40" t="n">
        <f aca="false">D285+G285+J285</f>
        <v>8361.22195266116</v>
      </c>
      <c r="N285" s="40" t="n">
        <f aca="false">L285+M285</f>
        <v>16560.1570913465</v>
      </c>
      <c r="O285" s="40" t="n">
        <f aca="false">E285+H285+K285</f>
        <v>2890498.48493061</v>
      </c>
    </row>
    <row r="286" customFormat="false" ht="15" hidden="false" customHeight="false" outlineLevel="0" collapsed="false">
      <c r="A286" s="39" t="n">
        <v>280</v>
      </c>
      <c r="B286" s="39" t="n">
        <f aca="false">ROUNDUP(A286/12,0)</f>
        <v>24</v>
      </c>
      <c r="C286" s="40" t="n">
        <f aca="false">E285*Annahmen!$B$38/12</f>
        <v>1712.80854005358</v>
      </c>
      <c r="D286" s="40" t="n">
        <f aca="false">MIN($C$3-C286,E285)</f>
        <v>1787.19145994642</v>
      </c>
      <c r="E286" s="40" t="n">
        <f aca="false">E285-D286</f>
        <v>820360.907765772</v>
      </c>
      <c r="F286" s="40" t="n">
        <f aca="false">H285*Annahmen!$B$39/12</f>
        <v>1298.78670005951</v>
      </c>
      <c r="G286" s="40" t="n">
        <f aca="false">MIN($F$3-F286,H285)</f>
        <v>1307.87996660716</v>
      </c>
      <c r="H286" s="40" t="n">
        <f aca="false">H285-G286</f>
        <v>518206.800057195</v>
      </c>
      <c r="I286" s="40" t="n">
        <f aca="false">K285*Annahmen!$B$40/12</f>
        <v>5162.78568560363</v>
      </c>
      <c r="J286" s="40" t="n">
        <f aca="false">MIN($I$3-I286,K285)</f>
        <v>5290.70473907617</v>
      </c>
      <c r="K286" s="40" t="n">
        <f aca="false">K285-J286</f>
        <v>1543545.00094201</v>
      </c>
      <c r="L286" s="40" t="n">
        <f aca="false">C286+F286+I286</f>
        <v>8174.38092571672</v>
      </c>
      <c r="M286" s="40" t="n">
        <f aca="false">D286+G286+J286</f>
        <v>8385.77616562975</v>
      </c>
      <c r="N286" s="40" t="n">
        <f aca="false">L286+M286</f>
        <v>16560.1570913465</v>
      </c>
      <c r="O286" s="40" t="n">
        <f aca="false">E286+H286+K286</f>
        <v>2882112.70876498</v>
      </c>
    </row>
    <row r="287" customFormat="false" ht="15" hidden="false" customHeight="false" outlineLevel="0" collapsed="false">
      <c r="A287" s="39" t="n">
        <v>281</v>
      </c>
      <c r="B287" s="39" t="n">
        <f aca="false">ROUNDUP(A287/12,0)</f>
        <v>24</v>
      </c>
      <c r="C287" s="40" t="n">
        <f aca="false">E286*Annahmen!$B$38/12</f>
        <v>1709.08522451202</v>
      </c>
      <c r="D287" s="40" t="n">
        <f aca="false">MIN($C$3-C287,E286)</f>
        <v>1790.91477548797</v>
      </c>
      <c r="E287" s="40" t="n">
        <f aca="false">E286-D287</f>
        <v>818569.992990284</v>
      </c>
      <c r="F287" s="40" t="n">
        <f aca="false">H286*Annahmen!$B$39/12</f>
        <v>1295.51700014299</v>
      </c>
      <c r="G287" s="40" t="n">
        <f aca="false">MIN($F$3-F287,H286)</f>
        <v>1311.14966652368</v>
      </c>
      <c r="H287" s="40" t="n">
        <f aca="false">H286-G287</f>
        <v>516895.650390671</v>
      </c>
      <c r="I287" s="40" t="n">
        <f aca="false">K286*Annahmen!$B$40/12</f>
        <v>5145.15000314004</v>
      </c>
      <c r="J287" s="40" t="n">
        <f aca="false">MIN($I$3-I287,K286)</f>
        <v>5308.34042153976</v>
      </c>
      <c r="K287" s="40" t="n">
        <f aca="false">K286-J287</f>
        <v>1538236.66052047</v>
      </c>
      <c r="L287" s="40" t="n">
        <f aca="false">C287+F287+I287</f>
        <v>8149.75222779506</v>
      </c>
      <c r="M287" s="40" t="n">
        <f aca="false">D287+G287+J287</f>
        <v>8410.40486355141</v>
      </c>
      <c r="N287" s="40" t="n">
        <f aca="false">L287+M287</f>
        <v>16560.1570913465</v>
      </c>
      <c r="O287" s="40" t="n">
        <f aca="false">E287+H287+K287</f>
        <v>2873702.30390143</v>
      </c>
    </row>
    <row r="288" customFormat="false" ht="15" hidden="false" customHeight="false" outlineLevel="0" collapsed="false">
      <c r="A288" s="39" t="n">
        <v>282</v>
      </c>
      <c r="B288" s="39" t="n">
        <f aca="false">ROUNDUP(A288/12,0)</f>
        <v>24</v>
      </c>
      <c r="C288" s="40" t="n">
        <f aca="false">E287*Annahmen!$B$38/12</f>
        <v>1705.35415206309</v>
      </c>
      <c r="D288" s="40" t="n">
        <f aca="false">MIN($C$3-C288,E287)</f>
        <v>1794.64584793691</v>
      </c>
      <c r="E288" s="40" t="n">
        <f aca="false">E287-D288</f>
        <v>816775.347142347</v>
      </c>
      <c r="F288" s="40" t="n">
        <f aca="false">H287*Annahmen!$B$39/12</f>
        <v>1292.23912597668</v>
      </c>
      <c r="G288" s="40" t="n">
        <f aca="false">MIN($F$3-F288,H287)</f>
        <v>1314.42754068999</v>
      </c>
      <c r="H288" s="40" t="n">
        <f aca="false">H287-G288</f>
        <v>515581.222849981</v>
      </c>
      <c r="I288" s="40" t="n">
        <f aca="false">K287*Annahmen!$B$40/12</f>
        <v>5127.45553506825</v>
      </c>
      <c r="J288" s="40" t="n">
        <f aca="false">MIN($I$3-I288,K287)</f>
        <v>5326.03488961156</v>
      </c>
      <c r="K288" s="40" t="n">
        <f aca="false">K287-J288</f>
        <v>1532910.62563086</v>
      </c>
      <c r="L288" s="40" t="n">
        <f aca="false">C288+F288+I288</f>
        <v>8125.04881310802</v>
      </c>
      <c r="M288" s="40" t="n">
        <f aca="false">D288+G288+J288</f>
        <v>8435.10827823845</v>
      </c>
      <c r="N288" s="40" t="n">
        <f aca="false">L288+M288</f>
        <v>16560.1570913465</v>
      </c>
      <c r="O288" s="40" t="n">
        <f aca="false">E288+H288+K288</f>
        <v>2865267.19562319</v>
      </c>
    </row>
    <row r="289" customFormat="false" ht="15" hidden="false" customHeight="false" outlineLevel="0" collapsed="false">
      <c r="A289" s="39" t="n">
        <v>283</v>
      </c>
      <c r="B289" s="39" t="n">
        <f aca="false">ROUNDUP(A289/12,0)</f>
        <v>24</v>
      </c>
      <c r="C289" s="40" t="n">
        <f aca="false">E288*Annahmen!$B$38/12</f>
        <v>1701.61530654656</v>
      </c>
      <c r="D289" s="40" t="n">
        <f aca="false">MIN($C$3-C289,E288)</f>
        <v>1798.38469345344</v>
      </c>
      <c r="E289" s="40" t="n">
        <f aca="false">E288-D289</f>
        <v>814976.962448893</v>
      </c>
      <c r="F289" s="40" t="n">
        <f aca="false">H288*Annahmen!$B$39/12</f>
        <v>1288.95305712495</v>
      </c>
      <c r="G289" s="40" t="n">
        <f aca="false">MIN($F$3-F289,H288)</f>
        <v>1317.71360954171</v>
      </c>
      <c r="H289" s="40" t="n">
        <f aca="false">H288-G289</f>
        <v>514263.50924044</v>
      </c>
      <c r="I289" s="40" t="n">
        <f aca="false">K288*Annahmen!$B$40/12</f>
        <v>5109.70208543621</v>
      </c>
      <c r="J289" s="40" t="n">
        <f aca="false">MIN($I$3-I289,K288)</f>
        <v>5343.7883392436</v>
      </c>
      <c r="K289" s="40" t="n">
        <f aca="false">K288-J289</f>
        <v>1527566.83729162</v>
      </c>
      <c r="L289" s="40" t="n">
        <f aca="false">C289+F289+I289</f>
        <v>8100.27044910772</v>
      </c>
      <c r="M289" s="40" t="n">
        <f aca="false">D289+G289+J289</f>
        <v>8459.88664223875</v>
      </c>
      <c r="N289" s="40" t="n">
        <f aca="false">L289+M289</f>
        <v>16560.1570913465</v>
      </c>
      <c r="O289" s="40" t="n">
        <f aca="false">E289+H289+K289</f>
        <v>2856807.30898095</v>
      </c>
    </row>
    <row r="290" customFormat="false" ht="15" hidden="false" customHeight="false" outlineLevel="0" collapsed="false">
      <c r="A290" s="39" t="n">
        <v>284</v>
      </c>
      <c r="B290" s="39" t="n">
        <f aca="false">ROUNDUP(A290/12,0)</f>
        <v>24</v>
      </c>
      <c r="C290" s="40" t="n">
        <f aca="false">E289*Annahmen!$B$38/12</f>
        <v>1697.86867176853</v>
      </c>
      <c r="D290" s="40" t="n">
        <f aca="false">MIN($C$3-C290,E289)</f>
        <v>1802.13132823147</v>
      </c>
      <c r="E290" s="40" t="n">
        <f aca="false">E289-D290</f>
        <v>813174.831120662</v>
      </c>
      <c r="F290" s="40" t="n">
        <f aca="false">H289*Annahmen!$B$39/12</f>
        <v>1285.6587731011</v>
      </c>
      <c r="G290" s="40" t="n">
        <f aca="false">MIN($F$3-F290,H289)</f>
        <v>1321.00789356557</v>
      </c>
      <c r="H290" s="40" t="n">
        <f aca="false">H289-G290</f>
        <v>512942.501346874</v>
      </c>
      <c r="I290" s="40" t="n">
        <f aca="false">K289*Annahmen!$B$40/12</f>
        <v>5091.88945763873</v>
      </c>
      <c r="J290" s="40" t="n">
        <f aca="false">MIN($I$3-I290,K289)</f>
        <v>5361.60096704107</v>
      </c>
      <c r="K290" s="40" t="n">
        <f aca="false">K289-J290</f>
        <v>1522205.23632458</v>
      </c>
      <c r="L290" s="40" t="n">
        <f aca="false">C290+F290+I290</f>
        <v>8075.41690250836</v>
      </c>
      <c r="M290" s="40" t="n">
        <f aca="false">D290+G290+J290</f>
        <v>8484.74018883811</v>
      </c>
      <c r="N290" s="40" t="n">
        <f aca="false">L290+M290</f>
        <v>16560.1570913465</v>
      </c>
      <c r="O290" s="40" t="n">
        <f aca="false">E290+H290+K290</f>
        <v>2848322.56879211</v>
      </c>
    </row>
    <row r="291" customFormat="false" ht="15" hidden="false" customHeight="false" outlineLevel="0" collapsed="false">
      <c r="A291" s="39" t="n">
        <v>285</v>
      </c>
      <c r="B291" s="39" t="n">
        <f aca="false">ROUNDUP(A291/12,0)</f>
        <v>24</v>
      </c>
      <c r="C291" s="40" t="n">
        <f aca="false">E290*Annahmen!$B$38/12</f>
        <v>1694.11423150138</v>
      </c>
      <c r="D291" s="40" t="n">
        <f aca="false">MIN($C$3-C291,E290)</f>
        <v>1805.88576849862</v>
      </c>
      <c r="E291" s="40" t="n">
        <f aca="false">E290-D291</f>
        <v>811368.945352163</v>
      </c>
      <c r="F291" s="40" t="n">
        <f aca="false">H290*Annahmen!$B$39/12</f>
        <v>1282.35625336719</v>
      </c>
      <c r="G291" s="40" t="n">
        <f aca="false">MIN($F$3-F291,H290)</f>
        <v>1324.31041329948</v>
      </c>
      <c r="H291" s="40" t="n">
        <f aca="false">H290-G291</f>
        <v>511618.190933575</v>
      </c>
      <c r="I291" s="40" t="n">
        <f aca="false">K290*Annahmen!$B$40/12</f>
        <v>5074.01745441526</v>
      </c>
      <c r="J291" s="40" t="n">
        <f aca="false">MIN($I$3-I291,K290)</f>
        <v>5379.47297026454</v>
      </c>
      <c r="K291" s="40" t="n">
        <f aca="false">K290-J291</f>
        <v>1516825.76335431</v>
      </c>
      <c r="L291" s="40" t="n">
        <f aca="false">C291+F291+I291</f>
        <v>8050.48793928382</v>
      </c>
      <c r="M291" s="40" t="n">
        <f aca="false">D291+G291+J291</f>
        <v>8509.66915206265</v>
      </c>
      <c r="N291" s="40" t="n">
        <f aca="false">L291+M291</f>
        <v>16560.1570913465</v>
      </c>
      <c r="O291" s="40" t="n">
        <f aca="false">E291+H291+K291</f>
        <v>2839812.89964005</v>
      </c>
    </row>
    <row r="292" customFormat="false" ht="15" hidden="false" customHeight="false" outlineLevel="0" collapsed="false">
      <c r="A292" s="39" t="n">
        <v>286</v>
      </c>
      <c r="B292" s="39" t="n">
        <f aca="false">ROUNDUP(A292/12,0)</f>
        <v>24</v>
      </c>
      <c r="C292" s="40" t="n">
        <f aca="false">E291*Annahmen!$B$38/12</f>
        <v>1690.35196948367</v>
      </c>
      <c r="D292" s="40" t="n">
        <f aca="false">MIN($C$3-C292,E291)</f>
        <v>1809.64803051633</v>
      </c>
      <c r="E292" s="40" t="n">
        <f aca="false">E291-D292</f>
        <v>809559.297321647</v>
      </c>
      <c r="F292" s="40" t="n">
        <f aca="false">H291*Annahmen!$B$39/12</f>
        <v>1279.04547733394</v>
      </c>
      <c r="G292" s="40" t="n">
        <f aca="false">MIN($F$3-F292,H291)</f>
        <v>1327.62118933273</v>
      </c>
      <c r="H292" s="40" t="n">
        <f aca="false">H291-G292</f>
        <v>510290.569744242</v>
      </c>
      <c r="I292" s="40" t="n">
        <f aca="false">K291*Annahmen!$B$40/12</f>
        <v>5056.08587784771</v>
      </c>
      <c r="J292" s="40" t="n">
        <f aca="false">MIN($I$3-I292,K291)</f>
        <v>5397.40454683209</v>
      </c>
      <c r="K292" s="40" t="n">
        <f aca="false">K291-J292</f>
        <v>1511428.35880748</v>
      </c>
      <c r="L292" s="40" t="n">
        <f aca="false">C292+F292+I292</f>
        <v>8025.48332466532</v>
      </c>
      <c r="M292" s="40" t="n">
        <f aca="false">D292+G292+J292</f>
        <v>8534.67376668115</v>
      </c>
      <c r="N292" s="40" t="n">
        <f aca="false">L292+M292</f>
        <v>16560.1570913465</v>
      </c>
      <c r="O292" s="40" t="n">
        <f aca="false">E292+H292+K292</f>
        <v>2831278.22587337</v>
      </c>
    </row>
    <row r="293" customFormat="false" ht="15" hidden="false" customHeight="false" outlineLevel="0" collapsed="false">
      <c r="A293" s="39" t="n">
        <v>287</v>
      </c>
      <c r="B293" s="39" t="n">
        <f aca="false">ROUNDUP(A293/12,0)</f>
        <v>24</v>
      </c>
      <c r="C293" s="40" t="n">
        <f aca="false">E292*Annahmen!$B$38/12</f>
        <v>1686.5818694201</v>
      </c>
      <c r="D293" s="40" t="n">
        <f aca="false">MIN($C$3-C293,E292)</f>
        <v>1813.4181305799</v>
      </c>
      <c r="E293" s="40" t="n">
        <f aca="false">E292-D293</f>
        <v>807745.879191067</v>
      </c>
      <c r="F293" s="40" t="n">
        <f aca="false">H292*Annahmen!$B$39/12</f>
        <v>1275.7264243606</v>
      </c>
      <c r="G293" s="40" t="n">
        <f aca="false">MIN($F$3-F293,H292)</f>
        <v>1330.94024230606</v>
      </c>
      <c r="H293" s="40" t="n">
        <f aca="false">H292-G293</f>
        <v>508959.629501936</v>
      </c>
      <c r="I293" s="40" t="n">
        <f aca="false">K292*Annahmen!$B$40/12</f>
        <v>5038.09452935827</v>
      </c>
      <c r="J293" s="40" t="n">
        <f aca="false">MIN($I$3-I293,K292)</f>
        <v>5415.39589532153</v>
      </c>
      <c r="K293" s="40" t="n">
        <f aca="false">K292-J293</f>
        <v>1506012.96291216</v>
      </c>
      <c r="L293" s="40" t="n">
        <f aca="false">C293+F293+I293</f>
        <v>8000.40282313897</v>
      </c>
      <c r="M293" s="40" t="n">
        <f aca="false">D293+G293+J293</f>
        <v>8559.7542682075</v>
      </c>
      <c r="N293" s="40" t="n">
        <f aca="false">L293+M293</f>
        <v>16560.1570913465</v>
      </c>
      <c r="O293" s="40" t="n">
        <f aca="false">E293+H293+K293</f>
        <v>2822718.47160516</v>
      </c>
    </row>
    <row r="294" customFormat="false" ht="15" hidden="false" customHeight="false" outlineLevel="0" collapsed="false">
      <c r="A294" s="39" t="n">
        <v>288</v>
      </c>
      <c r="B294" s="39" t="n">
        <f aca="false">ROUNDUP(A294/12,0)</f>
        <v>24</v>
      </c>
      <c r="C294" s="40" t="n">
        <f aca="false">E293*Annahmen!$B$38/12</f>
        <v>1682.80391498139</v>
      </c>
      <c r="D294" s="40" t="n">
        <f aca="false">MIN($C$3-C294,E293)</f>
        <v>1817.19608501861</v>
      </c>
      <c r="E294" s="40" t="n">
        <f aca="false">E293-D294</f>
        <v>805928.683106049</v>
      </c>
      <c r="F294" s="40" t="n">
        <f aca="false">H293*Annahmen!$B$39/12</f>
        <v>1272.39907375484</v>
      </c>
      <c r="G294" s="40" t="n">
        <f aca="false">MIN($F$3-F294,H293)</f>
        <v>1334.26759291183</v>
      </c>
      <c r="H294" s="40" t="n">
        <f aca="false">H293-G294</f>
        <v>507625.361909024</v>
      </c>
      <c r="I294" s="40" t="n">
        <f aca="false">K293*Annahmen!$B$40/12</f>
        <v>5020.0432097072</v>
      </c>
      <c r="J294" s="40" t="n">
        <f aca="false">MIN($I$3-I294,K293)</f>
        <v>5433.44721497261</v>
      </c>
      <c r="K294" s="40" t="n">
        <f aca="false">K293-J294</f>
        <v>1500579.51569719</v>
      </c>
      <c r="L294" s="40" t="n">
        <f aca="false">C294+F294+I294</f>
        <v>7975.24619844343</v>
      </c>
      <c r="M294" s="40" t="n">
        <f aca="false">D294+G294+J294</f>
        <v>8584.91089290304</v>
      </c>
      <c r="N294" s="40" t="n">
        <f aca="false">L294+M294</f>
        <v>16560.1570913465</v>
      </c>
      <c r="O294" s="40" t="n">
        <f aca="false">E294+H294+K294</f>
        <v>2814133.56071226</v>
      </c>
    </row>
    <row r="295" customFormat="false" ht="15" hidden="false" customHeight="false" outlineLevel="0" collapsed="false">
      <c r="A295" s="39" t="n">
        <v>289</v>
      </c>
      <c r="B295" s="39" t="n">
        <f aca="false">ROUNDUP(A295/12,0)</f>
        <v>25</v>
      </c>
      <c r="C295" s="40" t="n">
        <f aca="false">E294*Annahmen!$B$38/12</f>
        <v>1679.01808980427</v>
      </c>
      <c r="D295" s="40" t="n">
        <f aca="false">MIN($C$3-C295,E294)</f>
        <v>1820.98191019573</v>
      </c>
      <c r="E295" s="40" t="n">
        <f aca="false">E294-D295</f>
        <v>804107.701195853</v>
      </c>
      <c r="F295" s="40" t="n">
        <f aca="false">H294*Annahmen!$B$39/12</f>
        <v>1269.06340477256</v>
      </c>
      <c r="G295" s="40" t="n">
        <f aca="false">MIN($F$3-F295,H294)</f>
        <v>1337.60326189411</v>
      </c>
      <c r="H295" s="40" t="n">
        <f aca="false">H294-G295</f>
        <v>506287.75864713</v>
      </c>
      <c r="I295" s="40" t="n">
        <f aca="false">K294*Annahmen!$B$40/12</f>
        <v>5001.93171899062</v>
      </c>
      <c r="J295" s="40" t="n">
        <f aca="false">MIN($I$3-I295,K294)</f>
        <v>5451.55870568918</v>
      </c>
      <c r="K295" s="40" t="n">
        <f aca="false">K294-J295</f>
        <v>1495127.9569915</v>
      </c>
      <c r="L295" s="40" t="n">
        <f aca="false">C295+F295+I295</f>
        <v>7950.01321356745</v>
      </c>
      <c r="M295" s="40" t="n">
        <f aca="false">D295+G295+J295</f>
        <v>8610.14387777902</v>
      </c>
      <c r="N295" s="40" t="n">
        <f aca="false">L295+M295</f>
        <v>16560.1570913465</v>
      </c>
      <c r="O295" s="40" t="n">
        <f aca="false">E295+H295+K295</f>
        <v>2805523.41683448</v>
      </c>
    </row>
    <row r="296" customFormat="false" ht="15" hidden="false" customHeight="false" outlineLevel="0" collapsed="false">
      <c r="A296" s="39" t="n">
        <v>290</v>
      </c>
      <c r="B296" s="39" t="n">
        <f aca="false">ROUNDUP(A296/12,0)</f>
        <v>25</v>
      </c>
      <c r="C296" s="40" t="n">
        <f aca="false">E295*Annahmen!$B$38/12</f>
        <v>1675.22437749136</v>
      </c>
      <c r="D296" s="40" t="n">
        <f aca="false">MIN($C$3-C296,E295)</f>
        <v>1824.77562250864</v>
      </c>
      <c r="E296" s="40" t="n">
        <f aca="false">E295-D296</f>
        <v>802282.925573344</v>
      </c>
      <c r="F296" s="40" t="n">
        <f aca="false">H295*Annahmen!$B$39/12</f>
        <v>1265.71939661782</v>
      </c>
      <c r="G296" s="40" t="n">
        <f aca="false">MIN($F$3-F296,H295)</f>
        <v>1340.94727004884</v>
      </c>
      <c r="H296" s="40" t="n">
        <f aca="false">H295-G296</f>
        <v>504946.811377081</v>
      </c>
      <c r="I296" s="40" t="n">
        <f aca="false">K295*Annahmen!$B$40/12</f>
        <v>4983.75985663832</v>
      </c>
      <c r="J296" s="40" t="n">
        <f aca="false">MIN($I$3-I296,K295)</f>
        <v>5469.73056804148</v>
      </c>
      <c r="K296" s="40" t="n">
        <f aca="false">K295-J296</f>
        <v>1489658.22642346</v>
      </c>
      <c r="L296" s="40" t="n">
        <f aca="false">C296+F296+I296</f>
        <v>7924.70363074751</v>
      </c>
      <c r="M296" s="40" t="n">
        <f aca="false">D296+G296+J296</f>
        <v>8635.45346059896</v>
      </c>
      <c r="N296" s="40" t="n">
        <f aca="false">L296+M296</f>
        <v>16560.1570913465</v>
      </c>
      <c r="O296" s="40" t="n">
        <f aca="false">E296+H296+K296</f>
        <v>2796887.96337388</v>
      </c>
    </row>
    <row r="297" customFormat="false" ht="15" hidden="false" customHeight="false" outlineLevel="0" collapsed="false">
      <c r="A297" s="39" t="n">
        <v>291</v>
      </c>
      <c r="B297" s="39" t="n">
        <f aca="false">ROUNDUP(A297/12,0)</f>
        <v>25</v>
      </c>
      <c r="C297" s="40" t="n">
        <f aca="false">E296*Annahmen!$B$38/12</f>
        <v>1671.42276161113</v>
      </c>
      <c r="D297" s="40" t="n">
        <f aca="false">MIN($C$3-C297,E296)</f>
        <v>1828.57723838887</v>
      </c>
      <c r="E297" s="40" t="n">
        <f aca="false">E296-D297</f>
        <v>800454.348334955</v>
      </c>
      <c r="F297" s="40" t="n">
        <f aca="false">H296*Annahmen!$B$39/12</f>
        <v>1262.3670284427</v>
      </c>
      <c r="G297" s="40" t="n">
        <f aca="false">MIN($F$3-F297,H296)</f>
        <v>1344.29963822396</v>
      </c>
      <c r="H297" s="40" t="n">
        <f aca="false">H296-G297</f>
        <v>503602.511738857</v>
      </c>
      <c r="I297" s="40" t="n">
        <f aca="false">K296*Annahmen!$B$40/12</f>
        <v>4965.52742141152</v>
      </c>
      <c r="J297" s="40" t="n">
        <f aca="false">MIN($I$3-I297,K296)</f>
        <v>5487.96300326828</v>
      </c>
      <c r="K297" s="40" t="n">
        <f aca="false">K296-J297</f>
        <v>1484170.26342019</v>
      </c>
      <c r="L297" s="40" t="n">
        <f aca="false">C297+F297+I297</f>
        <v>7899.31721146535</v>
      </c>
      <c r="M297" s="40" t="n">
        <f aca="false">D297+G297+J297</f>
        <v>8660.83987988111</v>
      </c>
      <c r="N297" s="40" t="n">
        <f aca="false">L297+M297</f>
        <v>16560.1570913465</v>
      </c>
      <c r="O297" s="40" t="n">
        <f aca="false">E297+H297+K297</f>
        <v>2788227.123494</v>
      </c>
    </row>
    <row r="298" customFormat="false" ht="15" hidden="false" customHeight="false" outlineLevel="0" collapsed="false">
      <c r="A298" s="39" t="n">
        <v>292</v>
      </c>
      <c r="B298" s="39" t="n">
        <f aca="false">ROUNDUP(A298/12,0)</f>
        <v>25</v>
      </c>
      <c r="C298" s="40" t="n">
        <f aca="false">E297*Annahmen!$B$38/12</f>
        <v>1667.61322569782</v>
      </c>
      <c r="D298" s="40" t="n">
        <f aca="false">MIN($C$3-C298,E297)</f>
        <v>1832.38677430218</v>
      </c>
      <c r="E298" s="40" t="n">
        <f aca="false">E297-D298</f>
        <v>798621.961560653</v>
      </c>
      <c r="F298" s="40" t="n">
        <f aca="false">H297*Annahmen!$B$39/12</f>
        <v>1259.00627934714</v>
      </c>
      <c r="G298" s="40" t="n">
        <f aca="false">MIN($F$3-F298,H297)</f>
        <v>1347.66038731952</v>
      </c>
      <c r="H298" s="40" t="n">
        <f aca="false">H297-G298</f>
        <v>502254.851351538</v>
      </c>
      <c r="I298" s="40" t="n">
        <f aca="false">K297*Annahmen!$B$40/12</f>
        <v>4947.23421140062</v>
      </c>
      <c r="J298" s="40" t="n">
        <f aca="false">MIN($I$3-I298,K297)</f>
        <v>5506.25621327918</v>
      </c>
      <c r="K298" s="40" t="n">
        <f aca="false">K297-J298</f>
        <v>1478664.00720691</v>
      </c>
      <c r="L298" s="40" t="n">
        <f aca="false">C298+F298+I298</f>
        <v>7873.85371644559</v>
      </c>
      <c r="M298" s="40" t="n">
        <f aca="false">D298+G298+J298</f>
        <v>8686.30337490088</v>
      </c>
      <c r="N298" s="40" t="n">
        <f aca="false">L298+M298</f>
        <v>16560.1570913465</v>
      </c>
      <c r="O298" s="40" t="n">
        <f aca="false">E298+H298+K298</f>
        <v>2779540.8201191</v>
      </c>
    </row>
    <row r="299" customFormat="false" ht="15" hidden="false" customHeight="false" outlineLevel="0" collapsed="false">
      <c r="A299" s="39" t="n">
        <v>293</v>
      </c>
      <c r="B299" s="39" t="n">
        <f aca="false">ROUNDUP(A299/12,0)</f>
        <v>25</v>
      </c>
      <c r="C299" s="40" t="n">
        <f aca="false">E298*Annahmen!$B$38/12</f>
        <v>1663.79575325136</v>
      </c>
      <c r="D299" s="40" t="n">
        <f aca="false">MIN($C$3-C299,E298)</f>
        <v>1836.20424674864</v>
      </c>
      <c r="E299" s="40" t="n">
        <f aca="false">E298-D299</f>
        <v>796785.757313905</v>
      </c>
      <c r="F299" s="40" t="n">
        <f aca="false">H298*Annahmen!$B$39/12</f>
        <v>1255.63712837884</v>
      </c>
      <c r="G299" s="40" t="n">
        <f aca="false">MIN($F$3-F299,H298)</f>
        <v>1351.02953828782</v>
      </c>
      <c r="H299" s="40" t="n">
        <f aca="false">H298-G299</f>
        <v>500903.82181325</v>
      </c>
      <c r="I299" s="40" t="n">
        <f aca="false">K298*Annahmen!$B$40/12</f>
        <v>4928.88002402303</v>
      </c>
      <c r="J299" s="40" t="n">
        <f aca="false">MIN($I$3-I299,K298)</f>
        <v>5524.61040065678</v>
      </c>
      <c r="K299" s="40" t="n">
        <f aca="false">K298-J299</f>
        <v>1473139.39680625</v>
      </c>
      <c r="L299" s="40" t="n">
        <f aca="false">C299+F299+I299</f>
        <v>7848.31290565323</v>
      </c>
      <c r="M299" s="40" t="n">
        <f aca="false">D299+G299+J299</f>
        <v>8711.84418569323</v>
      </c>
      <c r="N299" s="40" t="n">
        <f aca="false">L299+M299</f>
        <v>16560.1570913465</v>
      </c>
      <c r="O299" s="40" t="n">
        <f aca="false">E299+H299+K299</f>
        <v>2770828.97593341</v>
      </c>
    </row>
    <row r="300" customFormat="false" ht="15" hidden="false" customHeight="false" outlineLevel="0" collapsed="false">
      <c r="A300" s="39" t="n">
        <v>294</v>
      </c>
      <c r="B300" s="39" t="n">
        <f aca="false">ROUNDUP(A300/12,0)</f>
        <v>25</v>
      </c>
      <c r="C300" s="40" t="n">
        <f aca="false">E299*Annahmen!$B$38/12</f>
        <v>1659.9703277373</v>
      </c>
      <c r="D300" s="40" t="n">
        <f aca="false">MIN($C$3-C300,E299)</f>
        <v>1840.0296722627</v>
      </c>
      <c r="E300" s="40" t="n">
        <f aca="false">E299-D300</f>
        <v>794945.727641642</v>
      </c>
      <c r="F300" s="40" t="n">
        <f aca="false">H299*Annahmen!$B$39/12</f>
        <v>1252.25955453312</v>
      </c>
      <c r="G300" s="40" t="n">
        <f aca="false">MIN($F$3-F300,H299)</f>
        <v>1354.40711213354</v>
      </c>
      <c r="H300" s="40" t="n">
        <f aca="false">H299-G300</f>
        <v>499549.414701116</v>
      </c>
      <c r="I300" s="40" t="n">
        <f aca="false">K299*Annahmen!$B$40/12</f>
        <v>4910.46465602084</v>
      </c>
      <c r="J300" s="40" t="n">
        <f aca="false">MIN($I$3-I300,K299)</f>
        <v>5543.02576865896</v>
      </c>
      <c r="K300" s="40" t="n">
        <f aca="false">K299-J300</f>
        <v>1467596.37103759</v>
      </c>
      <c r="L300" s="40" t="n">
        <f aca="false">C300+F300+I300</f>
        <v>7822.69453829126</v>
      </c>
      <c r="M300" s="40" t="n">
        <f aca="false">D300+G300+J300</f>
        <v>8737.4625530552</v>
      </c>
      <c r="N300" s="40" t="n">
        <f aca="false">L300+M300</f>
        <v>16560.1570913465</v>
      </c>
      <c r="O300" s="40" t="n">
        <f aca="false">E300+H300+K300</f>
        <v>2762091.51338035</v>
      </c>
    </row>
    <row r="301" customFormat="false" ht="15" hidden="false" customHeight="false" outlineLevel="0" collapsed="false">
      <c r="A301" s="39" t="n">
        <v>295</v>
      </c>
      <c r="B301" s="39" t="n">
        <f aca="false">ROUNDUP(A301/12,0)</f>
        <v>25</v>
      </c>
      <c r="C301" s="40" t="n">
        <f aca="false">E300*Annahmen!$B$38/12</f>
        <v>1656.13693258675</v>
      </c>
      <c r="D301" s="40" t="n">
        <f aca="false">MIN($C$3-C301,E300)</f>
        <v>1843.86306741324</v>
      </c>
      <c r="E301" s="40" t="n">
        <f aca="false">E300-D301</f>
        <v>793101.864574229</v>
      </c>
      <c r="F301" s="40" t="n">
        <f aca="false">H300*Annahmen!$B$39/12</f>
        <v>1248.87353675279</v>
      </c>
      <c r="G301" s="40" t="n">
        <f aca="false">MIN($F$3-F301,H300)</f>
        <v>1357.79312991388</v>
      </c>
      <c r="H301" s="40" t="n">
        <f aca="false">H300-G301</f>
        <v>498191.621571202</v>
      </c>
      <c r="I301" s="40" t="n">
        <f aca="false">K300*Annahmen!$B$40/12</f>
        <v>4891.98790345864</v>
      </c>
      <c r="J301" s="40" t="n">
        <f aca="false">MIN($I$3-I301,K300)</f>
        <v>5561.50252122116</v>
      </c>
      <c r="K301" s="40" t="n">
        <f aca="false">K300-J301</f>
        <v>1462034.86851637</v>
      </c>
      <c r="L301" s="40" t="n">
        <f aca="false">C301+F301+I301</f>
        <v>7796.99837279818</v>
      </c>
      <c r="M301" s="40" t="n">
        <f aca="false">D301+G301+J301</f>
        <v>8763.15871854828</v>
      </c>
      <c r="N301" s="40" t="n">
        <f aca="false">L301+M301</f>
        <v>16560.1570913465</v>
      </c>
      <c r="O301" s="40" t="n">
        <f aca="false">E301+H301+K301</f>
        <v>2753328.3546618</v>
      </c>
    </row>
    <row r="302" customFormat="false" ht="15" hidden="false" customHeight="false" outlineLevel="0" collapsed="false">
      <c r="A302" s="39" t="n">
        <v>296</v>
      </c>
      <c r="B302" s="39" t="n">
        <f aca="false">ROUNDUP(A302/12,0)</f>
        <v>25</v>
      </c>
      <c r="C302" s="40" t="n">
        <f aca="false">E301*Annahmen!$B$38/12</f>
        <v>1652.29555119631</v>
      </c>
      <c r="D302" s="40" t="n">
        <f aca="false">MIN($C$3-C302,E301)</f>
        <v>1847.70444880369</v>
      </c>
      <c r="E302" s="40" t="n">
        <f aca="false">E301-D302</f>
        <v>791254.160125425</v>
      </c>
      <c r="F302" s="40" t="n">
        <f aca="false">H301*Annahmen!$B$39/12</f>
        <v>1245.47905392801</v>
      </c>
      <c r="G302" s="40" t="n">
        <f aca="false">MIN($F$3-F302,H301)</f>
        <v>1361.18761273866</v>
      </c>
      <c r="H302" s="40" t="n">
        <f aca="false">H301-G302</f>
        <v>496830.433958464</v>
      </c>
      <c r="I302" s="40" t="n">
        <f aca="false">K301*Annahmen!$B$40/12</f>
        <v>4873.44956172124</v>
      </c>
      <c r="J302" s="40" t="n">
        <f aca="false">MIN($I$3-I302,K301)</f>
        <v>5580.04086295856</v>
      </c>
      <c r="K302" s="40" t="n">
        <f aca="false">K301-J302</f>
        <v>1456454.82765341</v>
      </c>
      <c r="L302" s="40" t="n">
        <f aca="false">C302+F302+I302</f>
        <v>7771.22416684555</v>
      </c>
      <c r="M302" s="40" t="n">
        <f aca="false">D302+G302+J302</f>
        <v>8788.93292450091</v>
      </c>
      <c r="N302" s="40" t="n">
        <f aca="false">L302+M302</f>
        <v>16560.1570913465</v>
      </c>
      <c r="O302" s="40" t="n">
        <f aca="false">E302+H302+K302</f>
        <v>2744539.4217373</v>
      </c>
    </row>
    <row r="303" customFormat="false" ht="15" hidden="false" customHeight="false" outlineLevel="0" collapsed="false">
      <c r="A303" s="39" t="n">
        <v>297</v>
      </c>
      <c r="B303" s="39" t="n">
        <f aca="false">ROUNDUP(A303/12,0)</f>
        <v>25</v>
      </c>
      <c r="C303" s="40" t="n">
        <f aca="false">E302*Annahmen!$B$38/12</f>
        <v>1648.44616692797</v>
      </c>
      <c r="D303" s="40" t="n">
        <f aca="false">MIN($C$3-C303,E302)</f>
        <v>1851.55383307203</v>
      </c>
      <c r="E303" s="40" t="n">
        <f aca="false">E302-D303</f>
        <v>789402.606292353</v>
      </c>
      <c r="F303" s="40" t="n">
        <f aca="false">H302*Annahmen!$B$39/12</f>
        <v>1242.07608489616</v>
      </c>
      <c r="G303" s="40" t="n">
        <f aca="false">MIN($F$3-F303,H302)</f>
        <v>1364.59058177051</v>
      </c>
      <c r="H303" s="40" t="n">
        <f aca="false">H302-G303</f>
        <v>495465.843376693</v>
      </c>
      <c r="I303" s="40" t="n">
        <f aca="false">K302*Annahmen!$B$40/12</f>
        <v>4854.84942551138</v>
      </c>
      <c r="J303" s="40" t="n">
        <f aca="false">MIN($I$3-I303,K302)</f>
        <v>5598.64099916843</v>
      </c>
      <c r="K303" s="40" t="n">
        <f aca="false">K302-J303</f>
        <v>1450856.18665424</v>
      </c>
      <c r="L303" s="40" t="n">
        <f aca="false">C303+F303+I303</f>
        <v>7745.3716773355</v>
      </c>
      <c r="M303" s="40" t="n">
        <f aca="false">D303+G303+J303</f>
        <v>8814.78541401096</v>
      </c>
      <c r="N303" s="40" t="n">
        <f aca="false">L303+M303</f>
        <v>16560.1570913465</v>
      </c>
      <c r="O303" s="40" t="n">
        <f aca="false">E303+H303+K303</f>
        <v>2735724.63632329</v>
      </c>
    </row>
    <row r="304" customFormat="false" ht="15" hidden="false" customHeight="false" outlineLevel="0" collapsed="false">
      <c r="A304" s="39" t="n">
        <v>298</v>
      </c>
      <c r="B304" s="39" t="n">
        <f aca="false">ROUNDUP(A304/12,0)</f>
        <v>25</v>
      </c>
      <c r="C304" s="40" t="n">
        <f aca="false">E303*Annahmen!$B$38/12</f>
        <v>1644.58876310907</v>
      </c>
      <c r="D304" s="40" t="n">
        <f aca="false">MIN($C$3-C304,E303)</f>
        <v>1855.41123689093</v>
      </c>
      <c r="E304" s="40" t="n">
        <f aca="false">E303-D304</f>
        <v>787547.195055462</v>
      </c>
      <c r="F304" s="40" t="n">
        <f aca="false">H303*Annahmen!$B$39/12</f>
        <v>1238.66460844173</v>
      </c>
      <c r="G304" s="40" t="n">
        <f aca="false">MIN($F$3-F304,H303)</f>
        <v>1368.00205822493</v>
      </c>
      <c r="H304" s="40" t="n">
        <f aca="false">H303-G304</f>
        <v>494097.841318468</v>
      </c>
      <c r="I304" s="40" t="n">
        <f aca="false">K303*Annahmen!$B$40/12</f>
        <v>4836.18728884748</v>
      </c>
      <c r="J304" s="40" t="n">
        <f aca="false">MIN($I$3-I304,K303)</f>
        <v>5617.30313583232</v>
      </c>
      <c r="K304" s="40" t="n">
        <f aca="false">K303-J304</f>
        <v>1445238.88351841</v>
      </c>
      <c r="L304" s="40" t="n">
        <f aca="false">C304+F304+I304</f>
        <v>7719.44066039828</v>
      </c>
      <c r="M304" s="40" t="n">
        <f aca="false">D304+G304+J304</f>
        <v>8840.71643094819</v>
      </c>
      <c r="N304" s="40" t="n">
        <f aca="false">L304+M304</f>
        <v>16560.1570913465</v>
      </c>
      <c r="O304" s="40" t="n">
        <f aca="false">E304+H304+K304</f>
        <v>2726883.91989234</v>
      </c>
    </row>
    <row r="305" customFormat="false" ht="15" hidden="false" customHeight="false" outlineLevel="0" collapsed="false">
      <c r="A305" s="39" t="n">
        <v>299</v>
      </c>
      <c r="B305" s="39" t="n">
        <f aca="false">ROUNDUP(A305/12,0)</f>
        <v>25</v>
      </c>
      <c r="C305" s="40" t="n">
        <f aca="false">E304*Annahmen!$B$38/12</f>
        <v>1640.72332303221</v>
      </c>
      <c r="D305" s="40" t="n">
        <f aca="false">MIN($C$3-C305,E304)</f>
        <v>1859.27667696779</v>
      </c>
      <c r="E305" s="40" t="n">
        <f aca="false">E304-D305</f>
        <v>785687.918378494</v>
      </c>
      <c r="F305" s="40" t="n">
        <f aca="false">H304*Annahmen!$B$39/12</f>
        <v>1235.24460329617</v>
      </c>
      <c r="G305" s="40" t="n">
        <f aca="false">MIN($F$3-F305,H304)</f>
        <v>1371.42206337049</v>
      </c>
      <c r="H305" s="40" t="n">
        <f aca="false">H304-G305</f>
        <v>492726.419255098</v>
      </c>
      <c r="I305" s="40" t="n">
        <f aca="false">K304*Annahmen!$B$40/12</f>
        <v>4817.46294506137</v>
      </c>
      <c r="J305" s="40" t="n">
        <f aca="false">MIN($I$3-I305,K304)</f>
        <v>5636.02747961843</v>
      </c>
      <c r="K305" s="40" t="n">
        <f aca="false">K304-J305</f>
        <v>1439602.85603879</v>
      </c>
      <c r="L305" s="40" t="n">
        <f aca="false">C305+F305+I305</f>
        <v>7693.43087138976</v>
      </c>
      <c r="M305" s="40" t="n">
        <f aca="false">D305+G305+J305</f>
        <v>8866.72621995671</v>
      </c>
      <c r="N305" s="40" t="n">
        <f aca="false">L305+M305</f>
        <v>16560.1570913465</v>
      </c>
      <c r="O305" s="40" t="n">
        <f aca="false">E305+H305+K305</f>
        <v>2718017.19367239</v>
      </c>
    </row>
    <row r="306" customFormat="false" ht="15" hidden="false" customHeight="false" outlineLevel="0" collapsed="false">
      <c r="A306" s="39" t="n">
        <v>300</v>
      </c>
      <c r="B306" s="39" t="n">
        <f aca="false">ROUNDUP(A306/12,0)</f>
        <v>25</v>
      </c>
      <c r="C306" s="40" t="n">
        <f aca="false">E305*Annahmen!$B$38/12</f>
        <v>1636.8498299552</v>
      </c>
      <c r="D306" s="40" t="n">
        <f aca="false">MIN($C$3-C306,E305)</f>
        <v>1863.1501700448</v>
      </c>
      <c r="E306" s="40" t="n">
        <f aca="false">E305-D306</f>
        <v>783824.768208449</v>
      </c>
      <c r="F306" s="40" t="n">
        <f aca="false">H305*Annahmen!$B$39/12</f>
        <v>1231.81604813774</v>
      </c>
      <c r="G306" s="40" t="n">
        <f aca="false">MIN($F$3-F306,H305)</f>
        <v>1374.85061852892</v>
      </c>
      <c r="H306" s="40" t="n">
        <f aca="false">H305-G306</f>
        <v>491351.568636569</v>
      </c>
      <c r="I306" s="40" t="n">
        <f aca="false">K305*Annahmen!$B$40/12</f>
        <v>4798.67618679598</v>
      </c>
      <c r="J306" s="40" t="n">
        <f aca="false">MIN($I$3-I306,K305)</f>
        <v>5654.81423788382</v>
      </c>
      <c r="K306" s="40" t="n">
        <f aca="false">K305-J306</f>
        <v>1433948.04180091</v>
      </c>
      <c r="L306" s="40" t="n">
        <f aca="false">C306+F306+I306</f>
        <v>7667.34206488892</v>
      </c>
      <c r="M306" s="40" t="n">
        <f aca="false">D306+G306+J306</f>
        <v>8892.81502645755</v>
      </c>
      <c r="N306" s="40" t="n">
        <f aca="false">L306+M306</f>
        <v>16560.1570913465</v>
      </c>
      <c r="O306" s="40" t="n">
        <f aca="false">E306+H306+K306</f>
        <v>2709124.37864593</v>
      </c>
    </row>
    <row r="307" customFormat="false" ht="15" hidden="false" customHeight="false" outlineLevel="0" collapsed="false">
      <c r="A307" s="39" t="n">
        <v>301</v>
      </c>
      <c r="B307" s="39" t="n">
        <f aca="false">ROUNDUP(A307/12,0)</f>
        <v>26</v>
      </c>
      <c r="C307" s="40" t="n">
        <f aca="false">E306*Annahmen!$B$38/12</f>
        <v>1632.96826710094</v>
      </c>
      <c r="D307" s="40" t="n">
        <f aca="false">MIN($C$3-C307,E306)</f>
        <v>1867.03173289906</v>
      </c>
      <c r="E307" s="40" t="n">
        <f aca="false">E306-D307</f>
        <v>781957.73647555</v>
      </c>
      <c r="F307" s="40" t="n">
        <f aca="false">H306*Annahmen!$B$39/12</f>
        <v>1228.37892159142</v>
      </c>
      <c r="G307" s="40" t="n">
        <f aca="false">MIN($F$3-F307,H306)</f>
        <v>1378.28774507524</v>
      </c>
      <c r="H307" s="40" t="n">
        <f aca="false">H306-G307</f>
        <v>489973.280891494</v>
      </c>
      <c r="I307" s="40" t="n">
        <f aca="false">K306*Annahmen!$B$40/12</f>
        <v>4779.82680600303</v>
      </c>
      <c r="J307" s="40" t="n">
        <f aca="false">MIN($I$3-I307,K306)</f>
        <v>5673.66361867677</v>
      </c>
      <c r="K307" s="40" t="n">
        <f aca="false">K306-J307</f>
        <v>1428274.37818223</v>
      </c>
      <c r="L307" s="40" t="n">
        <f aca="false">C307+F307+I307</f>
        <v>7641.17399469539</v>
      </c>
      <c r="M307" s="40" t="n">
        <f aca="false">D307+G307+J307</f>
        <v>8918.98309665107</v>
      </c>
      <c r="N307" s="40" t="n">
        <f aca="false">L307+M307</f>
        <v>16560.1570913465</v>
      </c>
      <c r="O307" s="40" t="n">
        <f aca="false">E307+H307+K307</f>
        <v>2700205.39554928</v>
      </c>
    </row>
    <row r="308" customFormat="false" ht="15" hidden="false" customHeight="false" outlineLevel="0" collapsed="false">
      <c r="A308" s="39" t="n">
        <v>302</v>
      </c>
      <c r="B308" s="39" t="n">
        <f aca="false">ROUNDUP(A308/12,0)</f>
        <v>26</v>
      </c>
      <c r="C308" s="40" t="n">
        <f aca="false">E307*Annahmen!$B$38/12</f>
        <v>1629.0786176574</v>
      </c>
      <c r="D308" s="40" t="n">
        <f aca="false">MIN($C$3-C308,E307)</f>
        <v>1870.9213823426</v>
      </c>
      <c r="E308" s="40" t="n">
        <f aca="false">E307-D308</f>
        <v>780086.815093208</v>
      </c>
      <c r="F308" s="40" t="n">
        <f aca="false">H307*Annahmen!$B$39/12</f>
        <v>1224.93320222873</v>
      </c>
      <c r="G308" s="40" t="n">
        <f aca="false">MIN($F$3-F308,H307)</f>
        <v>1381.73346443793</v>
      </c>
      <c r="H308" s="40" t="n">
        <f aca="false">H307-G308</f>
        <v>488591.547427056</v>
      </c>
      <c r="I308" s="40" t="n">
        <f aca="false">K307*Annahmen!$B$40/12</f>
        <v>4760.91459394078</v>
      </c>
      <c r="J308" s="40" t="n">
        <f aca="false">MIN($I$3-I308,K307)</f>
        <v>5692.57583073903</v>
      </c>
      <c r="K308" s="40" t="n">
        <f aca="false">K307-J308</f>
        <v>1422581.80235149</v>
      </c>
      <c r="L308" s="40" t="n">
        <f aca="false">C308+F308+I308</f>
        <v>7614.92641382691</v>
      </c>
      <c r="M308" s="40" t="n">
        <f aca="false">D308+G308+J308</f>
        <v>8945.23067751956</v>
      </c>
      <c r="N308" s="40" t="n">
        <f aca="false">L308+M308</f>
        <v>16560.1570913465</v>
      </c>
      <c r="O308" s="40" t="n">
        <f aca="false">E308+H308+K308</f>
        <v>2691260.16487176</v>
      </c>
    </row>
    <row r="309" customFormat="false" ht="15" hidden="false" customHeight="false" outlineLevel="0" collapsed="false">
      <c r="A309" s="39" t="n">
        <v>303</v>
      </c>
      <c r="B309" s="39" t="n">
        <f aca="false">ROUNDUP(A309/12,0)</f>
        <v>26</v>
      </c>
      <c r="C309" s="40" t="n">
        <f aca="false">E308*Annahmen!$B$38/12</f>
        <v>1625.18086477752</v>
      </c>
      <c r="D309" s="40" t="n">
        <f aca="false">MIN($C$3-C309,E308)</f>
        <v>1874.81913522248</v>
      </c>
      <c r="E309" s="40" t="n">
        <f aca="false">E308-D309</f>
        <v>778211.995957985</v>
      </c>
      <c r="F309" s="40" t="n">
        <f aca="false">H308*Annahmen!$B$39/12</f>
        <v>1221.47886856764</v>
      </c>
      <c r="G309" s="40" t="n">
        <f aca="false">MIN($F$3-F309,H308)</f>
        <v>1385.18779809903</v>
      </c>
      <c r="H309" s="40" t="n">
        <f aca="false">H308-G309</f>
        <v>487206.359628957</v>
      </c>
      <c r="I309" s="40" t="n">
        <f aca="false">K308*Annahmen!$B$40/12</f>
        <v>4741.93934117165</v>
      </c>
      <c r="J309" s="40" t="n">
        <f aca="false">MIN($I$3-I309,K308)</f>
        <v>5711.55108350816</v>
      </c>
      <c r="K309" s="40" t="n">
        <f aca="false">K308-J309</f>
        <v>1416870.25126799</v>
      </c>
      <c r="L309" s="40" t="n">
        <f aca="false">C309+F309+I309</f>
        <v>7588.5990745168</v>
      </c>
      <c r="M309" s="40" t="n">
        <f aca="false">D309+G309+J309</f>
        <v>8971.55801682966</v>
      </c>
      <c r="N309" s="40" t="n">
        <f aca="false">L309+M309</f>
        <v>16560.1570913465</v>
      </c>
      <c r="O309" s="40" t="n">
        <f aca="false">E309+H309+K309</f>
        <v>2682288.60685493</v>
      </c>
    </row>
    <row r="310" customFormat="false" ht="15" hidden="false" customHeight="false" outlineLevel="0" collapsed="false">
      <c r="A310" s="39" t="n">
        <v>304</v>
      </c>
      <c r="B310" s="39" t="n">
        <f aca="false">ROUNDUP(A310/12,0)</f>
        <v>26</v>
      </c>
      <c r="C310" s="40" t="n">
        <f aca="false">E309*Annahmen!$B$38/12</f>
        <v>1621.27499157914</v>
      </c>
      <c r="D310" s="40" t="n">
        <f aca="false">MIN($C$3-C310,E309)</f>
        <v>1878.72500842086</v>
      </c>
      <c r="E310" s="40" t="n">
        <f aca="false">E309-D310</f>
        <v>776333.270949564</v>
      </c>
      <c r="F310" s="40" t="n">
        <f aca="false">H309*Annahmen!$B$39/12</f>
        <v>1218.01589907239</v>
      </c>
      <c r="G310" s="40" t="n">
        <f aca="false">MIN($F$3-F310,H309)</f>
        <v>1388.65076759427</v>
      </c>
      <c r="H310" s="40" t="n">
        <f aca="false">H309-G310</f>
        <v>485817.708861363</v>
      </c>
      <c r="I310" s="40" t="n">
        <f aca="false">K309*Annahmen!$B$40/12</f>
        <v>4722.90083755995</v>
      </c>
      <c r="J310" s="40" t="n">
        <f aca="false">MIN($I$3-I310,K309)</f>
        <v>5730.58958711985</v>
      </c>
      <c r="K310" s="40" t="n">
        <f aca="false">K309-J310</f>
        <v>1411139.66168087</v>
      </c>
      <c r="L310" s="40" t="n">
        <f aca="false">C310+F310+I310</f>
        <v>7562.19172821148</v>
      </c>
      <c r="M310" s="40" t="n">
        <f aca="false">D310+G310+J310</f>
        <v>8997.96536313499</v>
      </c>
      <c r="N310" s="40" t="n">
        <f aca="false">L310+M310</f>
        <v>16560.1570913465</v>
      </c>
      <c r="O310" s="40" t="n">
        <f aca="false">E310+H310+K310</f>
        <v>2673290.64149179</v>
      </c>
    </row>
    <row r="311" customFormat="false" ht="15" hidden="false" customHeight="false" outlineLevel="0" collapsed="false">
      <c r="A311" s="39" t="n">
        <v>305</v>
      </c>
      <c r="B311" s="39" t="n">
        <f aca="false">ROUNDUP(A311/12,0)</f>
        <v>26</v>
      </c>
      <c r="C311" s="40" t="n">
        <f aca="false">E310*Annahmen!$B$38/12</f>
        <v>1617.36098114493</v>
      </c>
      <c r="D311" s="40" t="n">
        <f aca="false">MIN($C$3-C311,E310)</f>
        <v>1882.63901885507</v>
      </c>
      <c r="E311" s="40" t="n">
        <f aca="false">E310-D311</f>
        <v>774450.631930709</v>
      </c>
      <c r="F311" s="40" t="n">
        <f aca="false">H310*Annahmen!$B$39/12</f>
        <v>1214.54427215341</v>
      </c>
      <c r="G311" s="40" t="n">
        <f aca="false">MIN($F$3-F311,H310)</f>
        <v>1392.12239451326</v>
      </c>
      <c r="H311" s="40" t="n">
        <f aca="false">H310-G311</f>
        <v>484425.586466849</v>
      </c>
      <c r="I311" s="40" t="n">
        <f aca="false">K310*Annahmen!$B$40/12</f>
        <v>4703.79887226955</v>
      </c>
      <c r="J311" s="40" t="n">
        <f aca="false">MIN($I$3-I311,K310)</f>
        <v>5749.69155241025</v>
      </c>
      <c r="K311" s="40" t="n">
        <f aca="false">K310-J311</f>
        <v>1405389.97012846</v>
      </c>
      <c r="L311" s="40" t="n">
        <f aca="false">C311+F311+I311</f>
        <v>7535.70412556789</v>
      </c>
      <c r="M311" s="40" t="n">
        <f aca="false">D311+G311+J311</f>
        <v>9024.45296577858</v>
      </c>
      <c r="N311" s="40" t="n">
        <f aca="false">L311+M311</f>
        <v>16560.1570913465</v>
      </c>
      <c r="O311" s="40" t="n">
        <f aca="false">E311+H311+K311</f>
        <v>2664266.18852601</v>
      </c>
    </row>
    <row r="312" customFormat="false" ht="15" hidden="false" customHeight="false" outlineLevel="0" collapsed="false">
      <c r="A312" s="39" t="n">
        <v>306</v>
      </c>
      <c r="B312" s="39" t="n">
        <f aca="false">ROUNDUP(A312/12,0)</f>
        <v>26</v>
      </c>
      <c r="C312" s="40" t="n">
        <f aca="false">E311*Annahmen!$B$38/12</f>
        <v>1613.43881652231</v>
      </c>
      <c r="D312" s="40" t="n">
        <f aca="false">MIN($C$3-C312,E311)</f>
        <v>1886.56118347769</v>
      </c>
      <c r="E312" s="40" t="n">
        <f aca="false">E311-D312</f>
        <v>772564.070747232</v>
      </c>
      <c r="F312" s="40" t="n">
        <f aca="false">H311*Annahmen!$B$39/12</f>
        <v>1211.06396616712</v>
      </c>
      <c r="G312" s="40" t="n">
        <f aca="false">MIN($F$3-F312,H311)</f>
        <v>1395.60270049954</v>
      </c>
      <c r="H312" s="40" t="n">
        <f aca="false">H311-G312</f>
        <v>483029.98376635</v>
      </c>
      <c r="I312" s="40" t="n">
        <f aca="false">K311*Annahmen!$B$40/12</f>
        <v>4684.63323376152</v>
      </c>
      <c r="J312" s="40" t="n">
        <f aca="false">MIN($I$3-I312,K311)</f>
        <v>5768.85719091828</v>
      </c>
      <c r="K312" s="40" t="n">
        <f aca="false">K311-J312</f>
        <v>1399621.11293754</v>
      </c>
      <c r="L312" s="40" t="n">
        <f aca="false">C312+F312+I312</f>
        <v>7509.13601645095</v>
      </c>
      <c r="M312" s="40" t="n">
        <f aca="false">D312+G312+J312</f>
        <v>9051.02107489551</v>
      </c>
      <c r="N312" s="40" t="n">
        <f aca="false">L312+M312</f>
        <v>16560.1570913465</v>
      </c>
      <c r="O312" s="40" t="n">
        <f aca="false">E312+H312+K312</f>
        <v>2655215.16745112</v>
      </c>
    </row>
    <row r="313" customFormat="false" ht="15" hidden="false" customHeight="false" outlineLevel="0" collapsed="false">
      <c r="A313" s="39" t="n">
        <v>307</v>
      </c>
      <c r="B313" s="39" t="n">
        <f aca="false">ROUNDUP(A313/12,0)</f>
        <v>26</v>
      </c>
      <c r="C313" s="40" t="n">
        <f aca="false">E312*Annahmen!$B$38/12</f>
        <v>1609.5084807234</v>
      </c>
      <c r="D313" s="40" t="n">
        <f aca="false">MIN($C$3-C313,E312)</f>
        <v>1890.4915192766</v>
      </c>
      <c r="E313" s="40" t="n">
        <f aca="false">E312-D313</f>
        <v>770673.579227955</v>
      </c>
      <c r="F313" s="40" t="n">
        <f aca="false">H312*Annahmen!$B$39/12</f>
        <v>1207.57495941587</v>
      </c>
      <c r="G313" s="40" t="n">
        <f aca="false">MIN($F$3-F313,H312)</f>
        <v>1399.09170725079</v>
      </c>
      <c r="H313" s="40" t="n">
        <f aca="false">H312-G313</f>
        <v>481630.892059099</v>
      </c>
      <c r="I313" s="40" t="n">
        <f aca="false">K312*Annahmen!$B$40/12</f>
        <v>4665.40370979179</v>
      </c>
      <c r="J313" s="40" t="n">
        <f aca="false">MIN($I$3-I313,K312)</f>
        <v>5788.08671488801</v>
      </c>
      <c r="K313" s="40" t="n">
        <f aca="false">K312-J313</f>
        <v>1393833.02622265</v>
      </c>
      <c r="L313" s="40" t="n">
        <f aca="false">C313+F313+I313</f>
        <v>7482.48714993107</v>
      </c>
      <c r="M313" s="40" t="n">
        <f aca="false">D313+G313+J313</f>
        <v>9077.6699414154</v>
      </c>
      <c r="N313" s="40" t="n">
        <f aca="false">L313+M313</f>
        <v>16560.1570913465</v>
      </c>
      <c r="O313" s="40" t="n">
        <f aca="false">E313+H313+K313</f>
        <v>2646137.4975097</v>
      </c>
    </row>
    <row r="314" customFormat="false" ht="15" hidden="false" customHeight="false" outlineLevel="0" collapsed="false">
      <c r="A314" s="39" t="n">
        <v>308</v>
      </c>
      <c r="B314" s="39" t="n">
        <f aca="false">ROUNDUP(A314/12,0)</f>
        <v>26</v>
      </c>
      <c r="C314" s="40" t="n">
        <f aca="false">E313*Annahmen!$B$38/12</f>
        <v>1605.56995672491</v>
      </c>
      <c r="D314" s="40" t="n">
        <f aca="false">MIN($C$3-C314,E313)</f>
        <v>1894.43004327509</v>
      </c>
      <c r="E314" s="40" t="n">
        <f aca="false">E313-D314</f>
        <v>768779.14918468</v>
      </c>
      <c r="F314" s="40" t="n">
        <f aca="false">H313*Annahmen!$B$39/12</f>
        <v>1204.07723014775</v>
      </c>
      <c r="G314" s="40" t="n">
        <f aca="false">MIN($F$3-F314,H313)</f>
        <v>1402.58943651892</v>
      </c>
      <c r="H314" s="40" t="n">
        <f aca="false">H313-G314</f>
        <v>480228.30262258</v>
      </c>
      <c r="I314" s="40" t="n">
        <f aca="false">K313*Annahmen!$B$40/12</f>
        <v>4646.11008740883</v>
      </c>
      <c r="J314" s="40" t="n">
        <f aca="false">MIN($I$3-I314,K313)</f>
        <v>5807.38033727097</v>
      </c>
      <c r="K314" s="40" t="n">
        <f aca="false">K313-J314</f>
        <v>1388025.64588538</v>
      </c>
      <c r="L314" s="40" t="n">
        <f aca="false">C314+F314+I314</f>
        <v>7455.75727428149</v>
      </c>
      <c r="M314" s="40" t="n">
        <f aca="false">D314+G314+J314</f>
        <v>9104.39981706498</v>
      </c>
      <c r="N314" s="40" t="n">
        <f aca="false">L314+M314</f>
        <v>16560.1570913465</v>
      </c>
      <c r="O314" s="40" t="n">
        <f aca="false">E314+H314+K314</f>
        <v>2637033.09769264</v>
      </c>
    </row>
    <row r="315" customFormat="false" ht="15" hidden="false" customHeight="false" outlineLevel="0" collapsed="false">
      <c r="A315" s="39" t="n">
        <v>309</v>
      </c>
      <c r="B315" s="39" t="n">
        <f aca="false">ROUNDUP(A315/12,0)</f>
        <v>26</v>
      </c>
      <c r="C315" s="40" t="n">
        <f aca="false">E314*Annahmen!$B$38/12</f>
        <v>1601.62322746808</v>
      </c>
      <c r="D315" s="40" t="n">
        <f aca="false">MIN($C$3-C315,E314)</f>
        <v>1898.37677253192</v>
      </c>
      <c r="E315" s="40" t="n">
        <f aca="false">E314-D315</f>
        <v>766880.772412148</v>
      </c>
      <c r="F315" s="40" t="n">
        <f aca="false">H314*Annahmen!$B$39/12</f>
        <v>1200.57075655645</v>
      </c>
      <c r="G315" s="40" t="n">
        <f aca="false">MIN($F$3-F315,H314)</f>
        <v>1406.09591011022</v>
      </c>
      <c r="H315" s="40" t="n">
        <f aca="false">H314-G315</f>
        <v>478822.20671247</v>
      </c>
      <c r="I315" s="40" t="n">
        <f aca="false">K314*Annahmen!$B$40/12</f>
        <v>4626.75215295126</v>
      </c>
      <c r="J315" s="40" t="n">
        <f aca="false">MIN($I$3-I315,K314)</f>
        <v>5826.73827172854</v>
      </c>
      <c r="K315" s="40" t="n">
        <f aca="false">K314-J315</f>
        <v>1382198.90761365</v>
      </c>
      <c r="L315" s="40" t="n">
        <f aca="false">C315+F315+I315</f>
        <v>7428.9461369758</v>
      </c>
      <c r="M315" s="40" t="n">
        <f aca="false">D315+G315+J315</f>
        <v>9131.21095437067</v>
      </c>
      <c r="N315" s="40" t="n">
        <f aca="false">L315+M315</f>
        <v>16560.1570913465</v>
      </c>
      <c r="O315" s="40" t="n">
        <f aca="false">E315+H315+K315</f>
        <v>2627901.88673827</v>
      </c>
    </row>
    <row r="316" customFormat="false" ht="15" hidden="false" customHeight="false" outlineLevel="0" collapsed="false">
      <c r="A316" s="39" t="n">
        <v>310</v>
      </c>
      <c r="B316" s="39" t="n">
        <f aca="false">ROUNDUP(A316/12,0)</f>
        <v>26</v>
      </c>
      <c r="C316" s="40" t="n">
        <f aca="false">E315*Annahmen!$B$38/12</f>
        <v>1597.66827585864</v>
      </c>
      <c r="D316" s="40" t="n">
        <f aca="false">MIN($C$3-C316,E315)</f>
        <v>1902.33172414136</v>
      </c>
      <c r="E316" s="40" t="n">
        <f aca="false">E315-D316</f>
        <v>764978.440688007</v>
      </c>
      <c r="F316" s="40" t="n">
        <f aca="false">H315*Annahmen!$B$39/12</f>
        <v>1197.05551678117</v>
      </c>
      <c r="G316" s="40" t="n">
        <f aca="false">MIN($F$3-F316,H315)</f>
        <v>1409.61114988549</v>
      </c>
      <c r="H316" s="40" t="n">
        <f aca="false">H315-G316</f>
        <v>477412.595562584</v>
      </c>
      <c r="I316" s="40" t="n">
        <f aca="false">K315*Annahmen!$B$40/12</f>
        <v>4607.3296920455</v>
      </c>
      <c r="J316" s="40" t="n">
        <f aca="false">MIN($I$3-I316,K315)</f>
        <v>5846.1607326343</v>
      </c>
      <c r="K316" s="40" t="n">
        <f aca="false">K315-J316</f>
        <v>1376352.74688102</v>
      </c>
      <c r="L316" s="40" t="n">
        <f aca="false">C316+F316+I316</f>
        <v>7402.05348468532</v>
      </c>
      <c r="M316" s="40" t="n">
        <f aca="false">D316+G316+J316</f>
        <v>9158.10360666115</v>
      </c>
      <c r="N316" s="40" t="n">
        <f aca="false">L316+M316</f>
        <v>16560.1570913465</v>
      </c>
      <c r="O316" s="40" t="n">
        <f aca="false">E316+H316+K316</f>
        <v>2618743.78313161</v>
      </c>
    </row>
    <row r="317" customFormat="false" ht="15" hidden="false" customHeight="false" outlineLevel="0" collapsed="false">
      <c r="A317" s="39" t="n">
        <v>311</v>
      </c>
      <c r="B317" s="39" t="n">
        <f aca="false">ROUNDUP(A317/12,0)</f>
        <v>26</v>
      </c>
      <c r="C317" s="40" t="n">
        <f aca="false">E316*Annahmen!$B$38/12</f>
        <v>1593.70508476668</v>
      </c>
      <c r="D317" s="40" t="n">
        <f aca="false">MIN($C$3-C317,E316)</f>
        <v>1906.29491523332</v>
      </c>
      <c r="E317" s="40" t="n">
        <f aca="false">E316-D317</f>
        <v>763072.145772773</v>
      </c>
      <c r="F317" s="40" t="n">
        <f aca="false">H316*Annahmen!$B$39/12</f>
        <v>1193.53148890646</v>
      </c>
      <c r="G317" s="40" t="n">
        <f aca="false">MIN($F$3-F317,H316)</f>
        <v>1413.13517776021</v>
      </c>
      <c r="H317" s="40" t="n">
        <f aca="false">H316-G317</f>
        <v>475999.460384824</v>
      </c>
      <c r="I317" s="40" t="n">
        <f aca="false">K316*Annahmen!$B$40/12</f>
        <v>4587.84248960339</v>
      </c>
      <c r="J317" s="40" t="n">
        <f aca="false">MIN($I$3-I317,K316)</f>
        <v>5865.64793507642</v>
      </c>
      <c r="K317" s="40" t="n">
        <f aca="false">K316-J317</f>
        <v>1370487.09894594</v>
      </c>
      <c r="L317" s="40" t="n">
        <f aca="false">C317+F317+I317</f>
        <v>7375.07906327653</v>
      </c>
      <c r="M317" s="40" t="n">
        <f aca="false">D317+G317+J317</f>
        <v>9185.07802806994</v>
      </c>
      <c r="N317" s="40" t="n">
        <f aca="false">L317+M317</f>
        <v>16560.1570913465</v>
      </c>
      <c r="O317" s="40" t="n">
        <f aca="false">E317+H317+K317</f>
        <v>2609558.70510354</v>
      </c>
    </row>
    <row r="318" customFormat="false" ht="15" hidden="false" customHeight="false" outlineLevel="0" collapsed="false">
      <c r="A318" s="39" t="n">
        <v>312</v>
      </c>
      <c r="B318" s="39" t="n">
        <f aca="false">ROUNDUP(A318/12,0)</f>
        <v>26</v>
      </c>
      <c r="C318" s="40" t="n">
        <f aca="false">E317*Annahmen!$B$38/12</f>
        <v>1589.73363702661</v>
      </c>
      <c r="D318" s="40" t="n">
        <f aca="false">MIN($C$3-C318,E317)</f>
        <v>1910.26636297339</v>
      </c>
      <c r="E318" s="40" t="n">
        <f aca="false">E317-D318</f>
        <v>761161.8794098</v>
      </c>
      <c r="F318" s="40" t="n">
        <f aca="false">H317*Annahmen!$B$39/12</f>
        <v>1189.99865096206</v>
      </c>
      <c r="G318" s="40" t="n">
        <f aca="false">MIN($F$3-F318,H317)</f>
        <v>1416.66801570461</v>
      </c>
      <c r="H318" s="40" t="n">
        <f aca="false">H317-G318</f>
        <v>474582.792369119</v>
      </c>
      <c r="I318" s="40" t="n">
        <f aca="false">K317*Annahmen!$B$40/12</f>
        <v>4568.2903298198</v>
      </c>
      <c r="J318" s="40" t="n">
        <f aca="false">MIN($I$3-I318,K317)</f>
        <v>5885.20009486</v>
      </c>
      <c r="K318" s="40" t="n">
        <f aca="false">K317-J318</f>
        <v>1364601.89885108</v>
      </c>
      <c r="L318" s="40" t="n">
        <f aca="false">C318+F318+I318</f>
        <v>7348.02261780847</v>
      </c>
      <c r="M318" s="40" t="n">
        <f aca="false">D318+G318+J318</f>
        <v>9212.134473538</v>
      </c>
      <c r="N318" s="40" t="n">
        <f aca="false">L318+M318</f>
        <v>16560.1570913465</v>
      </c>
      <c r="O318" s="40" t="n">
        <f aca="false">E318+H318+K318</f>
        <v>2600346.57063</v>
      </c>
    </row>
    <row r="319" customFormat="false" ht="15" hidden="false" customHeight="false" outlineLevel="0" collapsed="false">
      <c r="A319" s="39" t="n">
        <v>313</v>
      </c>
      <c r="B319" s="39" t="n">
        <f aca="false">ROUNDUP(A319/12,0)</f>
        <v>27</v>
      </c>
      <c r="C319" s="40" t="n">
        <f aca="false">E318*Annahmen!$B$38/12</f>
        <v>1585.75391543708</v>
      </c>
      <c r="D319" s="40" t="n">
        <f aca="false">MIN($C$3-C319,E318)</f>
        <v>1914.24608456292</v>
      </c>
      <c r="E319" s="40" t="n">
        <f aca="false">E318-D319</f>
        <v>759247.633325237</v>
      </c>
      <c r="F319" s="40" t="n">
        <f aca="false">H318*Annahmen!$B$39/12</f>
        <v>1186.4569809228</v>
      </c>
      <c r="G319" s="40" t="n">
        <f aca="false">MIN($F$3-F319,H318)</f>
        <v>1420.20968574387</v>
      </c>
      <c r="H319" s="40" t="n">
        <f aca="false">H318-G319</f>
        <v>473162.582683376</v>
      </c>
      <c r="I319" s="40" t="n">
        <f aca="false">K318*Annahmen!$B$40/12</f>
        <v>4548.67299617026</v>
      </c>
      <c r="J319" s="40" t="n">
        <f aca="false">MIN($I$3-I319,K318)</f>
        <v>5904.81742850954</v>
      </c>
      <c r="K319" s="40" t="n">
        <f aca="false">K318-J319</f>
        <v>1358697.08142257</v>
      </c>
      <c r="L319" s="40" t="n">
        <f aca="false">C319+F319+I319</f>
        <v>7320.88389253015</v>
      </c>
      <c r="M319" s="40" t="n">
        <f aca="false">D319+G319+J319</f>
        <v>9239.27319881632</v>
      </c>
      <c r="N319" s="40" t="n">
        <f aca="false">L319+M319</f>
        <v>16560.1570913465</v>
      </c>
      <c r="O319" s="40" t="n">
        <f aca="false">E319+H319+K319</f>
        <v>2591107.29743118</v>
      </c>
    </row>
    <row r="320" customFormat="false" ht="15" hidden="false" customHeight="false" outlineLevel="0" collapsed="false">
      <c r="A320" s="39" t="n">
        <v>314</v>
      </c>
      <c r="B320" s="39" t="n">
        <f aca="false">ROUNDUP(A320/12,0)</f>
        <v>27</v>
      </c>
      <c r="C320" s="40" t="n">
        <f aca="false">E319*Annahmen!$B$38/12</f>
        <v>1581.76590276091</v>
      </c>
      <c r="D320" s="40" t="n">
        <f aca="false">MIN($C$3-C320,E319)</f>
        <v>1918.23409723909</v>
      </c>
      <c r="E320" s="40" t="n">
        <f aca="false">E319-D320</f>
        <v>757329.399227998</v>
      </c>
      <c r="F320" s="40" t="n">
        <f aca="false">H319*Annahmen!$B$39/12</f>
        <v>1182.90645670844</v>
      </c>
      <c r="G320" s="40" t="n">
        <f aca="false">MIN($F$3-F320,H319)</f>
        <v>1423.76020995823</v>
      </c>
      <c r="H320" s="40" t="n">
        <f aca="false">H319-G320</f>
        <v>471738.822473417</v>
      </c>
      <c r="I320" s="40" t="n">
        <f aca="false">K319*Annahmen!$B$40/12</f>
        <v>4528.99027140857</v>
      </c>
      <c r="J320" s="40" t="n">
        <f aca="false">MIN($I$3-I320,K319)</f>
        <v>5924.50015327124</v>
      </c>
      <c r="K320" s="40" t="n">
        <f aca="false">K319-J320</f>
        <v>1352772.5812693</v>
      </c>
      <c r="L320" s="40" t="n">
        <f aca="false">C320+F320+I320</f>
        <v>7293.66263087792</v>
      </c>
      <c r="M320" s="40" t="n">
        <f aca="false">D320+G320+J320</f>
        <v>9266.49446046855</v>
      </c>
      <c r="N320" s="40" t="n">
        <f aca="false">L320+M320</f>
        <v>16560.1570913465</v>
      </c>
      <c r="O320" s="40" t="n">
        <f aca="false">E320+H320+K320</f>
        <v>2581840.80297071</v>
      </c>
    </row>
    <row r="321" customFormat="false" ht="15" hidden="false" customHeight="false" outlineLevel="0" collapsed="false">
      <c r="A321" s="39" t="n">
        <v>315</v>
      </c>
      <c r="B321" s="39" t="n">
        <f aca="false">ROUNDUP(A321/12,0)</f>
        <v>27</v>
      </c>
      <c r="C321" s="40" t="n">
        <f aca="false">E320*Annahmen!$B$38/12</f>
        <v>1577.769581725</v>
      </c>
      <c r="D321" s="40" t="n">
        <f aca="false">MIN($C$3-C321,E320)</f>
        <v>1922.230418275</v>
      </c>
      <c r="E321" s="40" t="n">
        <f aca="false">E320-D321</f>
        <v>755407.168809723</v>
      </c>
      <c r="F321" s="40" t="n">
        <f aca="false">H320*Annahmen!$B$39/12</f>
        <v>1179.34705618354</v>
      </c>
      <c r="G321" s="40" t="n">
        <f aca="false">MIN($F$3-F321,H320)</f>
        <v>1427.31961048312</v>
      </c>
      <c r="H321" s="40" t="n">
        <f aca="false">H320-G321</f>
        <v>470311.502862934</v>
      </c>
      <c r="I321" s="40" t="n">
        <f aca="false">K320*Annahmen!$B$40/12</f>
        <v>4509.24193756433</v>
      </c>
      <c r="J321" s="40" t="n">
        <f aca="false">MIN($I$3-I321,K320)</f>
        <v>5944.24848711547</v>
      </c>
      <c r="K321" s="40" t="n">
        <f aca="false">K320-J321</f>
        <v>1346828.33278218</v>
      </c>
      <c r="L321" s="40" t="n">
        <f aca="false">C321+F321+I321</f>
        <v>7266.35857547287</v>
      </c>
      <c r="M321" s="40" t="n">
        <f aca="false">D321+G321+J321</f>
        <v>9293.7985158736</v>
      </c>
      <c r="N321" s="40" t="n">
        <f aca="false">L321+M321</f>
        <v>16560.1570913465</v>
      </c>
      <c r="O321" s="40" t="n">
        <f aca="false">E321+H321+K321</f>
        <v>2572547.00445484</v>
      </c>
    </row>
    <row r="322" customFormat="false" ht="15" hidden="false" customHeight="false" outlineLevel="0" collapsed="false">
      <c r="A322" s="39" t="n">
        <v>316</v>
      </c>
      <c r="B322" s="39" t="n">
        <f aca="false">ROUNDUP(A322/12,0)</f>
        <v>27</v>
      </c>
      <c r="C322" s="40" t="n">
        <f aca="false">E321*Annahmen!$B$38/12</f>
        <v>1573.76493502026</v>
      </c>
      <c r="D322" s="40" t="n">
        <f aca="false">MIN($C$3-C322,E321)</f>
        <v>1926.23506497974</v>
      </c>
      <c r="E322" s="40" t="n">
        <f aca="false">E321-D322</f>
        <v>753480.933744743</v>
      </c>
      <c r="F322" s="40" t="n">
        <f aca="false">H321*Annahmen!$B$39/12</f>
        <v>1175.77875715734</v>
      </c>
      <c r="G322" s="40" t="n">
        <f aca="false">MIN($F$3-F322,H321)</f>
        <v>1430.88790950933</v>
      </c>
      <c r="H322" s="40" t="n">
        <f aca="false">H321-G322</f>
        <v>468880.614953425</v>
      </c>
      <c r="I322" s="40" t="n">
        <f aca="false">K321*Annahmen!$B$40/12</f>
        <v>4489.42777594061</v>
      </c>
      <c r="J322" s="40" t="n">
        <f aca="false">MIN($I$3-I322,K321)</f>
        <v>5964.06264873919</v>
      </c>
      <c r="K322" s="40" t="n">
        <f aca="false">K321-J322</f>
        <v>1340864.27013344</v>
      </c>
      <c r="L322" s="40" t="n">
        <f aca="false">C322+F322+I322</f>
        <v>7238.9714681182</v>
      </c>
      <c r="M322" s="40" t="n">
        <f aca="false">D322+G322+J322</f>
        <v>9321.18562322826</v>
      </c>
      <c r="N322" s="40" t="n">
        <f aca="false">L322+M322</f>
        <v>16560.1570913465</v>
      </c>
      <c r="O322" s="40" t="n">
        <f aca="false">E322+H322+K322</f>
        <v>2563225.81883161</v>
      </c>
    </row>
    <row r="323" customFormat="false" ht="15" hidden="false" customHeight="false" outlineLevel="0" collapsed="false">
      <c r="A323" s="39" t="n">
        <v>317</v>
      </c>
      <c r="B323" s="39" t="n">
        <f aca="false">ROUNDUP(A323/12,0)</f>
        <v>27</v>
      </c>
      <c r="C323" s="40" t="n">
        <f aca="false">E322*Annahmen!$B$38/12</f>
        <v>1569.75194530155</v>
      </c>
      <c r="D323" s="40" t="n">
        <f aca="false">MIN($C$3-C323,E322)</f>
        <v>1930.24805469845</v>
      </c>
      <c r="E323" s="40" t="n">
        <f aca="false">E322-D323</f>
        <v>751550.685690045</v>
      </c>
      <c r="F323" s="40" t="n">
        <f aca="false">H322*Annahmen!$B$39/12</f>
        <v>1172.20153738356</v>
      </c>
      <c r="G323" s="40" t="n">
        <f aca="false">MIN($F$3-F323,H322)</f>
        <v>1434.4651292831</v>
      </c>
      <c r="H323" s="40" t="n">
        <f aca="false">H322-G323</f>
        <v>467446.149824142</v>
      </c>
      <c r="I323" s="40" t="n">
        <f aca="false">K322*Annahmen!$B$40/12</f>
        <v>4469.54756711148</v>
      </c>
      <c r="J323" s="40" t="n">
        <f aca="false">MIN($I$3-I323,K322)</f>
        <v>5983.94285756832</v>
      </c>
      <c r="K323" s="40" t="n">
        <f aca="false">K322-J323</f>
        <v>1334880.32727588</v>
      </c>
      <c r="L323" s="40" t="n">
        <f aca="false">C323+F323+I323</f>
        <v>7211.50104979659</v>
      </c>
      <c r="M323" s="40" t="n">
        <f aca="false">D323+G323+J323</f>
        <v>9348.65604154988</v>
      </c>
      <c r="N323" s="40" t="n">
        <f aca="false">L323+M323</f>
        <v>16560.1570913465</v>
      </c>
      <c r="O323" s="40" t="n">
        <f aca="false">E323+H323+K323</f>
        <v>2553877.16279006</v>
      </c>
    </row>
    <row r="324" customFormat="false" ht="15" hidden="false" customHeight="false" outlineLevel="0" collapsed="false">
      <c r="A324" s="39" t="n">
        <v>318</v>
      </c>
      <c r="B324" s="39" t="n">
        <f aca="false">ROUNDUP(A324/12,0)</f>
        <v>27</v>
      </c>
      <c r="C324" s="40" t="n">
        <f aca="false">E323*Annahmen!$B$38/12</f>
        <v>1565.73059518759</v>
      </c>
      <c r="D324" s="40" t="n">
        <f aca="false">MIN($C$3-C324,E323)</f>
        <v>1934.26940481241</v>
      </c>
      <c r="E324" s="40" t="n">
        <f aca="false">E323-D324</f>
        <v>749616.416285232</v>
      </c>
      <c r="F324" s="40" t="n">
        <f aca="false">H323*Annahmen!$B$39/12</f>
        <v>1168.61537456035</v>
      </c>
      <c r="G324" s="40" t="n">
        <f aca="false">MIN($F$3-F324,H323)</f>
        <v>1438.05129210631</v>
      </c>
      <c r="H324" s="40" t="n">
        <f aca="false">H323-G324</f>
        <v>466008.098532035</v>
      </c>
      <c r="I324" s="40" t="n">
        <f aca="false">K323*Annahmen!$B$40/12</f>
        <v>4449.60109091959</v>
      </c>
      <c r="J324" s="40" t="n">
        <f aca="false">MIN($I$3-I324,K323)</f>
        <v>6003.88933376022</v>
      </c>
      <c r="K324" s="40" t="n">
        <f aca="false">K323-J324</f>
        <v>1328876.43794212</v>
      </c>
      <c r="L324" s="40" t="n">
        <f aca="false">C324+F324+I324</f>
        <v>7183.94706066753</v>
      </c>
      <c r="M324" s="40" t="n">
        <f aca="false">D324+G324+J324</f>
        <v>9376.21003067893</v>
      </c>
      <c r="N324" s="40" t="n">
        <f aca="false">L324+M324</f>
        <v>16560.1570913465</v>
      </c>
      <c r="O324" s="40" t="n">
        <f aca="false">E324+H324+K324</f>
        <v>2544500.95275938</v>
      </c>
    </row>
    <row r="325" customFormat="false" ht="15" hidden="false" customHeight="false" outlineLevel="0" collapsed="false">
      <c r="A325" s="39" t="n">
        <v>319</v>
      </c>
      <c r="B325" s="39" t="n">
        <f aca="false">ROUNDUP(A325/12,0)</f>
        <v>27</v>
      </c>
      <c r="C325" s="40" t="n">
        <f aca="false">E324*Annahmen!$B$38/12</f>
        <v>1561.7008672609</v>
      </c>
      <c r="D325" s="40" t="n">
        <f aca="false">MIN($C$3-C325,E324)</f>
        <v>1938.2991327391</v>
      </c>
      <c r="E325" s="40" t="n">
        <f aca="false">E324-D325</f>
        <v>747678.117152493</v>
      </c>
      <c r="F325" s="40" t="n">
        <f aca="false">H324*Annahmen!$B$39/12</f>
        <v>1165.02024633009</v>
      </c>
      <c r="G325" s="40" t="n">
        <f aca="false">MIN($F$3-F325,H324)</f>
        <v>1441.64642033658</v>
      </c>
      <c r="H325" s="40" t="n">
        <f aca="false">H324-G325</f>
        <v>464566.452111699</v>
      </c>
      <c r="I325" s="40" t="n">
        <f aca="false">K324*Annahmen!$B$40/12</f>
        <v>4429.58812647372</v>
      </c>
      <c r="J325" s="40" t="n">
        <f aca="false">MIN($I$3-I325,K324)</f>
        <v>6023.90229820608</v>
      </c>
      <c r="K325" s="40" t="n">
        <f aca="false">K324-J325</f>
        <v>1322852.53564391</v>
      </c>
      <c r="L325" s="40" t="n">
        <f aca="false">C325+F325+I325</f>
        <v>7156.30924006471</v>
      </c>
      <c r="M325" s="40" t="n">
        <f aca="false">D325+G325+J325</f>
        <v>9403.84785128176</v>
      </c>
      <c r="N325" s="40" t="n">
        <f aca="false">L325+M325</f>
        <v>16560.1570913465</v>
      </c>
      <c r="O325" s="40" t="n">
        <f aca="false">E325+H325+K325</f>
        <v>2535097.1049081</v>
      </c>
    </row>
    <row r="326" customFormat="false" ht="15" hidden="false" customHeight="false" outlineLevel="0" collapsed="false">
      <c r="A326" s="39" t="n">
        <v>320</v>
      </c>
      <c r="B326" s="39" t="n">
        <f aca="false">ROUNDUP(A326/12,0)</f>
        <v>27</v>
      </c>
      <c r="C326" s="40" t="n">
        <f aca="false">E325*Annahmen!$B$38/12</f>
        <v>1557.66274406769</v>
      </c>
      <c r="D326" s="40" t="n">
        <f aca="false">MIN($C$3-C326,E325)</f>
        <v>1942.3372559323</v>
      </c>
      <c r="E326" s="40" t="n">
        <f aca="false">E325-D326</f>
        <v>745735.779896561</v>
      </c>
      <c r="F326" s="40" t="n">
        <f aca="false">H325*Annahmen!$B$39/12</f>
        <v>1161.41613027925</v>
      </c>
      <c r="G326" s="40" t="n">
        <f aca="false">MIN($F$3-F326,H325)</f>
        <v>1445.25053638742</v>
      </c>
      <c r="H326" s="40" t="n">
        <f aca="false">H325-G326</f>
        <v>463121.201575311</v>
      </c>
      <c r="I326" s="40" t="n">
        <f aca="false">K325*Annahmen!$B$40/12</f>
        <v>4409.50845214636</v>
      </c>
      <c r="J326" s="40" t="n">
        <f aca="false">MIN($I$3-I326,K325)</f>
        <v>6043.98197253344</v>
      </c>
      <c r="K326" s="40" t="n">
        <f aca="false">K325-J326</f>
        <v>1316808.55367138</v>
      </c>
      <c r="L326" s="40" t="n">
        <f aca="false">C326+F326+I326</f>
        <v>7128.58732649331</v>
      </c>
      <c r="M326" s="40" t="n">
        <f aca="false">D326+G326+J326</f>
        <v>9431.56976485316</v>
      </c>
      <c r="N326" s="40" t="n">
        <f aca="false">L326+M326</f>
        <v>16560.1570913465</v>
      </c>
      <c r="O326" s="40" t="n">
        <f aca="false">E326+H326+K326</f>
        <v>2525665.53514325</v>
      </c>
    </row>
    <row r="327" customFormat="false" ht="15" hidden="false" customHeight="false" outlineLevel="0" collapsed="false">
      <c r="A327" s="39" t="n">
        <v>321</v>
      </c>
      <c r="B327" s="39" t="n">
        <f aca="false">ROUNDUP(A327/12,0)</f>
        <v>27</v>
      </c>
      <c r="C327" s="40" t="n">
        <f aca="false">E326*Annahmen!$B$38/12</f>
        <v>1553.61620811784</v>
      </c>
      <c r="D327" s="40" t="n">
        <f aca="false">MIN($C$3-C327,E326)</f>
        <v>1946.38379188216</v>
      </c>
      <c r="E327" s="40" t="n">
        <f aca="false">E326-D327</f>
        <v>743789.396104679</v>
      </c>
      <c r="F327" s="40" t="n">
        <f aca="false">H326*Annahmen!$B$39/12</f>
        <v>1157.80300393828</v>
      </c>
      <c r="G327" s="40" t="n">
        <f aca="false">MIN($F$3-F327,H326)</f>
        <v>1448.86366272839</v>
      </c>
      <c r="H327" s="40" t="n">
        <f aca="false">H326-G327</f>
        <v>461672.337912583</v>
      </c>
      <c r="I327" s="40" t="n">
        <f aca="false">K326*Annahmen!$B$40/12</f>
        <v>4389.36184557125</v>
      </c>
      <c r="J327" s="40" t="n">
        <f aca="false">MIN($I$3-I327,K326)</f>
        <v>6064.12857910855</v>
      </c>
      <c r="K327" s="40" t="n">
        <f aca="false">K326-J327</f>
        <v>1310744.42509227</v>
      </c>
      <c r="L327" s="40" t="n">
        <f aca="false">C327+F327+I327</f>
        <v>7100.78105762737</v>
      </c>
      <c r="M327" s="40" t="n">
        <f aca="false">D327+G327+J327</f>
        <v>9459.3760337191</v>
      </c>
      <c r="N327" s="40" t="n">
        <f aca="false">L327+M327</f>
        <v>16560.1570913465</v>
      </c>
      <c r="O327" s="40" t="n">
        <f aca="false">E327+H327+K327</f>
        <v>2516206.15910953</v>
      </c>
    </row>
    <row r="328" customFormat="false" ht="15" hidden="false" customHeight="false" outlineLevel="0" collapsed="false">
      <c r="A328" s="39" t="n">
        <v>322</v>
      </c>
      <c r="B328" s="39" t="n">
        <f aca="false">ROUNDUP(A328/12,0)</f>
        <v>27</v>
      </c>
      <c r="C328" s="40" t="n">
        <f aca="false">E327*Annahmen!$B$38/12</f>
        <v>1549.56124188475</v>
      </c>
      <c r="D328" s="40" t="n">
        <f aca="false">MIN($C$3-C328,E327)</f>
        <v>1950.43875811525</v>
      </c>
      <c r="E328" s="40" t="n">
        <f aca="false">E327-D328</f>
        <v>741838.957346564</v>
      </c>
      <c r="F328" s="40" t="n">
        <f aca="false">H327*Annahmen!$B$39/12</f>
        <v>1154.18084478146</v>
      </c>
      <c r="G328" s="40" t="n">
        <f aca="false">MIN($F$3-F328,H327)</f>
        <v>1452.48582188521</v>
      </c>
      <c r="H328" s="40" t="n">
        <f aca="false">H327-G328</f>
        <v>460219.852090698</v>
      </c>
      <c r="I328" s="40" t="n">
        <f aca="false">K327*Annahmen!$B$40/12</f>
        <v>4369.14808364089</v>
      </c>
      <c r="J328" s="40" t="n">
        <f aca="false">MIN($I$3-I328,K327)</f>
        <v>6084.34234103891</v>
      </c>
      <c r="K328" s="40" t="n">
        <f aca="false">K327-J328</f>
        <v>1304660.08275123</v>
      </c>
      <c r="L328" s="40" t="n">
        <f aca="false">C328+F328+I328</f>
        <v>7072.8901703071</v>
      </c>
      <c r="M328" s="40" t="n">
        <f aca="false">D328+G328+J328</f>
        <v>9487.26692103937</v>
      </c>
      <c r="N328" s="40" t="n">
        <f aca="false">L328+M328</f>
        <v>16560.1570913465</v>
      </c>
      <c r="O328" s="40" t="n">
        <f aca="false">E328+H328+K328</f>
        <v>2506718.89218849</v>
      </c>
    </row>
    <row r="329" customFormat="false" ht="15" hidden="false" customHeight="false" outlineLevel="0" collapsed="false">
      <c r="A329" s="39" t="n">
        <v>323</v>
      </c>
      <c r="B329" s="39" t="n">
        <f aca="false">ROUNDUP(A329/12,0)</f>
        <v>27</v>
      </c>
      <c r="C329" s="40" t="n">
        <f aca="false">E328*Annahmen!$B$38/12</f>
        <v>1545.49782780534</v>
      </c>
      <c r="D329" s="40" t="n">
        <f aca="false">MIN($C$3-C329,E328)</f>
        <v>1954.50217219466</v>
      </c>
      <c r="E329" s="40" t="n">
        <f aca="false">E328-D329</f>
        <v>739884.455174369</v>
      </c>
      <c r="F329" s="40" t="n">
        <f aca="false">H328*Annahmen!$B$39/12</f>
        <v>1150.54963022674</v>
      </c>
      <c r="G329" s="40" t="n">
        <f aca="false">MIN($F$3-F329,H328)</f>
        <v>1456.11703643992</v>
      </c>
      <c r="H329" s="40" t="n">
        <f aca="false">H328-G329</f>
        <v>458763.735054258</v>
      </c>
      <c r="I329" s="40" t="n">
        <f aca="false">K328*Annahmen!$B$40/12</f>
        <v>4348.8669425041</v>
      </c>
      <c r="J329" s="40" t="n">
        <f aca="false">MIN($I$3-I329,K328)</f>
        <v>6104.62348217571</v>
      </c>
      <c r="K329" s="40" t="n">
        <f aca="false">K328-J329</f>
        <v>1298555.45926905</v>
      </c>
      <c r="L329" s="40" t="n">
        <f aca="false">C329+F329+I329</f>
        <v>7044.91440053618</v>
      </c>
      <c r="M329" s="40" t="n">
        <f aca="false">D329+G329+J329</f>
        <v>9515.24269081029</v>
      </c>
      <c r="N329" s="40" t="n">
        <f aca="false">L329+M329</f>
        <v>16560.1570913465</v>
      </c>
      <c r="O329" s="40" t="n">
        <f aca="false">E329+H329+K329</f>
        <v>2497203.64949768</v>
      </c>
    </row>
    <row r="330" customFormat="false" ht="15" hidden="false" customHeight="false" outlineLevel="0" collapsed="false">
      <c r="A330" s="39" t="n">
        <v>324</v>
      </c>
      <c r="B330" s="39" t="n">
        <f aca="false">ROUNDUP(A330/12,0)</f>
        <v>27</v>
      </c>
      <c r="C330" s="40" t="n">
        <f aca="false">E329*Annahmen!$B$38/12</f>
        <v>1541.42594827994</v>
      </c>
      <c r="D330" s="40" t="n">
        <f aca="false">MIN($C$3-C330,E329)</f>
        <v>1958.57405172006</v>
      </c>
      <c r="E330" s="40" t="n">
        <f aca="false">E329-D330</f>
        <v>737925.881122649</v>
      </c>
      <c r="F330" s="40" t="n">
        <f aca="false">H329*Annahmen!$B$39/12</f>
        <v>1146.90933763564</v>
      </c>
      <c r="G330" s="40" t="n">
        <f aca="false">MIN($F$3-F330,H329)</f>
        <v>1459.75732903102</v>
      </c>
      <c r="H330" s="40" t="n">
        <f aca="false">H329-G330</f>
        <v>457303.977725227</v>
      </c>
      <c r="I330" s="40" t="n">
        <f aca="false">K329*Annahmen!$B$40/12</f>
        <v>4328.51819756351</v>
      </c>
      <c r="J330" s="40" t="n">
        <f aca="false">MIN($I$3-I330,K329)</f>
        <v>6124.97222711629</v>
      </c>
      <c r="K330" s="40" t="n">
        <f aca="false">K329-J330</f>
        <v>1292430.48704194</v>
      </c>
      <c r="L330" s="40" t="n">
        <f aca="false">C330+F330+I330</f>
        <v>7016.85348347909</v>
      </c>
      <c r="M330" s="40" t="n">
        <f aca="false">D330+G330+J330</f>
        <v>9543.30360786738</v>
      </c>
      <c r="N330" s="40" t="n">
        <f aca="false">L330+M330</f>
        <v>16560.1570913465</v>
      </c>
      <c r="O330" s="40" t="n">
        <f aca="false">E330+H330+K330</f>
        <v>2487660.34588981</v>
      </c>
    </row>
    <row r="331" customFormat="false" ht="15" hidden="false" customHeight="false" outlineLevel="0" collapsed="false">
      <c r="A331" s="39" t="n">
        <v>325</v>
      </c>
      <c r="B331" s="39" t="n">
        <f aca="false">ROUNDUP(A331/12,0)</f>
        <v>28</v>
      </c>
      <c r="C331" s="40" t="n">
        <f aca="false">E330*Annahmen!$B$38/12</f>
        <v>1537.34558567218</v>
      </c>
      <c r="D331" s="40" t="n">
        <f aca="false">MIN($C$3-C331,E330)</f>
        <v>1962.65441432781</v>
      </c>
      <c r="E331" s="40" t="n">
        <f aca="false">E330-D331</f>
        <v>735963.226708321</v>
      </c>
      <c r="F331" s="40" t="n">
        <f aca="false">H330*Annahmen!$B$39/12</f>
        <v>1143.25994431307</v>
      </c>
      <c r="G331" s="40" t="n">
        <f aca="false">MIN($F$3-F331,H330)</f>
        <v>1463.4067223536</v>
      </c>
      <c r="H331" s="40" t="n">
        <f aca="false">H330-G331</f>
        <v>455840.571002873</v>
      </c>
      <c r="I331" s="40" t="n">
        <f aca="false">K330*Annahmen!$B$40/12</f>
        <v>4308.10162347312</v>
      </c>
      <c r="J331" s="40" t="n">
        <f aca="false">MIN($I$3-I331,K330)</f>
        <v>6145.38880120668</v>
      </c>
      <c r="K331" s="40" t="n">
        <f aca="false">K330-J331</f>
        <v>1286285.09824073</v>
      </c>
      <c r="L331" s="40" t="n">
        <f aca="false">C331+F331+I331</f>
        <v>6988.70715345837</v>
      </c>
      <c r="M331" s="40" t="n">
        <f aca="false">D331+G331+J331</f>
        <v>9571.44993788809</v>
      </c>
      <c r="N331" s="40" t="n">
        <f aca="false">L331+M331</f>
        <v>16560.1570913465</v>
      </c>
      <c r="O331" s="40" t="n">
        <f aca="false">E331+H331+K331</f>
        <v>2478088.89595192</v>
      </c>
    </row>
    <row r="332" customFormat="false" ht="15" hidden="false" customHeight="false" outlineLevel="0" collapsed="false">
      <c r="A332" s="39" t="n">
        <v>326</v>
      </c>
      <c r="B332" s="39" t="n">
        <f aca="false">ROUNDUP(A332/12,0)</f>
        <v>28</v>
      </c>
      <c r="C332" s="40" t="n">
        <f aca="false">E331*Annahmen!$B$38/12</f>
        <v>1533.256722309</v>
      </c>
      <c r="D332" s="40" t="n">
        <f aca="false">MIN($C$3-C332,E331)</f>
        <v>1966.743277691</v>
      </c>
      <c r="E332" s="40" t="n">
        <f aca="false">E331-D332</f>
        <v>733996.48343063</v>
      </c>
      <c r="F332" s="40" t="n">
        <f aca="false">H331*Annahmen!$B$39/12</f>
        <v>1139.60142750718</v>
      </c>
      <c r="G332" s="40" t="n">
        <f aca="false">MIN($F$3-F332,H331)</f>
        <v>1467.06523915948</v>
      </c>
      <c r="H332" s="40" t="n">
        <f aca="false">H331-G332</f>
        <v>454373.505763714</v>
      </c>
      <c r="I332" s="40" t="n">
        <f aca="false">K331*Annahmen!$B$40/12</f>
        <v>4287.61699413577</v>
      </c>
      <c r="J332" s="40" t="n">
        <f aca="false">MIN($I$3-I332,K331)</f>
        <v>6165.87343054404</v>
      </c>
      <c r="K332" s="40" t="n">
        <f aca="false">K331-J332</f>
        <v>1280119.22481019</v>
      </c>
      <c r="L332" s="40" t="n">
        <f aca="false">C332+F332+I332</f>
        <v>6960.47514395195</v>
      </c>
      <c r="M332" s="40" t="n">
        <f aca="false">D332+G332+J332</f>
        <v>9599.68194739451</v>
      </c>
      <c r="N332" s="40" t="n">
        <f aca="false">L332+M332</f>
        <v>16560.1570913465</v>
      </c>
      <c r="O332" s="40" t="n">
        <f aca="false">E332+H332+K332</f>
        <v>2468489.21400453</v>
      </c>
    </row>
    <row r="333" customFormat="false" ht="15" hidden="false" customHeight="false" outlineLevel="0" collapsed="false">
      <c r="A333" s="39" t="n">
        <v>327</v>
      </c>
      <c r="B333" s="39" t="n">
        <f aca="false">ROUNDUP(A333/12,0)</f>
        <v>28</v>
      </c>
      <c r="C333" s="40" t="n">
        <f aca="false">E332*Annahmen!$B$38/12</f>
        <v>1529.15934048048</v>
      </c>
      <c r="D333" s="40" t="n">
        <f aca="false">MIN($C$3-C333,E332)</f>
        <v>1970.84065951952</v>
      </c>
      <c r="E333" s="40" t="n">
        <f aca="false">E332-D333</f>
        <v>732025.64277111</v>
      </c>
      <c r="F333" s="40" t="n">
        <f aca="false">H332*Annahmen!$B$39/12</f>
        <v>1135.93376440928</v>
      </c>
      <c r="G333" s="40" t="n">
        <f aca="false">MIN($F$3-F333,H332)</f>
        <v>1470.73290225738</v>
      </c>
      <c r="H333" s="40" t="n">
        <f aca="false">H332-G333</f>
        <v>452902.772861456</v>
      </c>
      <c r="I333" s="40" t="n">
        <f aca="false">K332*Annahmen!$B$40/12</f>
        <v>4267.06408270062</v>
      </c>
      <c r="J333" s="40" t="n">
        <f aca="false">MIN($I$3-I333,K332)</f>
        <v>6186.42634197918</v>
      </c>
      <c r="K333" s="40" t="n">
        <f aca="false">K332-J333</f>
        <v>1273932.79846821</v>
      </c>
      <c r="L333" s="40" t="n">
        <f aca="false">C333+F333+I333</f>
        <v>6932.15718759038</v>
      </c>
      <c r="M333" s="40" t="n">
        <f aca="false">D333+G333+J333</f>
        <v>9627.99990375608</v>
      </c>
      <c r="N333" s="40" t="n">
        <f aca="false">L333+M333</f>
        <v>16560.1570913465</v>
      </c>
      <c r="O333" s="40" t="n">
        <f aca="false">E333+H333+K333</f>
        <v>2458861.21410077</v>
      </c>
    </row>
    <row r="334" customFormat="false" ht="15" hidden="false" customHeight="false" outlineLevel="0" collapsed="false">
      <c r="A334" s="39" t="n">
        <v>328</v>
      </c>
      <c r="B334" s="39" t="n">
        <f aca="false">ROUNDUP(A334/12,0)</f>
        <v>28</v>
      </c>
      <c r="C334" s="40" t="n">
        <f aca="false">E333*Annahmen!$B$38/12</f>
        <v>1525.05342243981</v>
      </c>
      <c r="D334" s="40" t="n">
        <f aca="false">MIN($C$3-C334,E333)</f>
        <v>1974.94657756019</v>
      </c>
      <c r="E334" s="40" t="n">
        <f aca="false">E333-D334</f>
        <v>730050.69619355</v>
      </c>
      <c r="F334" s="40" t="n">
        <f aca="false">H333*Annahmen!$B$39/12</f>
        <v>1132.25693215364</v>
      </c>
      <c r="G334" s="40" t="n">
        <f aca="false">MIN($F$3-F334,H333)</f>
        <v>1474.40973451302</v>
      </c>
      <c r="H334" s="40" t="n">
        <f aca="false">H333-G334</f>
        <v>451428.363126943</v>
      </c>
      <c r="I334" s="40" t="n">
        <f aca="false">K333*Annahmen!$B$40/12</f>
        <v>4246.44266156069</v>
      </c>
      <c r="J334" s="40" t="n">
        <f aca="false">MIN($I$3-I334,K333)</f>
        <v>6207.04776311911</v>
      </c>
      <c r="K334" s="40" t="n">
        <f aca="false">K333-J334</f>
        <v>1267725.75070509</v>
      </c>
      <c r="L334" s="40" t="n">
        <f aca="false">C334+F334+I334</f>
        <v>6903.75301615414</v>
      </c>
      <c r="M334" s="40" t="n">
        <f aca="false">D334+G334+J334</f>
        <v>9656.40407519232</v>
      </c>
      <c r="N334" s="40" t="n">
        <f aca="false">L334+M334</f>
        <v>16560.1570913465</v>
      </c>
      <c r="O334" s="40" t="n">
        <f aca="false">E334+H334+K334</f>
        <v>2449204.81002558</v>
      </c>
    </row>
    <row r="335" customFormat="false" ht="15" hidden="false" customHeight="false" outlineLevel="0" collapsed="false">
      <c r="A335" s="39" t="n">
        <v>329</v>
      </c>
      <c r="B335" s="39" t="n">
        <f aca="false">ROUNDUP(A335/12,0)</f>
        <v>28</v>
      </c>
      <c r="C335" s="40" t="n">
        <f aca="false">E334*Annahmen!$B$38/12</f>
        <v>1520.93895040323</v>
      </c>
      <c r="D335" s="40" t="n">
        <f aca="false">MIN($C$3-C335,E334)</f>
        <v>1979.06104959677</v>
      </c>
      <c r="E335" s="40" t="n">
        <f aca="false">E334-D335</f>
        <v>728071.635143954</v>
      </c>
      <c r="F335" s="40" t="n">
        <f aca="false">H334*Annahmen!$B$39/12</f>
        <v>1128.57090781736</v>
      </c>
      <c r="G335" s="40" t="n">
        <f aca="false">MIN($F$3-F335,H334)</f>
        <v>1478.09575884931</v>
      </c>
      <c r="H335" s="40" t="n">
        <f aca="false">H334-G335</f>
        <v>449950.267368094</v>
      </c>
      <c r="I335" s="40" t="n">
        <f aca="false">K334*Annahmen!$B$40/12</f>
        <v>4225.75250235029</v>
      </c>
      <c r="J335" s="40" t="n">
        <f aca="false">MIN($I$3-I335,K334)</f>
        <v>6227.73792232951</v>
      </c>
      <c r="K335" s="40" t="n">
        <f aca="false">K334-J335</f>
        <v>1261498.01278276</v>
      </c>
      <c r="L335" s="40" t="n">
        <f aca="false">C335+F335+I335</f>
        <v>6875.26236057088</v>
      </c>
      <c r="M335" s="40" t="n">
        <f aca="false">D335+G335+J335</f>
        <v>9684.89473077558</v>
      </c>
      <c r="N335" s="40" t="n">
        <f aca="false">L335+M335</f>
        <v>16560.1570913465</v>
      </c>
      <c r="O335" s="40" t="n">
        <f aca="false">E335+H335+K335</f>
        <v>2439519.91529481</v>
      </c>
    </row>
    <row r="336" customFormat="false" ht="15" hidden="false" customHeight="false" outlineLevel="0" collapsed="false">
      <c r="A336" s="39" t="n">
        <v>330</v>
      </c>
      <c r="B336" s="39" t="n">
        <f aca="false">ROUNDUP(A336/12,0)</f>
        <v>28</v>
      </c>
      <c r="C336" s="40" t="n">
        <f aca="false">E335*Annahmen!$B$38/12</f>
        <v>1516.8159065499</v>
      </c>
      <c r="D336" s="40" t="n">
        <f aca="false">MIN($C$3-C336,E335)</f>
        <v>1983.1840934501</v>
      </c>
      <c r="E336" s="40" t="n">
        <f aca="false">E335-D336</f>
        <v>726088.451050503</v>
      </c>
      <c r="F336" s="40" t="n">
        <f aca="false">H335*Annahmen!$B$39/12</f>
        <v>1124.87566842024</v>
      </c>
      <c r="G336" s="40" t="n">
        <f aca="false">MIN($F$3-F336,H335)</f>
        <v>1481.79099824643</v>
      </c>
      <c r="H336" s="40" t="n">
        <f aca="false">H335-G336</f>
        <v>448468.476369848</v>
      </c>
      <c r="I336" s="40" t="n">
        <f aca="false">K335*Annahmen!$B$40/12</f>
        <v>4204.99337594253</v>
      </c>
      <c r="J336" s="40" t="n">
        <f aca="false">MIN($I$3-I336,K335)</f>
        <v>6248.49704873728</v>
      </c>
      <c r="K336" s="40" t="n">
        <f aca="false">K335-J336</f>
        <v>1255249.51573402</v>
      </c>
      <c r="L336" s="40" t="n">
        <f aca="false">C336+F336+I336</f>
        <v>6846.68495091267</v>
      </c>
      <c r="M336" s="40" t="n">
        <f aca="false">D336+G336+J336</f>
        <v>9713.4721404338</v>
      </c>
      <c r="N336" s="40" t="n">
        <f aca="false">L336+M336</f>
        <v>16560.1570913465</v>
      </c>
      <c r="O336" s="40" t="n">
        <f aca="false">E336+H336+K336</f>
        <v>2429806.44315437</v>
      </c>
    </row>
    <row r="337" customFormat="false" ht="15" hidden="false" customHeight="false" outlineLevel="0" collapsed="false">
      <c r="A337" s="39" t="n">
        <v>331</v>
      </c>
      <c r="B337" s="39" t="n">
        <f aca="false">ROUNDUP(A337/12,0)</f>
        <v>28</v>
      </c>
      <c r="C337" s="40" t="n">
        <f aca="false">E336*Annahmen!$B$38/12</f>
        <v>1512.68427302188</v>
      </c>
      <c r="D337" s="40" t="n">
        <f aca="false">MIN($C$3-C337,E336)</f>
        <v>1987.31572697812</v>
      </c>
      <c r="E337" s="40" t="n">
        <f aca="false">E336-D337</f>
        <v>724101.135323525</v>
      </c>
      <c r="F337" s="40" t="n">
        <f aca="false">H336*Annahmen!$B$39/12</f>
        <v>1121.17119092462</v>
      </c>
      <c r="G337" s="40" t="n">
        <f aca="false">MIN($F$3-F337,H336)</f>
        <v>1485.49547574205</v>
      </c>
      <c r="H337" s="40" t="n">
        <f aca="false">H336-G337</f>
        <v>446982.980894106</v>
      </c>
      <c r="I337" s="40" t="n">
        <f aca="false">K336*Annahmen!$B$40/12</f>
        <v>4184.16505244674</v>
      </c>
      <c r="J337" s="40" t="n">
        <f aca="false">MIN($I$3-I337,K336)</f>
        <v>6269.32537223307</v>
      </c>
      <c r="K337" s="40" t="n">
        <f aca="false">K336-J337</f>
        <v>1248980.19036179</v>
      </c>
      <c r="L337" s="40" t="n">
        <f aca="false">C337+F337+I337</f>
        <v>6818.02051639324</v>
      </c>
      <c r="M337" s="40" t="n">
        <f aca="false">D337+G337+J337</f>
        <v>9742.13657495323</v>
      </c>
      <c r="N337" s="40" t="n">
        <f aca="false">L337+M337</f>
        <v>16560.1570913465</v>
      </c>
      <c r="O337" s="40" t="n">
        <f aca="false">E337+H337+K337</f>
        <v>2420064.30657942</v>
      </c>
    </row>
    <row r="338" customFormat="false" ht="15" hidden="false" customHeight="false" outlineLevel="0" collapsed="false">
      <c r="A338" s="39" t="n">
        <v>332</v>
      </c>
      <c r="B338" s="39" t="n">
        <f aca="false">ROUNDUP(A338/12,0)</f>
        <v>28</v>
      </c>
      <c r="C338" s="40" t="n">
        <f aca="false">E337*Annahmen!$B$38/12</f>
        <v>1508.54403192401</v>
      </c>
      <c r="D338" s="40" t="n">
        <f aca="false">MIN($C$3-C338,E337)</f>
        <v>1991.45596807599</v>
      </c>
      <c r="E338" s="40" t="n">
        <f aca="false">E337-D338</f>
        <v>722109.679355449</v>
      </c>
      <c r="F338" s="40" t="n">
        <f aca="false">H337*Annahmen!$B$39/12</f>
        <v>1117.45745223526</v>
      </c>
      <c r="G338" s="40" t="n">
        <f aca="false">MIN($F$3-F338,H337)</f>
        <v>1489.2092144314</v>
      </c>
      <c r="H338" s="40" t="n">
        <f aca="false">H337-G338</f>
        <v>445493.771679674</v>
      </c>
      <c r="I338" s="40" t="n">
        <f aca="false">K337*Annahmen!$B$40/12</f>
        <v>4163.26730120596</v>
      </c>
      <c r="J338" s="40" t="n">
        <f aca="false">MIN($I$3-I338,K337)</f>
        <v>6290.22312347384</v>
      </c>
      <c r="K338" s="40" t="n">
        <f aca="false">K337-J338</f>
        <v>1242689.96723831</v>
      </c>
      <c r="L338" s="40" t="n">
        <f aca="false">C338+F338+I338</f>
        <v>6789.26878536524</v>
      </c>
      <c r="M338" s="40" t="n">
        <f aca="false">D338+G338+J338</f>
        <v>9770.88830598123</v>
      </c>
      <c r="N338" s="40" t="n">
        <f aca="false">L338+M338</f>
        <v>16560.1570913465</v>
      </c>
      <c r="O338" s="40" t="n">
        <f aca="false">E338+H338+K338</f>
        <v>2410293.41827344</v>
      </c>
    </row>
    <row r="339" customFormat="false" ht="15" hidden="false" customHeight="false" outlineLevel="0" collapsed="false">
      <c r="A339" s="39" t="n">
        <v>333</v>
      </c>
      <c r="B339" s="39" t="n">
        <f aca="false">ROUNDUP(A339/12,0)</f>
        <v>28</v>
      </c>
      <c r="C339" s="40" t="n">
        <f aca="false">E338*Annahmen!$B$38/12</f>
        <v>1504.39516532385</v>
      </c>
      <c r="D339" s="40" t="n">
        <f aca="false">MIN($C$3-C339,E338)</f>
        <v>1995.60483467615</v>
      </c>
      <c r="E339" s="40" t="n">
        <f aca="false">E338-D339</f>
        <v>720114.074520773</v>
      </c>
      <c r="F339" s="40" t="n">
        <f aca="false">H338*Annahmen!$B$39/12</f>
        <v>1113.73442919919</v>
      </c>
      <c r="G339" s="40" t="n">
        <f aca="false">MIN($F$3-F339,H338)</f>
        <v>1492.93223746748</v>
      </c>
      <c r="H339" s="40" t="n">
        <f aca="false">H338-G339</f>
        <v>444000.839442207</v>
      </c>
      <c r="I339" s="40" t="n">
        <f aca="false">K338*Annahmen!$B$40/12</f>
        <v>4142.29989079438</v>
      </c>
      <c r="J339" s="40" t="n">
        <f aca="false">MIN($I$3-I339,K338)</f>
        <v>6311.19053388542</v>
      </c>
      <c r="K339" s="40" t="n">
        <f aca="false">K338-J339</f>
        <v>1236378.77670443</v>
      </c>
      <c r="L339" s="40" t="n">
        <f aca="false">C339+F339+I339</f>
        <v>6760.42948531742</v>
      </c>
      <c r="M339" s="40" t="n">
        <f aca="false">D339+G339+J339</f>
        <v>9799.72760602905</v>
      </c>
      <c r="N339" s="40" t="n">
        <f aca="false">L339+M339</f>
        <v>16560.1570913465</v>
      </c>
      <c r="O339" s="40" t="n">
        <f aca="false">E339+H339+K339</f>
        <v>2400493.69066741</v>
      </c>
    </row>
    <row r="340" customFormat="false" ht="15" hidden="false" customHeight="false" outlineLevel="0" collapsed="false">
      <c r="A340" s="39" t="n">
        <v>334</v>
      </c>
      <c r="B340" s="39" t="n">
        <f aca="false">ROUNDUP(A340/12,0)</f>
        <v>28</v>
      </c>
      <c r="C340" s="40" t="n">
        <f aca="false">E339*Annahmen!$B$38/12</f>
        <v>1500.23765525161</v>
      </c>
      <c r="D340" s="40" t="n">
        <f aca="false">MIN($C$3-C340,E339)</f>
        <v>1999.76234474839</v>
      </c>
      <c r="E340" s="40" t="n">
        <f aca="false">E339-D340</f>
        <v>718114.312176025</v>
      </c>
      <c r="F340" s="40" t="n">
        <f aca="false">H339*Annahmen!$B$39/12</f>
        <v>1110.00209860552</v>
      </c>
      <c r="G340" s="40" t="n">
        <f aca="false">MIN($F$3-F340,H339)</f>
        <v>1496.66456806115</v>
      </c>
      <c r="H340" s="40" t="n">
        <f aca="false">H339-G340</f>
        <v>442504.174874146</v>
      </c>
      <c r="I340" s="40" t="n">
        <f aca="false">K339*Annahmen!$B$40/12</f>
        <v>4121.26258901476</v>
      </c>
      <c r="J340" s="40" t="n">
        <f aca="false">MIN($I$3-I340,K339)</f>
        <v>6332.22783566504</v>
      </c>
      <c r="K340" s="40" t="n">
        <f aca="false">K339-J340</f>
        <v>1230046.54886876</v>
      </c>
      <c r="L340" s="40" t="n">
        <f aca="false">C340+F340+I340</f>
        <v>6731.50234287189</v>
      </c>
      <c r="M340" s="40" t="n">
        <f aca="false">D340+G340+J340</f>
        <v>9828.65474847458</v>
      </c>
      <c r="N340" s="40" t="n">
        <f aca="false">L340+M340</f>
        <v>16560.1570913465</v>
      </c>
      <c r="O340" s="40" t="n">
        <f aca="false">E340+H340+K340</f>
        <v>2390665.03591893</v>
      </c>
    </row>
    <row r="341" customFormat="false" ht="15" hidden="false" customHeight="false" outlineLevel="0" collapsed="false">
      <c r="A341" s="39" t="n">
        <v>335</v>
      </c>
      <c r="B341" s="39" t="n">
        <f aca="false">ROUNDUP(A341/12,0)</f>
        <v>28</v>
      </c>
      <c r="C341" s="40" t="n">
        <f aca="false">E340*Annahmen!$B$38/12</f>
        <v>1496.07148370005</v>
      </c>
      <c r="D341" s="40" t="n">
        <f aca="false">MIN($C$3-C341,E340)</f>
        <v>2003.92851629995</v>
      </c>
      <c r="E341" s="40" t="n">
        <f aca="false">E340-D341</f>
        <v>716110.383659725</v>
      </c>
      <c r="F341" s="40" t="n">
        <f aca="false">H340*Annahmen!$B$39/12</f>
        <v>1106.26043718536</v>
      </c>
      <c r="G341" s="40" t="n">
        <f aca="false">MIN($F$3-F341,H340)</f>
        <v>1500.4062294813</v>
      </c>
      <c r="H341" s="40" t="n">
        <f aca="false">H340-G341</f>
        <v>441003.768644664</v>
      </c>
      <c r="I341" s="40" t="n">
        <f aca="false">K340*Annahmen!$B$40/12</f>
        <v>4100.15516289588</v>
      </c>
      <c r="J341" s="40" t="n">
        <f aca="false">MIN($I$3-I341,K340)</f>
        <v>6353.33526178392</v>
      </c>
      <c r="K341" s="40" t="n">
        <f aca="false">K340-J341</f>
        <v>1223693.21360698</v>
      </c>
      <c r="L341" s="40" t="n">
        <f aca="false">C341+F341+I341</f>
        <v>6702.48708378129</v>
      </c>
      <c r="M341" s="40" t="n">
        <f aca="false">D341+G341+J341</f>
        <v>9857.67000756517</v>
      </c>
      <c r="N341" s="40" t="n">
        <f aca="false">L341+M341</f>
        <v>16560.1570913465</v>
      </c>
      <c r="O341" s="40" t="n">
        <f aca="false">E341+H341+K341</f>
        <v>2380807.36591137</v>
      </c>
    </row>
    <row r="342" customFormat="false" ht="15" hidden="false" customHeight="false" outlineLevel="0" collapsed="false">
      <c r="A342" s="39" t="n">
        <v>336</v>
      </c>
      <c r="B342" s="39" t="n">
        <f aca="false">ROUNDUP(A342/12,0)</f>
        <v>28</v>
      </c>
      <c r="C342" s="40" t="n">
        <f aca="false">E341*Annahmen!$B$38/12</f>
        <v>1491.89663262443</v>
      </c>
      <c r="D342" s="40" t="n">
        <f aca="false">MIN($C$3-C342,E341)</f>
        <v>2008.10336737557</v>
      </c>
      <c r="E342" s="40" t="n">
        <f aca="false">E341-D342</f>
        <v>714102.280292349</v>
      </c>
      <c r="F342" s="40" t="n">
        <f aca="false">H341*Annahmen!$B$39/12</f>
        <v>1102.50942161166</v>
      </c>
      <c r="G342" s="40" t="n">
        <f aca="false">MIN($F$3-F342,H341)</f>
        <v>1504.15724505501</v>
      </c>
      <c r="H342" s="40" t="n">
        <f aca="false">H341-G342</f>
        <v>439499.611399609</v>
      </c>
      <c r="I342" s="40" t="n">
        <f aca="false">K341*Annahmen!$B$40/12</f>
        <v>4078.97737868993</v>
      </c>
      <c r="J342" s="40" t="n">
        <f aca="false">MIN($I$3-I342,K341)</f>
        <v>6374.51304598987</v>
      </c>
      <c r="K342" s="40" t="n">
        <f aca="false">K341-J342</f>
        <v>1217318.70056099</v>
      </c>
      <c r="L342" s="40" t="n">
        <f aca="false">C342+F342+I342</f>
        <v>6673.38343292602</v>
      </c>
      <c r="M342" s="40" t="n">
        <f aca="false">D342+G342+J342</f>
        <v>9886.77365842045</v>
      </c>
      <c r="N342" s="40" t="n">
        <f aca="false">L342+M342</f>
        <v>16560.1570913465</v>
      </c>
      <c r="O342" s="40" t="n">
        <f aca="false">E342+H342+K342</f>
        <v>2370920.59225295</v>
      </c>
    </row>
    <row r="343" customFormat="false" ht="15" hidden="false" customHeight="false" outlineLevel="0" collapsed="false">
      <c r="A343" s="39" t="n">
        <v>337</v>
      </c>
      <c r="B343" s="39" t="n">
        <f aca="false">ROUNDUP(A343/12,0)</f>
        <v>29</v>
      </c>
      <c r="C343" s="40" t="n">
        <f aca="false">E342*Annahmen!$B$38/12</f>
        <v>1487.71308394239</v>
      </c>
      <c r="D343" s="40" t="n">
        <f aca="false">MIN($C$3-C343,E342)</f>
        <v>2012.2869160576</v>
      </c>
      <c r="E343" s="40" t="n">
        <f aca="false">E342-D343</f>
        <v>712089.993376292</v>
      </c>
      <c r="F343" s="40" t="n">
        <f aca="false">H342*Annahmen!$B$39/12</f>
        <v>1098.74902849902</v>
      </c>
      <c r="G343" s="40" t="n">
        <f aca="false">MIN($F$3-F343,H342)</f>
        <v>1507.91763816764</v>
      </c>
      <c r="H343" s="40" t="n">
        <f aca="false">H342-G343</f>
        <v>437991.693761442</v>
      </c>
      <c r="I343" s="40" t="n">
        <f aca="false">K342*Annahmen!$B$40/12</f>
        <v>4057.72900186997</v>
      </c>
      <c r="J343" s="40" t="n">
        <f aca="false">MIN($I$3-I343,K342)</f>
        <v>6395.76142280984</v>
      </c>
      <c r="K343" s="40" t="n">
        <f aca="false">K342-J343</f>
        <v>1210922.93913818</v>
      </c>
      <c r="L343" s="40" t="n">
        <f aca="false">C343+F343+I343</f>
        <v>6644.19111431138</v>
      </c>
      <c r="M343" s="40" t="n">
        <f aca="false">D343+G343+J343</f>
        <v>9915.96597703508</v>
      </c>
      <c r="N343" s="40" t="n">
        <f aca="false">L343+M343</f>
        <v>16560.1570913465</v>
      </c>
      <c r="O343" s="40" t="n">
        <f aca="false">E343+H343+K343</f>
        <v>2361004.62627591</v>
      </c>
    </row>
    <row r="344" customFormat="false" ht="15" hidden="false" customHeight="false" outlineLevel="0" collapsed="false">
      <c r="A344" s="39" t="n">
        <v>338</v>
      </c>
      <c r="B344" s="39" t="n">
        <f aca="false">ROUNDUP(A344/12,0)</f>
        <v>29</v>
      </c>
      <c r="C344" s="40" t="n">
        <f aca="false">E343*Annahmen!$B$38/12</f>
        <v>1483.52081953394</v>
      </c>
      <c r="D344" s="40" t="n">
        <f aca="false">MIN($C$3-C344,E343)</f>
        <v>2016.47918046606</v>
      </c>
      <c r="E344" s="40" t="n">
        <f aca="false">E343-D344</f>
        <v>710073.514195826</v>
      </c>
      <c r="F344" s="40" t="n">
        <f aca="false">H343*Annahmen!$B$39/12</f>
        <v>1094.9792344036</v>
      </c>
      <c r="G344" s="40" t="n">
        <f aca="false">MIN($F$3-F344,H343)</f>
        <v>1511.68743226306</v>
      </c>
      <c r="H344" s="40" t="n">
        <f aca="false">H343-G344</f>
        <v>436480.006329179</v>
      </c>
      <c r="I344" s="40" t="n">
        <f aca="false">K343*Annahmen!$B$40/12</f>
        <v>4036.40979712727</v>
      </c>
      <c r="J344" s="40" t="n">
        <f aca="false">MIN($I$3-I344,K343)</f>
        <v>6417.08062755254</v>
      </c>
      <c r="K344" s="40" t="n">
        <f aca="false">K343-J344</f>
        <v>1204505.85851063</v>
      </c>
      <c r="L344" s="40" t="n">
        <f aca="false">C344+F344+I344</f>
        <v>6614.90985106481</v>
      </c>
      <c r="M344" s="40" t="n">
        <f aca="false">D344+G344+J344</f>
        <v>9945.24724028166</v>
      </c>
      <c r="N344" s="40" t="n">
        <f aca="false">L344+M344</f>
        <v>16560.1570913465</v>
      </c>
      <c r="O344" s="40" t="n">
        <f aca="false">E344+H344+K344</f>
        <v>2351059.37903563</v>
      </c>
    </row>
    <row r="345" customFormat="false" ht="15" hidden="false" customHeight="false" outlineLevel="0" collapsed="false">
      <c r="A345" s="39" t="n">
        <v>339</v>
      </c>
      <c r="B345" s="39" t="n">
        <f aca="false">ROUNDUP(A345/12,0)</f>
        <v>29</v>
      </c>
      <c r="C345" s="40" t="n">
        <f aca="false">E344*Annahmen!$B$38/12</f>
        <v>1479.3198212413</v>
      </c>
      <c r="D345" s="40" t="n">
        <f aca="false">MIN($C$3-C345,E344)</f>
        <v>2020.6801787587</v>
      </c>
      <c r="E345" s="40" t="n">
        <f aca="false">E344-D345</f>
        <v>708052.834017067</v>
      </c>
      <c r="F345" s="40" t="n">
        <f aca="false">H344*Annahmen!$B$39/12</f>
        <v>1091.20001582295</v>
      </c>
      <c r="G345" s="40" t="n">
        <f aca="false">MIN($F$3-F345,H344)</f>
        <v>1515.46665084372</v>
      </c>
      <c r="H345" s="40" t="n">
        <f aca="false">H344-G345</f>
        <v>434964.539678335</v>
      </c>
      <c r="I345" s="40" t="n">
        <f aca="false">K344*Annahmen!$B$40/12</f>
        <v>4015.01952836876</v>
      </c>
      <c r="J345" s="40" t="n">
        <f aca="false">MIN($I$3-I345,K344)</f>
        <v>6438.47089631104</v>
      </c>
      <c r="K345" s="40" t="n">
        <f aca="false">K344-J345</f>
        <v>1198067.38761432</v>
      </c>
      <c r="L345" s="40" t="n">
        <f aca="false">C345+F345+I345</f>
        <v>6585.53936543301</v>
      </c>
      <c r="M345" s="40" t="n">
        <f aca="false">D345+G345+J345</f>
        <v>9974.61772591346</v>
      </c>
      <c r="N345" s="40" t="n">
        <f aca="false">L345+M345</f>
        <v>16560.1570913465</v>
      </c>
      <c r="O345" s="40" t="n">
        <f aca="false">E345+H345+K345</f>
        <v>2341084.76130972</v>
      </c>
    </row>
    <row r="346" customFormat="false" ht="15" hidden="false" customHeight="false" outlineLevel="0" collapsed="false">
      <c r="A346" s="39" t="n">
        <v>340</v>
      </c>
      <c r="B346" s="39" t="n">
        <f aca="false">ROUNDUP(A346/12,0)</f>
        <v>29</v>
      </c>
      <c r="C346" s="40" t="n">
        <f aca="false">E345*Annahmen!$B$38/12</f>
        <v>1475.11007086889</v>
      </c>
      <c r="D346" s="40" t="n">
        <f aca="false">MIN($C$3-C346,E345)</f>
        <v>2024.88992913111</v>
      </c>
      <c r="E346" s="40" t="n">
        <f aca="false">E345-D346</f>
        <v>706027.944087936</v>
      </c>
      <c r="F346" s="40" t="n">
        <f aca="false">H345*Annahmen!$B$39/12</f>
        <v>1087.41134919584</v>
      </c>
      <c r="G346" s="40" t="n">
        <f aca="false">MIN($F$3-F346,H345)</f>
        <v>1519.25531747083</v>
      </c>
      <c r="H346" s="40" t="n">
        <f aca="false">H345-G346</f>
        <v>433445.284360864</v>
      </c>
      <c r="I346" s="40" t="n">
        <f aca="false">K345*Annahmen!$B$40/12</f>
        <v>3993.55795871439</v>
      </c>
      <c r="J346" s="40" t="n">
        <f aca="false">MIN($I$3-I346,K345)</f>
        <v>6459.93246596541</v>
      </c>
      <c r="K346" s="40" t="n">
        <f aca="false">K345-J346</f>
        <v>1191607.45514835</v>
      </c>
      <c r="L346" s="40" t="n">
        <f aca="false">C346+F346+I346</f>
        <v>6556.07937877911</v>
      </c>
      <c r="M346" s="40" t="n">
        <f aca="false">D346+G346+J346</f>
        <v>10004.0777125674</v>
      </c>
      <c r="N346" s="40" t="n">
        <f aca="false">L346+M346</f>
        <v>16560.1570913465</v>
      </c>
      <c r="O346" s="40" t="n">
        <f aca="false">E346+H346+K346</f>
        <v>2331080.68359715</v>
      </c>
    </row>
    <row r="347" customFormat="false" ht="15" hidden="false" customHeight="false" outlineLevel="0" collapsed="false">
      <c r="A347" s="39" t="n">
        <v>341</v>
      </c>
      <c r="B347" s="39" t="n">
        <f aca="false">ROUNDUP(A347/12,0)</f>
        <v>29</v>
      </c>
      <c r="C347" s="40" t="n">
        <f aca="false">E346*Annahmen!$B$38/12</f>
        <v>1470.8915501832</v>
      </c>
      <c r="D347" s="40" t="n">
        <f aca="false">MIN($C$3-C347,E346)</f>
        <v>2029.1084498168</v>
      </c>
      <c r="E347" s="40" t="n">
        <f aca="false">E346-D347</f>
        <v>703998.835638119</v>
      </c>
      <c r="F347" s="40" t="n">
        <f aca="false">H346*Annahmen!$B$39/12</f>
        <v>1083.61321090216</v>
      </c>
      <c r="G347" s="40" t="n">
        <f aca="false">MIN($F$3-F347,H346)</f>
        <v>1523.05345576451</v>
      </c>
      <c r="H347" s="40" t="n">
        <f aca="false">H346-G347</f>
        <v>431922.2309051</v>
      </c>
      <c r="I347" s="40" t="n">
        <f aca="false">K346*Annahmen!$B$40/12</f>
        <v>3972.0248504945</v>
      </c>
      <c r="J347" s="40" t="n">
        <f aca="false">MIN($I$3-I347,K346)</f>
        <v>6481.4655741853</v>
      </c>
      <c r="K347" s="40" t="n">
        <f aca="false">K346-J347</f>
        <v>1185125.98957417</v>
      </c>
      <c r="L347" s="40" t="n">
        <f aca="false">C347+F347+I347</f>
        <v>6526.52961157986</v>
      </c>
      <c r="M347" s="40" t="n">
        <f aca="false">D347+G347+J347</f>
        <v>10033.6274797666</v>
      </c>
      <c r="N347" s="40" t="n">
        <f aca="false">L347+M347</f>
        <v>16560.1570913465</v>
      </c>
      <c r="O347" s="40" t="n">
        <f aca="false">E347+H347+K347</f>
        <v>2321047.05611738</v>
      </c>
    </row>
    <row r="348" customFormat="false" ht="15" hidden="false" customHeight="false" outlineLevel="0" collapsed="false">
      <c r="A348" s="39" t="n">
        <v>342</v>
      </c>
      <c r="B348" s="39" t="n">
        <f aca="false">ROUNDUP(A348/12,0)</f>
        <v>29</v>
      </c>
      <c r="C348" s="40" t="n">
        <f aca="false">E347*Annahmen!$B$38/12</f>
        <v>1466.66424091275</v>
      </c>
      <c r="D348" s="40" t="n">
        <f aca="false">MIN($C$3-C348,E347)</f>
        <v>2033.33575908725</v>
      </c>
      <c r="E348" s="40" t="n">
        <f aca="false">E347-D348</f>
        <v>701965.499879032</v>
      </c>
      <c r="F348" s="40" t="n">
        <f aca="false">H347*Annahmen!$B$39/12</f>
        <v>1079.80557726275</v>
      </c>
      <c r="G348" s="40" t="n">
        <f aca="false">MIN($F$3-F348,H347)</f>
        <v>1526.86108940392</v>
      </c>
      <c r="H348" s="40" t="n">
        <f aca="false">H347-G348</f>
        <v>430395.369815696</v>
      </c>
      <c r="I348" s="40" t="n">
        <f aca="false">K347*Annahmen!$B$40/12</f>
        <v>3950.41996524722</v>
      </c>
      <c r="J348" s="40" t="n">
        <f aca="false">MIN($I$3-I348,K347)</f>
        <v>6503.07045943258</v>
      </c>
      <c r="K348" s="40" t="n">
        <f aca="false">K347-J348</f>
        <v>1178622.91911473</v>
      </c>
      <c r="L348" s="40" t="n">
        <f aca="false">C348+F348+I348</f>
        <v>6496.88978342272</v>
      </c>
      <c r="M348" s="40" t="n">
        <f aca="false">D348+G348+J348</f>
        <v>10063.2673079238</v>
      </c>
      <c r="N348" s="40" t="n">
        <f aca="false">L348+M348</f>
        <v>16560.1570913465</v>
      </c>
      <c r="O348" s="40" t="n">
        <f aca="false">E348+H348+K348</f>
        <v>2310983.78880946</v>
      </c>
    </row>
    <row r="349" customFormat="false" ht="15" hidden="false" customHeight="false" outlineLevel="0" collapsed="false">
      <c r="A349" s="39" t="n">
        <v>343</v>
      </c>
      <c r="B349" s="39" t="n">
        <f aca="false">ROUNDUP(A349/12,0)</f>
        <v>29</v>
      </c>
      <c r="C349" s="40" t="n">
        <f aca="false">E348*Annahmen!$B$38/12</f>
        <v>1462.42812474798</v>
      </c>
      <c r="D349" s="40" t="n">
        <f aca="false">MIN($C$3-C349,E348)</f>
        <v>2037.57187525202</v>
      </c>
      <c r="E349" s="40" t="n">
        <f aca="false">E348-D349</f>
        <v>699927.92800378</v>
      </c>
      <c r="F349" s="40" t="n">
        <f aca="false">H348*Annahmen!$B$39/12</f>
        <v>1075.98842453924</v>
      </c>
      <c r="G349" s="40" t="n">
        <f aca="false">MIN($F$3-F349,H348)</f>
        <v>1530.67824212743</v>
      </c>
      <c r="H349" s="40" t="n">
        <f aca="false">H348-G349</f>
        <v>428864.691573568</v>
      </c>
      <c r="I349" s="40" t="n">
        <f aca="false">K348*Annahmen!$B$40/12</f>
        <v>3928.74306371578</v>
      </c>
      <c r="J349" s="40" t="n">
        <f aca="false">MIN($I$3-I349,K348)</f>
        <v>6524.74736096403</v>
      </c>
      <c r="K349" s="40" t="n">
        <f aca="false">K348-J349</f>
        <v>1172098.17175377</v>
      </c>
      <c r="L349" s="40" t="n">
        <f aca="false">C349+F349+I349</f>
        <v>6467.159613003</v>
      </c>
      <c r="M349" s="40" t="n">
        <f aca="false">D349+G349+J349</f>
        <v>10092.9974783435</v>
      </c>
      <c r="N349" s="40" t="n">
        <f aca="false">L349+M349</f>
        <v>16560.1570913465</v>
      </c>
      <c r="O349" s="40" t="n">
        <f aca="false">E349+H349+K349</f>
        <v>2300890.79133112</v>
      </c>
    </row>
    <row r="350" customFormat="false" ht="15" hidden="false" customHeight="false" outlineLevel="0" collapsed="false">
      <c r="A350" s="39" t="n">
        <v>344</v>
      </c>
      <c r="B350" s="39" t="n">
        <f aca="false">ROUNDUP(A350/12,0)</f>
        <v>29</v>
      </c>
      <c r="C350" s="40" t="n">
        <f aca="false">E349*Annahmen!$B$38/12</f>
        <v>1458.18318334121</v>
      </c>
      <c r="D350" s="40" t="n">
        <f aca="false">MIN($C$3-C350,E349)</f>
        <v>2041.81681665879</v>
      </c>
      <c r="E350" s="40" t="n">
        <f aca="false">E349-D350</f>
        <v>697886.111187121</v>
      </c>
      <c r="F350" s="40" t="n">
        <f aca="false">H349*Annahmen!$B$39/12</f>
        <v>1072.16172893392</v>
      </c>
      <c r="G350" s="40" t="n">
        <f aca="false">MIN($F$3-F350,H349)</f>
        <v>1534.50493773275</v>
      </c>
      <c r="H350" s="40" t="n">
        <f aca="false">H349-G350</f>
        <v>427330.186635836</v>
      </c>
      <c r="I350" s="40" t="n">
        <f aca="false">K349*Annahmen!$B$40/12</f>
        <v>3906.9939058459</v>
      </c>
      <c r="J350" s="40" t="n">
        <f aca="false">MIN($I$3-I350,K349)</f>
        <v>6546.49651883391</v>
      </c>
      <c r="K350" s="40" t="n">
        <f aca="false">K349-J350</f>
        <v>1165551.67523493</v>
      </c>
      <c r="L350" s="40" t="n">
        <f aca="false">C350+F350+I350</f>
        <v>6437.33881812102</v>
      </c>
      <c r="M350" s="40" t="n">
        <f aca="false">D350+G350+J350</f>
        <v>10122.8182732254</v>
      </c>
      <c r="N350" s="40" t="n">
        <f aca="false">L350+M350</f>
        <v>16560.1570913465</v>
      </c>
      <c r="O350" s="40" t="n">
        <f aca="false">E350+H350+K350</f>
        <v>2290767.97305789</v>
      </c>
    </row>
    <row r="351" customFormat="false" ht="15" hidden="false" customHeight="false" outlineLevel="0" collapsed="false">
      <c r="A351" s="39" t="n">
        <v>345</v>
      </c>
      <c r="B351" s="39" t="n">
        <f aca="false">ROUNDUP(A351/12,0)</f>
        <v>29</v>
      </c>
      <c r="C351" s="40" t="n">
        <f aca="false">E350*Annahmen!$B$38/12</f>
        <v>1453.9293983065</v>
      </c>
      <c r="D351" s="40" t="n">
        <f aca="false">MIN($C$3-C351,E350)</f>
        <v>2046.0706016935</v>
      </c>
      <c r="E351" s="40" t="n">
        <f aca="false">E350-D351</f>
        <v>695840.040585427</v>
      </c>
      <c r="F351" s="40" t="n">
        <f aca="false">H350*Annahmen!$B$39/12</f>
        <v>1068.32546658959</v>
      </c>
      <c r="G351" s="40" t="n">
        <f aca="false">MIN($F$3-F351,H350)</f>
        <v>1538.34120007708</v>
      </c>
      <c r="H351" s="40" t="n">
        <f aca="false">H350-G351</f>
        <v>425791.845435758</v>
      </c>
      <c r="I351" s="40" t="n">
        <f aca="false">K350*Annahmen!$B$40/12</f>
        <v>3885.17225078312</v>
      </c>
      <c r="J351" s="40" t="n">
        <f aca="false">MIN($I$3-I351,K350)</f>
        <v>6568.31817389669</v>
      </c>
      <c r="K351" s="40" t="n">
        <f aca="false">K350-J351</f>
        <v>1158983.35706104</v>
      </c>
      <c r="L351" s="40" t="n">
        <f aca="false">C351+F351+I351</f>
        <v>6407.42711567921</v>
      </c>
      <c r="M351" s="40" t="n">
        <f aca="false">D351+G351+J351</f>
        <v>10152.7299756673</v>
      </c>
      <c r="N351" s="40" t="n">
        <f aca="false">L351+M351</f>
        <v>16560.1570913465</v>
      </c>
      <c r="O351" s="40" t="n">
        <f aca="false">E351+H351+K351</f>
        <v>2280615.24308222</v>
      </c>
    </row>
    <row r="352" customFormat="false" ht="15" hidden="false" customHeight="false" outlineLevel="0" collapsed="false">
      <c r="A352" s="39" t="n">
        <v>346</v>
      </c>
      <c r="B352" s="39" t="n">
        <f aca="false">ROUNDUP(A352/12,0)</f>
        <v>29</v>
      </c>
      <c r="C352" s="40" t="n">
        <f aca="false">E351*Annahmen!$B$38/12</f>
        <v>1449.66675121964</v>
      </c>
      <c r="D352" s="40" t="n">
        <f aca="false">MIN($C$3-C352,E351)</f>
        <v>2050.33324878036</v>
      </c>
      <c r="E352" s="40" t="n">
        <f aca="false">E351-D352</f>
        <v>693789.707336647</v>
      </c>
      <c r="F352" s="40" t="n">
        <f aca="false">H351*Annahmen!$B$39/12</f>
        <v>1064.4796135894</v>
      </c>
      <c r="G352" s="40" t="n">
        <f aca="false">MIN($F$3-F352,H351)</f>
        <v>1542.18705307727</v>
      </c>
      <c r="H352" s="40" t="n">
        <f aca="false">H351-G352</f>
        <v>424249.658382681</v>
      </c>
      <c r="I352" s="40" t="n">
        <f aca="false">K351*Annahmen!$B$40/12</f>
        <v>3863.27785687013</v>
      </c>
      <c r="J352" s="40" t="n">
        <f aca="false">MIN($I$3-I352,K351)</f>
        <v>6590.21256780967</v>
      </c>
      <c r="K352" s="40" t="n">
        <f aca="false">K351-J352</f>
        <v>1152393.14449323</v>
      </c>
      <c r="L352" s="40" t="n">
        <f aca="false">C352+F352+I352</f>
        <v>6377.42422167916</v>
      </c>
      <c r="M352" s="40" t="n">
        <f aca="false">D352+G352+J352</f>
        <v>10182.7328696673</v>
      </c>
      <c r="N352" s="40" t="n">
        <f aca="false">L352+M352</f>
        <v>16560.1570913465</v>
      </c>
      <c r="O352" s="40" t="n">
        <f aca="false">E352+H352+K352</f>
        <v>2270432.51021256</v>
      </c>
    </row>
    <row r="353" customFormat="false" ht="15" hidden="false" customHeight="false" outlineLevel="0" collapsed="false">
      <c r="A353" s="39" t="n">
        <v>347</v>
      </c>
      <c r="B353" s="39" t="n">
        <f aca="false">ROUNDUP(A353/12,0)</f>
        <v>29</v>
      </c>
      <c r="C353" s="40" t="n">
        <f aca="false">E352*Annahmen!$B$38/12</f>
        <v>1445.39522361801</v>
      </c>
      <c r="D353" s="40" t="n">
        <f aca="false">MIN($C$3-C353,E352)</f>
        <v>2054.60477638198</v>
      </c>
      <c r="E353" s="40" t="n">
        <f aca="false">E352-D353</f>
        <v>691735.102560265</v>
      </c>
      <c r="F353" s="40" t="n">
        <f aca="false">H352*Annahmen!$B$39/12</f>
        <v>1060.6241459567</v>
      </c>
      <c r="G353" s="40" t="n">
        <f aca="false">MIN($F$3-F353,H352)</f>
        <v>1546.04252070996</v>
      </c>
      <c r="H353" s="40" t="n">
        <f aca="false">H352-G353</f>
        <v>422703.615861971</v>
      </c>
      <c r="I353" s="40" t="n">
        <f aca="false">K352*Annahmen!$B$40/12</f>
        <v>3841.31048164409</v>
      </c>
      <c r="J353" s="40" t="n">
        <f aca="false">MIN($I$3-I353,K352)</f>
        <v>6612.17994303571</v>
      </c>
      <c r="K353" s="40" t="n">
        <f aca="false">K352-J353</f>
        <v>1145780.96455019</v>
      </c>
      <c r="L353" s="40" t="n">
        <f aca="false">C353+F353+I353</f>
        <v>6347.32985121881</v>
      </c>
      <c r="M353" s="40" t="n">
        <f aca="false">D353+G353+J353</f>
        <v>10212.8272401277</v>
      </c>
      <c r="N353" s="40" t="n">
        <f aca="false">L353+M353</f>
        <v>16560.1570913465</v>
      </c>
      <c r="O353" s="40" t="n">
        <f aca="false">E353+H353+K353</f>
        <v>2260219.68297243</v>
      </c>
    </row>
    <row r="354" customFormat="false" ht="15" hidden="false" customHeight="false" outlineLevel="0" collapsed="false">
      <c r="A354" s="39" t="n">
        <v>348</v>
      </c>
      <c r="B354" s="39" t="n">
        <f aca="false">ROUNDUP(A354/12,0)</f>
        <v>29</v>
      </c>
      <c r="C354" s="40" t="n">
        <f aca="false">E353*Annahmen!$B$38/12</f>
        <v>1441.11479700055</v>
      </c>
      <c r="D354" s="40" t="n">
        <f aca="false">MIN($C$3-C354,E353)</f>
        <v>2058.88520299945</v>
      </c>
      <c r="E354" s="40" t="n">
        <f aca="false">E353-D354</f>
        <v>689676.217357266</v>
      </c>
      <c r="F354" s="40" t="n">
        <f aca="false">H353*Annahmen!$B$39/12</f>
        <v>1056.75903965493</v>
      </c>
      <c r="G354" s="40" t="n">
        <f aca="false">MIN($F$3-F354,H353)</f>
        <v>1549.90762701174</v>
      </c>
      <c r="H354" s="40" t="n">
        <f aca="false">H353-G354</f>
        <v>421153.708234959</v>
      </c>
      <c r="I354" s="40" t="n">
        <f aca="false">K353*Annahmen!$B$40/12</f>
        <v>3819.26988183397</v>
      </c>
      <c r="J354" s="40" t="n">
        <f aca="false">MIN($I$3-I354,K353)</f>
        <v>6634.22054284583</v>
      </c>
      <c r="K354" s="40" t="n">
        <f aca="false">K353-J354</f>
        <v>1139146.74400735</v>
      </c>
      <c r="L354" s="40" t="n">
        <f aca="false">C354+F354+I354</f>
        <v>6317.14371848946</v>
      </c>
      <c r="M354" s="40" t="n">
        <f aca="false">D354+G354+J354</f>
        <v>10243.013372857</v>
      </c>
      <c r="N354" s="40" t="n">
        <f aca="false">L354+M354</f>
        <v>16560.1570913465</v>
      </c>
      <c r="O354" s="40" t="n">
        <f aca="false">E354+H354+K354</f>
        <v>2249976.66959957</v>
      </c>
    </row>
    <row r="355" customFormat="false" ht="15" hidden="false" customHeight="false" outlineLevel="0" collapsed="false">
      <c r="A355" s="39" t="n">
        <v>349</v>
      </c>
      <c r="B355" s="39" t="n">
        <f aca="false">ROUNDUP(A355/12,0)</f>
        <v>30</v>
      </c>
      <c r="C355" s="40" t="n">
        <f aca="false">E354*Annahmen!$B$38/12</f>
        <v>1436.82545282764</v>
      </c>
      <c r="D355" s="40" t="n">
        <f aca="false">MIN($C$3-C355,E354)</f>
        <v>2063.17454717236</v>
      </c>
      <c r="E355" s="40" t="n">
        <f aca="false">E354-D355</f>
        <v>687613.042810093</v>
      </c>
      <c r="F355" s="40" t="n">
        <f aca="false">H354*Annahmen!$B$39/12</f>
        <v>1052.8842705874</v>
      </c>
      <c r="G355" s="40" t="n">
        <f aca="false">MIN($F$3-F355,H354)</f>
        <v>1553.78239607927</v>
      </c>
      <c r="H355" s="40" t="n">
        <f aca="false">H354-G355</f>
        <v>419599.92583888</v>
      </c>
      <c r="I355" s="40" t="n">
        <f aca="false">K354*Annahmen!$B$40/12</f>
        <v>3797.15581335782</v>
      </c>
      <c r="J355" s="40" t="n">
        <f aca="false">MIN($I$3-I355,K354)</f>
        <v>6656.33461132198</v>
      </c>
      <c r="K355" s="40" t="n">
        <f aca="false">K354-J355</f>
        <v>1132490.40939602</v>
      </c>
      <c r="L355" s="40" t="n">
        <f aca="false">C355+F355+I355</f>
        <v>6286.86553677286</v>
      </c>
      <c r="M355" s="40" t="n">
        <f aca="false">D355+G355+J355</f>
        <v>10273.2915545736</v>
      </c>
      <c r="N355" s="40" t="n">
        <f aca="false">L355+M355</f>
        <v>16560.1570913465</v>
      </c>
      <c r="O355" s="40" t="n">
        <f aca="false">E355+H355+K355</f>
        <v>2239703.378045</v>
      </c>
    </row>
    <row r="356" customFormat="false" ht="15" hidden="false" customHeight="false" outlineLevel="0" collapsed="false">
      <c r="A356" s="39" t="n">
        <v>350</v>
      </c>
      <c r="B356" s="39" t="n">
        <f aca="false">ROUNDUP(A356/12,0)</f>
        <v>30</v>
      </c>
      <c r="C356" s="40" t="n">
        <f aca="false">E355*Annahmen!$B$38/12</f>
        <v>1432.52717252103</v>
      </c>
      <c r="D356" s="40" t="n">
        <f aca="false">MIN($C$3-C356,E355)</f>
        <v>2067.47282747897</v>
      </c>
      <c r="E356" s="40" t="n">
        <f aca="false">E355-D356</f>
        <v>685545.569982614</v>
      </c>
      <c r="F356" s="40" t="n">
        <f aca="false">H355*Annahmen!$B$39/12</f>
        <v>1048.9998145972</v>
      </c>
      <c r="G356" s="40" t="n">
        <f aca="false">MIN($F$3-F356,H355)</f>
        <v>1557.66685206947</v>
      </c>
      <c r="H356" s="40" t="n">
        <f aca="false">H355-G356</f>
        <v>418042.258986811</v>
      </c>
      <c r="I356" s="40" t="n">
        <f aca="false">K355*Annahmen!$B$40/12</f>
        <v>3774.96803132008</v>
      </c>
      <c r="J356" s="40" t="n">
        <f aca="false">MIN($I$3-I356,K355)</f>
        <v>6678.52239335972</v>
      </c>
      <c r="K356" s="40" t="n">
        <f aca="false">K355-J356</f>
        <v>1125811.88700266</v>
      </c>
      <c r="L356" s="40" t="n">
        <f aca="false">C356+F356+I356</f>
        <v>6256.49501843831</v>
      </c>
      <c r="M356" s="40" t="n">
        <f aca="false">D356+G356+J356</f>
        <v>10303.6620729082</v>
      </c>
      <c r="N356" s="40" t="n">
        <f aca="false">L356+M356</f>
        <v>16560.1570913465</v>
      </c>
      <c r="O356" s="40" t="n">
        <f aca="false">E356+H356+K356</f>
        <v>2229399.71597209</v>
      </c>
    </row>
    <row r="357" customFormat="false" ht="15" hidden="false" customHeight="false" outlineLevel="0" collapsed="false">
      <c r="A357" s="39" t="n">
        <v>351</v>
      </c>
      <c r="B357" s="39" t="n">
        <f aca="false">ROUNDUP(A357/12,0)</f>
        <v>30</v>
      </c>
      <c r="C357" s="40" t="n">
        <f aca="false">E356*Annahmen!$B$38/12</f>
        <v>1428.21993746378</v>
      </c>
      <c r="D357" s="40" t="n">
        <f aca="false">MIN($C$3-C357,E356)</f>
        <v>2071.78006253622</v>
      </c>
      <c r="E357" s="40" t="n">
        <f aca="false">E356-D357</f>
        <v>683473.789920078</v>
      </c>
      <c r="F357" s="40" t="n">
        <f aca="false">H356*Annahmen!$B$39/12</f>
        <v>1045.10564746703</v>
      </c>
      <c r="G357" s="40" t="n">
        <f aca="false">MIN($F$3-F357,H356)</f>
        <v>1561.56101919964</v>
      </c>
      <c r="H357" s="40" t="n">
        <f aca="false">H356-G357</f>
        <v>416480.697967611</v>
      </c>
      <c r="I357" s="40" t="n">
        <f aca="false">K356*Annahmen!$B$40/12</f>
        <v>3752.70629000888</v>
      </c>
      <c r="J357" s="40" t="n">
        <f aca="false">MIN($I$3-I357,K356)</f>
        <v>6700.78413467092</v>
      </c>
      <c r="K357" s="40" t="n">
        <f aca="false">K356-J357</f>
        <v>1119111.10286799</v>
      </c>
      <c r="L357" s="40" t="n">
        <f aca="false">C357+F357+I357</f>
        <v>6226.03187493969</v>
      </c>
      <c r="M357" s="40" t="n">
        <f aca="false">D357+G357+J357</f>
        <v>10334.1252164068</v>
      </c>
      <c r="N357" s="40" t="n">
        <f aca="false">L357+M357</f>
        <v>16560.1570913465</v>
      </c>
      <c r="O357" s="40" t="n">
        <f aca="false">E357+H357+K357</f>
        <v>2219065.59075568</v>
      </c>
    </row>
    <row r="358" customFormat="false" ht="15" hidden="false" customHeight="false" outlineLevel="0" collapsed="false">
      <c r="A358" s="39" t="n">
        <v>352</v>
      </c>
      <c r="B358" s="39" t="n">
        <f aca="false">ROUNDUP(A358/12,0)</f>
        <v>30</v>
      </c>
      <c r="C358" s="40" t="n">
        <f aca="false">E357*Annahmen!$B$38/12</f>
        <v>1423.90372900016</v>
      </c>
      <c r="D358" s="40" t="n">
        <f aca="false">MIN($C$3-C358,E357)</f>
        <v>2076.09627099984</v>
      </c>
      <c r="E358" s="40" t="n">
        <f aca="false">E357-D358</f>
        <v>681397.693649078</v>
      </c>
      <c r="F358" s="40" t="n">
        <f aca="false">H357*Annahmen!$B$39/12</f>
        <v>1041.20174491903</v>
      </c>
      <c r="G358" s="40" t="n">
        <f aca="false">MIN($F$3-F358,H357)</f>
        <v>1565.46492174764</v>
      </c>
      <c r="H358" s="40" t="n">
        <f aca="false">H357-G358</f>
        <v>414915.233045863</v>
      </c>
      <c r="I358" s="40" t="n">
        <f aca="false">K357*Annahmen!$B$40/12</f>
        <v>3730.37034289331</v>
      </c>
      <c r="J358" s="40" t="n">
        <f aca="false">MIN($I$3-I358,K357)</f>
        <v>6723.12008178649</v>
      </c>
      <c r="K358" s="40" t="n">
        <f aca="false">K357-J358</f>
        <v>1112387.98278621</v>
      </c>
      <c r="L358" s="40" t="n">
        <f aca="false">C358+F358+I358</f>
        <v>6195.4758168125</v>
      </c>
      <c r="M358" s="40" t="n">
        <f aca="false">D358+G358+J358</f>
        <v>10364.681274534</v>
      </c>
      <c r="N358" s="40" t="n">
        <f aca="false">L358+M358</f>
        <v>16560.1570913465</v>
      </c>
      <c r="O358" s="40" t="n">
        <f aca="false">E358+H358+K358</f>
        <v>2208700.90948115</v>
      </c>
    </row>
    <row r="359" customFormat="false" ht="15" hidden="false" customHeight="false" outlineLevel="0" collapsed="false">
      <c r="A359" s="39" t="n">
        <v>353</v>
      </c>
      <c r="B359" s="39" t="n">
        <f aca="false">ROUNDUP(A359/12,0)</f>
        <v>30</v>
      </c>
      <c r="C359" s="40" t="n">
        <f aca="false">E358*Annahmen!$B$38/12</f>
        <v>1419.57852843558</v>
      </c>
      <c r="D359" s="40" t="n">
        <f aca="false">MIN($C$3-C359,E358)</f>
        <v>2080.42147156442</v>
      </c>
      <c r="E359" s="40" t="n">
        <f aca="false">E358-D359</f>
        <v>679317.272177514</v>
      </c>
      <c r="F359" s="40" t="n">
        <f aca="false">H358*Annahmen!$B$39/12</f>
        <v>1037.28808261466</v>
      </c>
      <c r="G359" s="40" t="n">
        <f aca="false">MIN($F$3-F359,H358)</f>
        <v>1569.37858405201</v>
      </c>
      <c r="H359" s="40" t="n">
        <f aca="false">H358-G359</f>
        <v>413345.854461811</v>
      </c>
      <c r="I359" s="40" t="n">
        <f aca="false">K358*Annahmen!$B$40/12</f>
        <v>3707.95994262069</v>
      </c>
      <c r="J359" s="40" t="n">
        <f aca="false">MIN($I$3-I359,K358)</f>
        <v>6745.53048205911</v>
      </c>
      <c r="K359" s="40" t="n">
        <f aca="false">K358-J359</f>
        <v>1105642.45230415</v>
      </c>
      <c r="L359" s="40" t="n">
        <f aca="false">C359+F359+I359</f>
        <v>6164.82655367093</v>
      </c>
      <c r="M359" s="40" t="n">
        <f aca="false">D359+G359+J359</f>
        <v>10395.3305376755</v>
      </c>
      <c r="N359" s="40" t="n">
        <f aca="false">L359+M359</f>
        <v>16560.1570913465</v>
      </c>
      <c r="O359" s="40" t="n">
        <f aca="false">E359+H359+K359</f>
        <v>2198305.57894347</v>
      </c>
    </row>
    <row r="360" customFormat="false" ht="15" hidden="false" customHeight="false" outlineLevel="0" collapsed="false">
      <c r="A360" s="39" t="n">
        <v>354</v>
      </c>
      <c r="B360" s="39" t="n">
        <f aca="false">ROUNDUP(A360/12,0)</f>
        <v>30</v>
      </c>
      <c r="C360" s="40" t="n">
        <f aca="false">E359*Annahmen!$B$38/12</f>
        <v>1415.24431703649</v>
      </c>
      <c r="D360" s="40" t="n">
        <f aca="false">MIN($C$3-C360,E359)</f>
        <v>2084.75568296351</v>
      </c>
      <c r="E360" s="40" t="n">
        <f aca="false">E359-D360</f>
        <v>677232.51649455</v>
      </c>
      <c r="F360" s="40" t="n">
        <f aca="false">H359*Annahmen!$B$39/12</f>
        <v>1033.36463615453</v>
      </c>
      <c r="G360" s="40" t="n">
        <f aca="false">MIN($F$3-F360,H359)</f>
        <v>1573.30203051214</v>
      </c>
      <c r="H360" s="40" t="n">
        <f aca="false">H359-G360</f>
        <v>411772.552431299</v>
      </c>
      <c r="I360" s="40" t="n">
        <f aca="false">K359*Annahmen!$B$40/12</f>
        <v>3685.47484101383</v>
      </c>
      <c r="J360" s="40" t="n">
        <f aca="false">MIN($I$3-I360,K359)</f>
        <v>6768.01558366597</v>
      </c>
      <c r="K360" s="40" t="n">
        <f aca="false">K359-J360</f>
        <v>1098874.43672048</v>
      </c>
      <c r="L360" s="40" t="n">
        <f aca="false">C360+F360+I360</f>
        <v>6134.08379420484</v>
      </c>
      <c r="M360" s="40" t="n">
        <f aca="false">D360+G360+J360</f>
        <v>10426.0732971416</v>
      </c>
      <c r="N360" s="40" t="n">
        <f aca="false">L360+M360</f>
        <v>16560.1570913465</v>
      </c>
      <c r="O360" s="40" t="n">
        <f aca="false">E360+H360+K360</f>
        <v>2187879.50564633</v>
      </c>
    </row>
    <row r="361" customFormat="false" ht="15" hidden="false" customHeight="false" outlineLevel="0" collapsed="false">
      <c r="A361" s="39" t="n">
        <v>355</v>
      </c>
      <c r="B361" s="39" t="n">
        <f aca="false">ROUNDUP(A361/12,0)</f>
        <v>30</v>
      </c>
      <c r="C361" s="40" t="n">
        <f aca="false">E360*Annahmen!$B$38/12</f>
        <v>1410.90107603031</v>
      </c>
      <c r="D361" s="40" t="n">
        <f aca="false">MIN($C$3-C361,E360)</f>
        <v>2089.09892396969</v>
      </c>
      <c r="E361" s="40" t="n">
        <f aca="false">E360-D361</f>
        <v>675143.417570581</v>
      </c>
      <c r="F361" s="40" t="n">
        <f aca="false">H360*Annahmen!$B$39/12</f>
        <v>1029.43138107825</v>
      </c>
      <c r="G361" s="40" t="n">
        <f aca="false">MIN($F$3-F361,H360)</f>
        <v>1577.23528558842</v>
      </c>
      <c r="H361" s="40" t="n">
        <f aca="false">H360-G361</f>
        <v>410195.317145711</v>
      </c>
      <c r="I361" s="40" t="n">
        <f aca="false">K360*Annahmen!$B$40/12</f>
        <v>3662.91478906827</v>
      </c>
      <c r="J361" s="40" t="n">
        <f aca="false">MIN($I$3-I361,K360)</f>
        <v>6790.57563561153</v>
      </c>
      <c r="K361" s="40" t="n">
        <f aca="false">K360-J361</f>
        <v>1092083.86108487</v>
      </c>
      <c r="L361" s="40" t="n">
        <f aca="false">C361+F361+I361</f>
        <v>6103.24724617684</v>
      </c>
      <c r="M361" s="40" t="n">
        <f aca="false">D361+G361+J361</f>
        <v>10456.9098451696</v>
      </c>
      <c r="N361" s="40" t="n">
        <f aca="false">L361+M361</f>
        <v>16560.1570913465</v>
      </c>
      <c r="O361" s="40" t="n">
        <f aca="false">E361+H361+K361</f>
        <v>2177422.59580116</v>
      </c>
    </row>
    <row r="362" customFormat="false" ht="15" hidden="false" customHeight="false" outlineLevel="0" collapsed="false">
      <c r="A362" s="39" t="n">
        <v>356</v>
      </c>
      <c r="B362" s="39" t="n">
        <f aca="false">ROUNDUP(A362/12,0)</f>
        <v>30</v>
      </c>
      <c r="C362" s="40" t="n">
        <f aca="false">E361*Annahmen!$B$38/12</f>
        <v>1406.54878660538</v>
      </c>
      <c r="D362" s="40" t="n">
        <f aca="false">MIN($C$3-C362,E361)</f>
        <v>2093.45121339462</v>
      </c>
      <c r="E362" s="40" t="n">
        <f aca="false">E361-D362</f>
        <v>673049.966357186</v>
      </c>
      <c r="F362" s="40" t="n">
        <f aca="false">H361*Annahmen!$B$39/12</f>
        <v>1025.48829286428</v>
      </c>
      <c r="G362" s="40" t="n">
        <f aca="false">MIN($F$3-F362,H361)</f>
        <v>1581.17837380239</v>
      </c>
      <c r="H362" s="40" t="n">
        <f aca="false">H361-G362</f>
        <v>408614.138771908</v>
      </c>
      <c r="I362" s="40" t="n">
        <f aca="false">K361*Annahmen!$B$40/12</f>
        <v>3640.27953694957</v>
      </c>
      <c r="J362" s="40" t="n">
        <f aca="false">MIN($I$3-I362,K361)</f>
        <v>6813.21088773023</v>
      </c>
      <c r="K362" s="40" t="n">
        <f aca="false">K361-J362</f>
        <v>1085270.65019714</v>
      </c>
      <c r="L362" s="40" t="n">
        <f aca="false">C362+F362+I362</f>
        <v>6072.31661641922</v>
      </c>
      <c r="M362" s="40" t="n">
        <f aca="false">D362+G362+J362</f>
        <v>10487.8404749272</v>
      </c>
      <c r="N362" s="40" t="n">
        <f aca="false">L362+M362</f>
        <v>16560.1570913465</v>
      </c>
      <c r="O362" s="40" t="n">
        <f aca="false">E362+H362+K362</f>
        <v>2166934.75532623</v>
      </c>
    </row>
    <row r="363" customFormat="false" ht="15" hidden="false" customHeight="false" outlineLevel="0" collapsed="false">
      <c r="A363" s="39" t="n">
        <v>357</v>
      </c>
      <c r="B363" s="39" t="n">
        <f aca="false">ROUNDUP(A363/12,0)</f>
        <v>30</v>
      </c>
      <c r="C363" s="40" t="n">
        <f aca="false">E362*Annahmen!$B$38/12</f>
        <v>1402.1874299108</v>
      </c>
      <c r="D363" s="40" t="n">
        <f aca="false">MIN($C$3-C363,E362)</f>
        <v>2097.81257008919</v>
      </c>
      <c r="E363" s="40" t="n">
        <f aca="false">E362-D363</f>
        <v>670952.153787097</v>
      </c>
      <c r="F363" s="40" t="n">
        <f aca="false">H362*Annahmen!$B$39/12</f>
        <v>1021.53534692977</v>
      </c>
      <c r="G363" s="40" t="n">
        <f aca="false">MIN($F$3-F363,H362)</f>
        <v>1585.13131973689</v>
      </c>
      <c r="H363" s="40" t="n">
        <f aca="false">H362-G363</f>
        <v>407029.007452172</v>
      </c>
      <c r="I363" s="40" t="n">
        <f aca="false">K362*Annahmen!$B$40/12</f>
        <v>3617.56883399047</v>
      </c>
      <c r="J363" s="40" t="n">
        <f aca="false">MIN($I$3-I363,K362)</f>
        <v>6835.92159068933</v>
      </c>
      <c r="K363" s="40" t="n">
        <f aca="false">K362-J363</f>
        <v>1078434.72860645</v>
      </c>
      <c r="L363" s="40" t="n">
        <f aca="false">C363+F363+I363</f>
        <v>6041.29161083104</v>
      </c>
      <c r="M363" s="40" t="n">
        <f aca="false">D363+G363+J363</f>
        <v>10518.8654805154</v>
      </c>
      <c r="N363" s="40" t="n">
        <f aca="false">L363+M363</f>
        <v>16560.1570913465</v>
      </c>
      <c r="O363" s="40" t="n">
        <f aca="false">E363+H363+K363</f>
        <v>2156415.88984572</v>
      </c>
    </row>
    <row r="364" customFormat="false" ht="15" hidden="false" customHeight="false" outlineLevel="0" collapsed="false">
      <c r="A364" s="39" t="n">
        <v>358</v>
      </c>
      <c r="B364" s="39" t="n">
        <f aca="false">ROUNDUP(A364/12,0)</f>
        <v>30</v>
      </c>
      <c r="C364" s="40" t="n">
        <f aca="false">E363*Annahmen!$B$38/12</f>
        <v>1397.81698705645</v>
      </c>
      <c r="D364" s="40" t="n">
        <f aca="false">MIN($C$3-C364,E363)</f>
        <v>2102.18301294355</v>
      </c>
      <c r="E364" s="40" t="n">
        <f aca="false">E363-D364</f>
        <v>668849.970774153</v>
      </c>
      <c r="F364" s="40" t="n">
        <f aca="false">H363*Annahmen!$B$39/12</f>
        <v>1017.57251863043</v>
      </c>
      <c r="G364" s="40" t="n">
        <f aca="false">MIN($F$3-F364,H363)</f>
        <v>1589.09414803624</v>
      </c>
      <c r="H364" s="40" t="n">
        <f aca="false">H363-G364</f>
        <v>405439.913304135</v>
      </c>
      <c r="I364" s="40" t="n">
        <f aca="false">K363*Annahmen!$B$40/12</f>
        <v>3594.78242868817</v>
      </c>
      <c r="J364" s="40" t="n">
        <f aca="false">MIN($I$3-I364,K363)</f>
        <v>6858.70799599163</v>
      </c>
      <c r="K364" s="40" t="n">
        <f aca="false">K363-J364</f>
        <v>1071576.02061046</v>
      </c>
      <c r="L364" s="40" t="n">
        <f aca="false">C364+F364+I364</f>
        <v>6010.17193437505</v>
      </c>
      <c r="M364" s="40" t="n">
        <f aca="false">D364+G364+J364</f>
        <v>10549.9851569714</v>
      </c>
      <c r="N364" s="40" t="n">
        <f aca="false">L364+M364</f>
        <v>16560.1570913465</v>
      </c>
      <c r="O364" s="40" t="n">
        <f aca="false">E364+H364+K364</f>
        <v>2145865.90468875</v>
      </c>
    </row>
    <row r="365" customFormat="false" ht="15" hidden="false" customHeight="false" outlineLevel="0" collapsed="false">
      <c r="A365" s="39" t="n">
        <v>359</v>
      </c>
      <c r="B365" s="39" t="n">
        <f aca="false">ROUNDUP(A365/12,0)</f>
        <v>30</v>
      </c>
      <c r="C365" s="40" t="n">
        <f aca="false">E364*Annahmen!$B$38/12</f>
        <v>1393.43743911282</v>
      </c>
      <c r="D365" s="40" t="n">
        <f aca="false">MIN($C$3-C365,E364)</f>
        <v>2106.56256088718</v>
      </c>
      <c r="E365" s="40" t="n">
        <f aca="false">E364-D365</f>
        <v>666743.408213266</v>
      </c>
      <c r="F365" s="40" t="n">
        <f aca="false">H364*Annahmen!$B$39/12</f>
        <v>1013.59978326034</v>
      </c>
      <c r="G365" s="40" t="n">
        <f aca="false">MIN($F$3-F365,H364)</f>
        <v>1593.06688340633</v>
      </c>
      <c r="H365" s="40" t="n">
        <f aca="false">H364-G365</f>
        <v>403846.846420729</v>
      </c>
      <c r="I365" s="40" t="n">
        <f aca="false">K364*Annahmen!$B$40/12</f>
        <v>3571.92006870153</v>
      </c>
      <c r="J365" s="40" t="n">
        <f aca="false">MIN($I$3-I365,K364)</f>
        <v>6881.57035597827</v>
      </c>
      <c r="K365" s="40" t="n">
        <f aca="false">K364-J365</f>
        <v>1064694.45025448</v>
      </c>
      <c r="L365" s="40" t="n">
        <f aca="false">C365+F365+I365</f>
        <v>5978.95729107469</v>
      </c>
      <c r="M365" s="40" t="n">
        <f aca="false">D365+G365+J365</f>
        <v>10581.1998002718</v>
      </c>
      <c r="N365" s="40" t="n">
        <f aca="false">L365+M365</f>
        <v>16560.1570913465</v>
      </c>
      <c r="O365" s="40" t="n">
        <f aca="false">E365+H365+K365</f>
        <v>2135284.70488848</v>
      </c>
    </row>
    <row r="366" customFormat="false" ht="15" hidden="false" customHeight="false" outlineLevel="0" collapsed="false">
      <c r="A366" s="39" t="n">
        <v>360</v>
      </c>
      <c r="B366" s="39" t="n">
        <f aca="false">ROUNDUP(A366/12,0)</f>
        <v>30</v>
      </c>
      <c r="C366" s="40" t="n">
        <f aca="false">E365*Annahmen!$B$38/12</f>
        <v>1389.04876711097</v>
      </c>
      <c r="D366" s="40" t="n">
        <f aca="false">MIN($C$3-C366,E365)</f>
        <v>2110.95123288903</v>
      </c>
      <c r="E366" s="40" t="n">
        <f aca="false">E365-D366</f>
        <v>664632.456980377</v>
      </c>
      <c r="F366" s="40" t="n">
        <f aca="false">H365*Annahmen!$B$39/12</f>
        <v>1009.61711605182</v>
      </c>
      <c r="G366" s="40" t="n">
        <f aca="false">MIN($F$3-F366,H365)</f>
        <v>1597.04955061484</v>
      </c>
      <c r="H366" s="40" t="n">
        <f aca="false">H365-G366</f>
        <v>402249.796870114</v>
      </c>
      <c r="I366" s="40" t="n">
        <f aca="false">K365*Annahmen!$B$40/12</f>
        <v>3548.98150084827</v>
      </c>
      <c r="J366" s="40" t="n">
        <f aca="false">MIN($I$3-I366,K365)</f>
        <v>6904.50892383153</v>
      </c>
      <c r="K366" s="40" t="n">
        <f aca="false">K365-J366</f>
        <v>1057789.94133065</v>
      </c>
      <c r="L366" s="40" t="n">
        <f aca="false">C366+F366+I366</f>
        <v>5947.64738401106</v>
      </c>
      <c r="M366" s="40" t="n">
        <f aca="false">D366+G366+J366</f>
        <v>10612.5097073354</v>
      </c>
      <c r="N366" s="40" t="n">
        <f aca="false">L366+M366</f>
        <v>16560.1570913465</v>
      </c>
      <c r="O366" s="40" t="n">
        <f aca="false">E366+H366+K366</f>
        <v>2124672.19518114</v>
      </c>
    </row>
    <row r="367" customFormat="false" ht="15" hidden="false" customHeight="false" outlineLevel="0" collapsed="false">
      <c r="A367" s="39" t="n">
        <v>361</v>
      </c>
      <c r="B367" s="39" t="n">
        <f aca="false">ROUNDUP(A367/12,0)</f>
        <v>31</v>
      </c>
      <c r="C367" s="40" t="n">
        <f aca="false">E366*Annahmen!$B$38/12</f>
        <v>1384.65095204245</v>
      </c>
      <c r="D367" s="40" t="n">
        <f aca="false">MIN($C$3-C367,E366)</f>
        <v>2115.34904795755</v>
      </c>
      <c r="E367" s="40" t="n">
        <f aca="false">E366-D367</f>
        <v>662517.107932419</v>
      </c>
      <c r="F367" s="40" t="n">
        <f aca="false">H366*Annahmen!$B$39/12</f>
        <v>1005.62449217529</v>
      </c>
      <c r="G367" s="40" t="n">
        <f aca="false">MIN($F$3-F367,H366)</f>
        <v>1601.04217449138</v>
      </c>
      <c r="H367" s="40" t="n">
        <f aca="false">H366-G367</f>
        <v>400648.754695623</v>
      </c>
      <c r="I367" s="40" t="n">
        <f aca="false">K366*Annahmen!$B$40/12</f>
        <v>3525.96647110217</v>
      </c>
      <c r="J367" s="40" t="n">
        <f aca="false">MIN($I$3-I367,K366)</f>
        <v>6927.52395357764</v>
      </c>
      <c r="K367" s="40" t="n">
        <f aca="false">K366-J367</f>
        <v>1050862.41737707</v>
      </c>
      <c r="L367" s="40" t="n">
        <f aca="false">C367+F367+I367</f>
        <v>5916.2419153199</v>
      </c>
      <c r="M367" s="40" t="n">
        <f aca="false">D367+G367+J367</f>
        <v>10643.9151760266</v>
      </c>
      <c r="N367" s="40" t="n">
        <f aca="false">L367+M367</f>
        <v>16560.1570913465</v>
      </c>
      <c r="O367" s="40" t="n">
        <f aca="false">E367+H367+K367</f>
        <v>2114028.28000511</v>
      </c>
    </row>
    <row r="368" customFormat="false" ht="15" hidden="false" customHeight="false" outlineLevel="0" collapsed="false">
      <c r="A368" s="39" t="n">
        <v>362</v>
      </c>
      <c r="B368" s="39" t="n">
        <f aca="false">ROUNDUP(A368/12,0)</f>
        <v>31</v>
      </c>
      <c r="C368" s="40" t="n">
        <f aca="false">E367*Annahmen!$B$38/12</f>
        <v>1380.24397485921</v>
      </c>
      <c r="D368" s="40" t="n">
        <f aca="false">MIN($C$3-C368,E367)</f>
        <v>2119.75602514079</v>
      </c>
      <c r="E368" s="40" t="n">
        <f aca="false">E367-D368</f>
        <v>660397.351907278</v>
      </c>
      <c r="F368" s="40" t="n">
        <f aca="false">H367*Annahmen!$B$39/12</f>
        <v>1001.62188673906</v>
      </c>
      <c r="G368" s="40" t="n">
        <f aca="false">MIN($F$3-F368,H367)</f>
        <v>1605.04477992761</v>
      </c>
      <c r="H368" s="40" t="n">
        <f aca="false">H367-G368</f>
        <v>399043.709915695</v>
      </c>
      <c r="I368" s="40" t="n">
        <f aca="false">K367*Annahmen!$B$40/12</f>
        <v>3502.87472459024</v>
      </c>
      <c r="J368" s="40" t="n">
        <f aca="false">MIN($I$3-I368,K367)</f>
        <v>6950.61570008956</v>
      </c>
      <c r="K368" s="40" t="n">
        <f aca="false">K367-J368</f>
        <v>1043911.80167698</v>
      </c>
      <c r="L368" s="40" t="n">
        <f aca="false">C368+F368+I368</f>
        <v>5884.7405861885</v>
      </c>
      <c r="M368" s="40" t="n">
        <f aca="false">D368+G368+J368</f>
        <v>10675.416505158</v>
      </c>
      <c r="N368" s="40" t="n">
        <f aca="false">L368+M368</f>
        <v>16560.1570913465</v>
      </c>
      <c r="O368" s="40" t="n">
        <f aca="false">E368+H368+K368</f>
        <v>2103352.86349996</v>
      </c>
    </row>
    <row r="369" customFormat="false" ht="15" hidden="false" customHeight="false" outlineLevel="0" collapsed="false">
      <c r="A369" s="39" t="n">
        <v>363</v>
      </c>
      <c r="B369" s="39" t="n">
        <f aca="false">ROUNDUP(A369/12,0)</f>
        <v>31</v>
      </c>
      <c r="C369" s="40" t="n">
        <f aca="false">E368*Annahmen!$B$38/12</f>
        <v>1375.8278164735</v>
      </c>
      <c r="D369" s="40" t="n">
        <f aca="false">MIN($C$3-C369,E368)</f>
        <v>2124.1721835265</v>
      </c>
      <c r="E369" s="40" t="n">
        <f aca="false">E368-D369</f>
        <v>658273.179723752</v>
      </c>
      <c r="F369" s="40" t="n">
        <f aca="false">H368*Annahmen!$B$39/12</f>
        <v>997.609274789238</v>
      </c>
      <c r="G369" s="40" t="n">
        <f aca="false">MIN($F$3-F369,H368)</f>
        <v>1609.05739187743</v>
      </c>
      <c r="H369" s="40" t="n">
        <f aca="false">H368-G369</f>
        <v>397434.652523818</v>
      </c>
      <c r="I369" s="40" t="n">
        <f aca="false">K368*Annahmen!$B$40/12</f>
        <v>3479.70600558994</v>
      </c>
      <c r="J369" s="40" t="n">
        <f aca="false">MIN($I$3-I369,K368)</f>
        <v>6973.78441908986</v>
      </c>
      <c r="K369" s="40" t="n">
        <f aca="false">K368-J369</f>
        <v>1036938.01725789</v>
      </c>
      <c r="L369" s="40" t="n">
        <f aca="false">C369+F369+I369</f>
        <v>5853.14309685268</v>
      </c>
      <c r="M369" s="40" t="n">
        <f aca="false">D369+G369+J369</f>
        <v>10707.0139944938</v>
      </c>
      <c r="N369" s="40" t="n">
        <f aca="false">L369+M369</f>
        <v>16560.1570913465</v>
      </c>
      <c r="O369" s="40" t="n">
        <f aca="false">E369+H369+K369</f>
        <v>2092645.84950546</v>
      </c>
    </row>
    <row r="370" customFormat="false" ht="15" hidden="false" customHeight="false" outlineLevel="0" collapsed="false">
      <c r="A370" s="39" t="n">
        <v>364</v>
      </c>
      <c r="B370" s="39" t="n">
        <f aca="false">ROUNDUP(A370/12,0)</f>
        <v>31</v>
      </c>
      <c r="C370" s="40" t="n">
        <f aca="false">E369*Annahmen!$B$38/12</f>
        <v>1371.40245775782</v>
      </c>
      <c r="D370" s="40" t="n">
        <f aca="false">MIN($C$3-C370,E369)</f>
        <v>2128.59754224218</v>
      </c>
      <c r="E370" s="40" t="n">
        <f aca="false">E369-D370</f>
        <v>656144.58218151</v>
      </c>
      <c r="F370" s="40" t="n">
        <f aca="false">H369*Annahmen!$B$39/12</f>
        <v>993.586631309544</v>
      </c>
      <c r="G370" s="40" t="n">
        <f aca="false">MIN($F$3-F370,H369)</f>
        <v>1613.08003535712</v>
      </c>
      <c r="H370" s="40" t="n">
        <f aca="false">H369-G370</f>
        <v>395821.572488461</v>
      </c>
      <c r="I370" s="40" t="n">
        <f aca="false">K369*Annahmen!$B$40/12</f>
        <v>3456.46005752631</v>
      </c>
      <c r="J370" s="40" t="n">
        <f aca="false">MIN($I$3-I370,K369)</f>
        <v>6997.03036715349</v>
      </c>
      <c r="K370" s="40" t="n">
        <f aca="false">K369-J370</f>
        <v>1029940.98689074</v>
      </c>
      <c r="L370" s="40" t="n">
        <f aca="false">C370+F370+I370</f>
        <v>5821.44914659367</v>
      </c>
      <c r="M370" s="40" t="n">
        <f aca="false">D370+G370+J370</f>
        <v>10738.7079447528</v>
      </c>
      <c r="N370" s="40" t="n">
        <f aca="false">L370+M370</f>
        <v>16560.1570913465</v>
      </c>
      <c r="O370" s="40" t="n">
        <f aca="false">E370+H370+K370</f>
        <v>2081907.14156071</v>
      </c>
    </row>
    <row r="371" customFormat="false" ht="15" hidden="false" customHeight="false" outlineLevel="0" collapsed="false">
      <c r="A371" s="39" t="n">
        <v>365</v>
      </c>
      <c r="B371" s="39" t="n">
        <f aca="false">ROUNDUP(A371/12,0)</f>
        <v>31</v>
      </c>
      <c r="C371" s="40" t="n">
        <f aca="false">E370*Annahmen!$B$38/12</f>
        <v>1366.96787954481</v>
      </c>
      <c r="D371" s="40" t="n">
        <f aca="false">MIN($C$3-C371,E370)</f>
        <v>2133.03212045519</v>
      </c>
      <c r="E371" s="40" t="n">
        <f aca="false">E370-D371</f>
        <v>654011.550061055</v>
      </c>
      <c r="F371" s="40" t="n">
        <f aca="false">H370*Annahmen!$B$39/12</f>
        <v>989.553931221152</v>
      </c>
      <c r="G371" s="40" t="n">
        <f aca="false">MIN($F$3-F371,H370)</f>
        <v>1617.11273544551</v>
      </c>
      <c r="H371" s="40" t="n">
        <f aca="false">H370-G371</f>
        <v>394204.459753015</v>
      </c>
      <c r="I371" s="40" t="n">
        <f aca="false">K370*Annahmen!$B$40/12</f>
        <v>3433.13662296913</v>
      </c>
      <c r="J371" s="40" t="n">
        <f aca="false">MIN($I$3-I371,K370)</f>
        <v>7020.35380171067</v>
      </c>
      <c r="K371" s="40" t="n">
        <f aca="false">K370-J371</f>
        <v>1022920.63308903</v>
      </c>
      <c r="L371" s="40" t="n">
        <f aca="false">C371+F371+I371</f>
        <v>5789.65843373509</v>
      </c>
      <c r="M371" s="40" t="n">
        <f aca="false">D371+G371+J371</f>
        <v>10770.4986576114</v>
      </c>
      <c r="N371" s="40" t="n">
        <f aca="false">L371+M371</f>
        <v>16560.1570913465</v>
      </c>
      <c r="O371" s="40" t="n">
        <f aca="false">E371+H371+K371</f>
        <v>2071136.6429031</v>
      </c>
    </row>
    <row r="372" customFormat="false" ht="15" hidden="false" customHeight="false" outlineLevel="0" collapsed="false">
      <c r="A372" s="39" t="n">
        <v>366</v>
      </c>
      <c r="B372" s="39" t="n">
        <f aca="false">ROUNDUP(A372/12,0)</f>
        <v>31</v>
      </c>
      <c r="C372" s="40" t="n">
        <f aca="false">E371*Annahmen!$B$38/12</f>
        <v>1362.5240626272</v>
      </c>
      <c r="D372" s="40" t="n">
        <f aca="false">MIN($C$3-C372,E371)</f>
        <v>2137.4759373728</v>
      </c>
      <c r="E372" s="40" t="n">
        <f aca="false">E371-D372</f>
        <v>651874.074123682</v>
      </c>
      <c r="F372" s="40" t="n">
        <f aca="false">H371*Annahmen!$B$39/12</f>
        <v>985.511149382538</v>
      </c>
      <c r="G372" s="40" t="n">
        <f aca="false">MIN($F$3-F372,H371)</f>
        <v>1621.15551728413</v>
      </c>
      <c r="H372" s="40" t="n">
        <f aca="false">H371-G372</f>
        <v>392583.304235731</v>
      </c>
      <c r="I372" s="40" t="n">
        <f aca="false">K371*Annahmen!$B$40/12</f>
        <v>3409.73544363009</v>
      </c>
      <c r="J372" s="40" t="n">
        <f aca="false">MIN($I$3-I372,K371)</f>
        <v>7043.75498104971</v>
      </c>
      <c r="K372" s="40" t="n">
        <f aca="false">K371-J372</f>
        <v>1015876.87810798</v>
      </c>
      <c r="L372" s="40" t="n">
        <f aca="false">C372+F372+I372</f>
        <v>5757.77065563983</v>
      </c>
      <c r="M372" s="40" t="n">
        <f aca="false">D372+G372+J372</f>
        <v>10802.3864357066</v>
      </c>
      <c r="N372" s="40" t="n">
        <f aca="false">L372+M372</f>
        <v>16560.1570913465</v>
      </c>
      <c r="O372" s="40" t="n">
        <f aca="false">E372+H372+K372</f>
        <v>2060334.25646739</v>
      </c>
    </row>
    <row r="373" customFormat="false" ht="15" hidden="false" customHeight="false" outlineLevel="0" collapsed="false">
      <c r="A373" s="39" t="n">
        <v>367</v>
      </c>
      <c r="B373" s="39" t="n">
        <f aca="false">ROUNDUP(A373/12,0)</f>
        <v>31</v>
      </c>
      <c r="C373" s="40" t="n">
        <f aca="false">E372*Annahmen!$B$38/12</f>
        <v>1358.07098775767</v>
      </c>
      <c r="D373" s="40" t="n">
        <f aca="false">MIN($C$3-C373,E372)</f>
        <v>2141.92901224233</v>
      </c>
      <c r="E373" s="40" t="n">
        <f aca="false">E372-D373</f>
        <v>649732.14511144</v>
      </c>
      <c r="F373" s="40" t="n">
        <f aca="false">H372*Annahmen!$B$39/12</f>
        <v>981.458260589328</v>
      </c>
      <c r="G373" s="40" t="n">
        <f aca="false">MIN($F$3-F373,H372)</f>
        <v>1625.20840607734</v>
      </c>
      <c r="H373" s="40" t="n">
        <f aca="false">H372-G373</f>
        <v>390958.095829654</v>
      </c>
      <c r="I373" s="40" t="n">
        <f aca="false">K372*Annahmen!$B$40/12</f>
        <v>3386.25626035993</v>
      </c>
      <c r="J373" s="40" t="n">
        <f aca="false">MIN($I$3-I373,K372)</f>
        <v>7067.23416431987</v>
      </c>
      <c r="K373" s="40" t="n">
        <f aca="false">K372-J373</f>
        <v>1008809.64394366</v>
      </c>
      <c r="L373" s="40" t="n">
        <f aca="false">C373+F373+I373</f>
        <v>5725.78550870693</v>
      </c>
      <c r="M373" s="40" t="n">
        <f aca="false">D373+G373+J373</f>
        <v>10834.3715826395</v>
      </c>
      <c r="N373" s="40" t="n">
        <f aca="false">L373+M373</f>
        <v>16560.1570913465</v>
      </c>
      <c r="O373" s="40" t="n">
        <f aca="false">E373+H373+K373</f>
        <v>2049499.88488475</v>
      </c>
    </row>
    <row r="374" customFormat="false" ht="15" hidden="false" customHeight="false" outlineLevel="0" collapsed="false">
      <c r="A374" s="39" t="n">
        <v>368</v>
      </c>
      <c r="B374" s="39" t="n">
        <f aca="false">ROUNDUP(A374/12,0)</f>
        <v>31</v>
      </c>
      <c r="C374" s="40" t="n">
        <f aca="false">E373*Annahmen!$B$38/12</f>
        <v>1353.60863564883</v>
      </c>
      <c r="D374" s="40" t="n">
        <f aca="false">MIN($C$3-C374,E373)</f>
        <v>2146.39136435117</v>
      </c>
      <c r="E374" s="40" t="n">
        <f aca="false">E373-D374</f>
        <v>647585.753747088</v>
      </c>
      <c r="F374" s="40" t="n">
        <f aca="false">H373*Annahmen!$B$39/12</f>
        <v>977.395239574134</v>
      </c>
      <c r="G374" s="40" t="n">
        <f aca="false">MIN($F$3-F374,H373)</f>
        <v>1629.27142709253</v>
      </c>
      <c r="H374" s="40" t="n">
        <f aca="false">H373-G374</f>
        <v>389328.824402561</v>
      </c>
      <c r="I374" s="40" t="n">
        <f aca="false">K373*Annahmen!$B$40/12</f>
        <v>3362.69881314553</v>
      </c>
      <c r="J374" s="40" t="n">
        <f aca="false">MIN($I$3-I374,K373)</f>
        <v>7090.79161153427</v>
      </c>
      <c r="K374" s="40" t="n">
        <f aca="false">K373-J374</f>
        <v>1001718.85233212</v>
      </c>
      <c r="L374" s="40" t="n">
        <f aca="false">C374+F374+I374</f>
        <v>5693.7026883685</v>
      </c>
      <c r="M374" s="40" t="n">
        <f aca="false">D374+G374+J374</f>
        <v>10866.454402978</v>
      </c>
      <c r="N374" s="40" t="n">
        <f aca="false">L374+M374</f>
        <v>16560.1570913465</v>
      </c>
      <c r="O374" s="40" t="n">
        <f aca="false">E374+H374+K374</f>
        <v>2038633.43048177</v>
      </c>
    </row>
    <row r="375" customFormat="false" ht="15" hidden="false" customHeight="false" outlineLevel="0" collapsed="false">
      <c r="A375" s="39" t="n">
        <v>369</v>
      </c>
      <c r="B375" s="39" t="n">
        <f aca="false">ROUNDUP(A375/12,0)</f>
        <v>31</v>
      </c>
      <c r="C375" s="40" t="n">
        <f aca="false">E374*Annahmen!$B$38/12</f>
        <v>1349.1369869731</v>
      </c>
      <c r="D375" s="40" t="n">
        <f aca="false">MIN($C$3-C375,E374)</f>
        <v>2150.8630130269</v>
      </c>
      <c r="E375" s="40" t="n">
        <f aca="false">E374-D375</f>
        <v>645434.890734062</v>
      </c>
      <c r="F375" s="40" t="n">
        <f aca="false">H374*Annahmen!$B$39/12</f>
        <v>973.322061006403</v>
      </c>
      <c r="G375" s="40" t="n">
        <f aca="false">MIN($F$3-F375,H374)</f>
        <v>1633.34460566026</v>
      </c>
      <c r="H375" s="40" t="n">
        <f aca="false">H374-G375</f>
        <v>387695.479796901</v>
      </c>
      <c r="I375" s="40" t="n">
        <f aca="false">K374*Annahmen!$B$40/12</f>
        <v>3339.06284110708</v>
      </c>
      <c r="J375" s="40" t="n">
        <f aca="false">MIN($I$3-I375,K374)</f>
        <v>7114.42758357272</v>
      </c>
      <c r="K375" s="40" t="n">
        <f aca="false">K374-J375</f>
        <v>994604.424748552</v>
      </c>
      <c r="L375" s="40" t="n">
        <f aca="false">C375+F375+I375</f>
        <v>5661.52188908659</v>
      </c>
      <c r="M375" s="40" t="n">
        <f aca="false">D375+G375+J375</f>
        <v>10898.6352022599</v>
      </c>
      <c r="N375" s="40" t="n">
        <f aca="false">L375+M375</f>
        <v>16560.1570913465</v>
      </c>
      <c r="O375" s="40" t="n">
        <f aca="false">E375+H375+K375</f>
        <v>2027734.79527951</v>
      </c>
    </row>
    <row r="376" customFormat="false" ht="15" hidden="false" customHeight="false" outlineLevel="0" collapsed="false">
      <c r="A376" s="39" t="n">
        <v>370</v>
      </c>
      <c r="B376" s="39" t="n">
        <f aca="false">ROUNDUP(A376/12,0)</f>
        <v>31</v>
      </c>
      <c r="C376" s="40" t="n">
        <f aca="false">E375*Annahmen!$B$38/12</f>
        <v>1344.65602236263</v>
      </c>
      <c r="D376" s="40" t="n">
        <f aca="false">MIN($C$3-C376,E375)</f>
        <v>2155.34397763737</v>
      </c>
      <c r="E376" s="40" t="n">
        <f aca="false">E375-D376</f>
        <v>643279.546756424</v>
      </c>
      <c r="F376" s="40" t="n">
        <f aca="false">H375*Annahmen!$B$39/12</f>
        <v>969.238699492252</v>
      </c>
      <c r="G376" s="40" t="n">
        <f aca="false">MIN($F$3-F376,H375)</f>
        <v>1637.42796717441</v>
      </c>
      <c r="H376" s="40" t="n">
        <f aca="false">H375-G376</f>
        <v>386058.051829727</v>
      </c>
      <c r="I376" s="40" t="n">
        <f aca="false">K375*Annahmen!$B$40/12</f>
        <v>3315.34808249517</v>
      </c>
      <c r="J376" s="40" t="n">
        <f aca="false">MIN($I$3-I376,K375)</f>
        <v>7138.14234218463</v>
      </c>
      <c r="K376" s="40" t="n">
        <f aca="false">K375-J376</f>
        <v>987466.282406367</v>
      </c>
      <c r="L376" s="40" t="n">
        <f aca="false">C376+F376+I376</f>
        <v>5629.24280435005</v>
      </c>
      <c r="M376" s="40" t="n">
        <f aca="false">D376+G376+J376</f>
        <v>10930.9142869964</v>
      </c>
      <c r="N376" s="40" t="n">
        <f aca="false">L376+M376</f>
        <v>16560.1570913465</v>
      </c>
      <c r="O376" s="40" t="n">
        <f aca="false">E376+H376+K376</f>
        <v>2016803.88099252</v>
      </c>
    </row>
    <row r="377" customFormat="false" ht="15" hidden="false" customHeight="false" outlineLevel="0" collapsed="false">
      <c r="A377" s="39" t="n">
        <v>371</v>
      </c>
      <c r="B377" s="39" t="n">
        <f aca="false">ROUNDUP(A377/12,0)</f>
        <v>31</v>
      </c>
      <c r="C377" s="40" t="n">
        <f aca="false">E376*Annahmen!$B$38/12</f>
        <v>1340.16572240922</v>
      </c>
      <c r="D377" s="40" t="n">
        <f aca="false">MIN($C$3-C377,E376)</f>
        <v>2159.83427759078</v>
      </c>
      <c r="E377" s="40" t="n">
        <f aca="false">E376-D377</f>
        <v>641119.712478833</v>
      </c>
      <c r="F377" s="40" t="n">
        <f aca="false">H376*Annahmen!$B$39/12</f>
        <v>965.145129574316</v>
      </c>
      <c r="G377" s="40" t="n">
        <f aca="false">MIN($F$3-F377,H376)</f>
        <v>1641.52153709235</v>
      </c>
      <c r="H377" s="40" t="n">
        <f aca="false">H376-G377</f>
        <v>384416.530292634</v>
      </c>
      <c r="I377" s="40" t="n">
        <f aca="false">K376*Annahmen!$B$40/12</f>
        <v>3291.55427468789</v>
      </c>
      <c r="J377" s="40" t="n">
        <f aca="false">MIN($I$3-I377,K376)</f>
        <v>7161.93614999191</v>
      </c>
      <c r="K377" s="40" t="n">
        <f aca="false">K376-J377</f>
        <v>980304.346256375</v>
      </c>
      <c r="L377" s="40" t="n">
        <f aca="false">C377+F377+I377</f>
        <v>5596.86512667142</v>
      </c>
      <c r="M377" s="40" t="n">
        <f aca="false">D377+G377+J377</f>
        <v>10963.291964675</v>
      </c>
      <c r="N377" s="40" t="n">
        <f aca="false">L377+M377</f>
        <v>16560.1570913465</v>
      </c>
      <c r="O377" s="40" t="n">
        <f aca="false">E377+H377+K377</f>
        <v>2005840.58902784</v>
      </c>
    </row>
    <row r="378" customFormat="false" ht="15" hidden="false" customHeight="false" outlineLevel="0" collapsed="false">
      <c r="A378" s="39" t="n">
        <v>372</v>
      </c>
      <c r="B378" s="39" t="n">
        <f aca="false">ROUNDUP(A378/12,0)</f>
        <v>31</v>
      </c>
      <c r="C378" s="40" t="n">
        <f aca="false">E377*Annahmen!$B$38/12</f>
        <v>1335.66606766424</v>
      </c>
      <c r="D378" s="40" t="n">
        <f aca="false">MIN($C$3-C378,E377)</f>
        <v>2164.33393233576</v>
      </c>
      <c r="E378" s="40" t="n">
        <f aca="false">E377-D378</f>
        <v>638955.378546498</v>
      </c>
      <c r="F378" s="40" t="n">
        <f aca="false">H377*Annahmen!$B$39/12</f>
        <v>961.041325731586</v>
      </c>
      <c r="G378" s="40" t="n">
        <f aca="false">MIN($F$3-F378,H377)</f>
        <v>1645.62534093508</v>
      </c>
      <c r="H378" s="40" t="n">
        <f aca="false">H377-G378</f>
        <v>382770.904951699</v>
      </c>
      <c r="I378" s="40" t="n">
        <f aca="false">K377*Annahmen!$B$40/12</f>
        <v>3267.68115418792</v>
      </c>
      <c r="J378" s="40" t="n">
        <f aca="false">MIN($I$3-I378,K377)</f>
        <v>7185.80927049188</v>
      </c>
      <c r="K378" s="40" t="n">
        <f aca="false">K377-J378</f>
        <v>973118.536985883</v>
      </c>
      <c r="L378" s="40" t="n">
        <f aca="false">C378+F378+I378</f>
        <v>5564.38854758374</v>
      </c>
      <c r="M378" s="40" t="n">
        <f aca="false">D378+G378+J378</f>
        <v>10995.7685437627</v>
      </c>
      <c r="N378" s="40" t="n">
        <f aca="false">L378+M378</f>
        <v>16560.1570913465</v>
      </c>
      <c r="O378" s="40" t="n">
        <f aca="false">E378+H378+K378</f>
        <v>1994844.82048408</v>
      </c>
    </row>
    <row r="379" customFormat="false" ht="15" hidden="false" customHeight="false" outlineLevel="0" collapsed="false">
      <c r="A379" s="39" t="n">
        <v>373</v>
      </c>
      <c r="B379" s="39" t="n">
        <f aca="false">ROUNDUP(A379/12,0)</f>
        <v>32</v>
      </c>
      <c r="C379" s="40" t="n">
        <f aca="false">E378*Annahmen!$B$38/12</f>
        <v>1331.15703863854</v>
      </c>
      <c r="D379" s="40" t="n">
        <f aca="false">MIN($C$3-C379,E378)</f>
        <v>2168.84296136146</v>
      </c>
      <c r="E379" s="40" t="n">
        <f aca="false">E378-D379</f>
        <v>636786.535585136</v>
      </c>
      <c r="F379" s="40" t="n">
        <f aca="false">H378*Annahmen!$B$39/12</f>
        <v>956.927262379248</v>
      </c>
      <c r="G379" s="40" t="n">
        <f aca="false">MIN($F$3-F379,H378)</f>
        <v>1649.73940428742</v>
      </c>
      <c r="H379" s="40" t="n">
        <f aca="false">H378-G379</f>
        <v>381121.165547412</v>
      </c>
      <c r="I379" s="40" t="n">
        <f aca="false">K378*Annahmen!$B$40/12</f>
        <v>3243.72845661961</v>
      </c>
      <c r="J379" s="40" t="n">
        <f aca="false">MIN($I$3-I379,K378)</f>
        <v>7209.76196806019</v>
      </c>
      <c r="K379" s="40" t="n">
        <f aca="false">K378-J379</f>
        <v>965908.775017823</v>
      </c>
      <c r="L379" s="40" t="n">
        <f aca="false">C379+F379+I379</f>
        <v>5531.8127576374</v>
      </c>
      <c r="M379" s="40" t="n">
        <f aca="false">D379+G379+J379</f>
        <v>11028.3443337091</v>
      </c>
      <c r="N379" s="40" t="n">
        <f aca="false">L379+M379</f>
        <v>16560.1570913465</v>
      </c>
      <c r="O379" s="40" t="n">
        <f aca="false">E379+H379+K379</f>
        <v>1983816.47615037</v>
      </c>
    </row>
    <row r="380" customFormat="false" ht="15" hidden="false" customHeight="false" outlineLevel="0" collapsed="false">
      <c r="A380" s="39" t="n">
        <v>374</v>
      </c>
      <c r="B380" s="39" t="n">
        <f aca="false">ROUNDUP(A380/12,0)</f>
        <v>32</v>
      </c>
      <c r="C380" s="40" t="n">
        <f aca="false">E379*Annahmen!$B$38/12</f>
        <v>1326.63861580237</v>
      </c>
      <c r="D380" s="40" t="n">
        <f aca="false">MIN($C$3-C380,E379)</f>
        <v>2173.36138419763</v>
      </c>
      <c r="E380" s="40" t="n">
        <f aca="false">E379-D380</f>
        <v>634613.174200939</v>
      </c>
      <c r="F380" s="40" t="n">
        <f aca="false">H379*Annahmen!$B$39/12</f>
        <v>952.802913868529</v>
      </c>
      <c r="G380" s="40" t="n">
        <f aca="false">MIN($F$3-F380,H379)</f>
        <v>1653.86375279814</v>
      </c>
      <c r="H380" s="40" t="n">
        <f aca="false">H379-G380</f>
        <v>379467.301794614</v>
      </c>
      <c r="I380" s="40" t="n">
        <f aca="false">K379*Annahmen!$B$40/12</f>
        <v>3219.69591672608</v>
      </c>
      <c r="J380" s="40" t="n">
        <f aca="false">MIN($I$3-I380,K379)</f>
        <v>7233.79450795372</v>
      </c>
      <c r="K380" s="40" t="n">
        <f aca="false">K379-J380</f>
        <v>958674.980509869</v>
      </c>
      <c r="L380" s="40" t="n">
        <f aca="false">C380+F380+I380</f>
        <v>5499.13744639697</v>
      </c>
      <c r="M380" s="40" t="n">
        <f aca="false">D380+G380+J380</f>
        <v>11061.0196449495</v>
      </c>
      <c r="N380" s="40" t="n">
        <f aca="false">L380+M380</f>
        <v>16560.1570913465</v>
      </c>
      <c r="O380" s="40" t="n">
        <f aca="false">E380+H380+K380</f>
        <v>1972755.45650542</v>
      </c>
    </row>
    <row r="381" customFormat="false" ht="15" hidden="false" customHeight="false" outlineLevel="0" collapsed="false">
      <c r="A381" s="39" t="n">
        <v>375</v>
      </c>
      <c r="B381" s="39" t="n">
        <f aca="false">ROUNDUP(A381/12,0)</f>
        <v>32</v>
      </c>
      <c r="C381" s="40" t="n">
        <f aca="false">E380*Annahmen!$B$38/12</f>
        <v>1322.11077958529</v>
      </c>
      <c r="D381" s="40" t="n">
        <f aca="false">MIN($C$3-C381,E380)</f>
        <v>2177.88922041471</v>
      </c>
      <c r="E381" s="40" t="n">
        <f aca="false">E380-D381</f>
        <v>632435.284980524</v>
      </c>
      <c r="F381" s="40" t="n">
        <f aca="false">H380*Annahmen!$B$39/12</f>
        <v>948.668254486534</v>
      </c>
      <c r="G381" s="40" t="n">
        <f aca="false">MIN($F$3-F381,H380)</f>
        <v>1657.99841218013</v>
      </c>
      <c r="H381" s="40" t="n">
        <f aca="false">H380-G381</f>
        <v>377809.303382434</v>
      </c>
      <c r="I381" s="40" t="n">
        <f aca="false">K380*Annahmen!$B$40/12</f>
        <v>3195.58326836623</v>
      </c>
      <c r="J381" s="40" t="n">
        <f aca="false">MIN($I$3-I381,K380)</f>
        <v>7257.90715631357</v>
      </c>
      <c r="K381" s="40" t="n">
        <f aca="false">K380-J381</f>
        <v>951417.073353556</v>
      </c>
      <c r="L381" s="40" t="n">
        <f aca="false">C381+F381+I381</f>
        <v>5466.36230243805</v>
      </c>
      <c r="M381" s="40" t="n">
        <f aca="false">D381+G381+J381</f>
        <v>11093.7947889084</v>
      </c>
      <c r="N381" s="40" t="n">
        <f aca="false">L381+M381</f>
        <v>16560.1570913465</v>
      </c>
      <c r="O381" s="40" t="n">
        <f aca="false">E381+H381+K381</f>
        <v>1961661.66171651</v>
      </c>
    </row>
    <row r="382" customFormat="false" ht="15" hidden="false" customHeight="false" outlineLevel="0" collapsed="false">
      <c r="A382" s="39" t="n">
        <v>376</v>
      </c>
      <c r="B382" s="39" t="n">
        <f aca="false">ROUNDUP(A382/12,0)</f>
        <v>32</v>
      </c>
      <c r="C382" s="40" t="n">
        <f aca="false">E381*Annahmen!$B$38/12</f>
        <v>1317.57351037609</v>
      </c>
      <c r="D382" s="40" t="n">
        <f aca="false">MIN($C$3-C382,E381)</f>
        <v>2182.42648962391</v>
      </c>
      <c r="E382" s="40" t="n">
        <f aca="false">E381-D382</f>
        <v>630252.8584909</v>
      </c>
      <c r="F382" s="40" t="n">
        <f aca="false">H381*Annahmen!$B$39/12</f>
        <v>944.523258456084</v>
      </c>
      <c r="G382" s="40" t="n">
        <f aca="false">MIN($F$3-F382,H381)</f>
        <v>1662.14340821058</v>
      </c>
      <c r="H382" s="40" t="n">
        <f aca="false">H381-G382</f>
        <v>376147.159974223</v>
      </c>
      <c r="I382" s="40" t="n">
        <f aca="false">K381*Annahmen!$B$40/12</f>
        <v>3171.39024451185</v>
      </c>
      <c r="J382" s="40" t="n">
        <f aca="false">MIN($I$3-I382,K381)</f>
        <v>7282.10018016795</v>
      </c>
      <c r="K382" s="40" t="n">
        <f aca="false">K381-J382</f>
        <v>944134.973173388</v>
      </c>
      <c r="L382" s="40" t="n">
        <f aca="false">C382+F382+I382</f>
        <v>5433.48701334403</v>
      </c>
      <c r="M382" s="40" t="n">
        <f aca="false">D382+G382+J382</f>
        <v>11126.6700780024</v>
      </c>
      <c r="N382" s="40" t="n">
        <f aca="false">L382+M382</f>
        <v>16560.1570913465</v>
      </c>
      <c r="O382" s="40" t="n">
        <f aca="false">E382+H382+K382</f>
        <v>1950534.99163851</v>
      </c>
    </row>
    <row r="383" customFormat="false" ht="15" hidden="false" customHeight="false" outlineLevel="0" collapsed="false">
      <c r="A383" s="39" t="n">
        <v>377</v>
      </c>
      <c r="B383" s="39" t="n">
        <f aca="false">ROUNDUP(A383/12,0)</f>
        <v>32</v>
      </c>
      <c r="C383" s="40" t="n">
        <f aca="false">E382*Annahmen!$B$38/12</f>
        <v>1313.02678852271</v>
      </c>
      <c r="D383" s="40" t="n">
        <f aca="false">MIN($C$3-C383,E382)</f>
        <v>2186.97321147729</v>
      </c>
      <c r="E383" s="40" t="n">
        <f aca="false">E382-D383</f>
        <v>628065.885279423</v>
      </c>
      <c r="F383" s="40" t="n">
        <f aca="false">H382*Annahmen!$B$39/12</f>
        <v>940.367899935557</v>
      </c>
      <c r="G383" s="40" t="n">
        <f aca="false">MIN($F$3-F383,H382)</f>
        <v>1666.29876673111</v>
      </c>
      <c r="H383" s="40" t="n">
        <f aca="false">H382-G383</f>
        <v>374480.861207492</v>
      </c>
      <c r="I383" s="40" t="n">
        <f aca="false">K382*Annahmen!$B$40/12</f>
        <v>3147.11657724463</v>
      </c>
      <c r="J383" s="40" t="n">
        <f aca="false">MIN($I$3-I383,K382)</f>
        <v>7306.37384743518</v>
      </c>
      <c r="K383" s="40" t="n">
        <f aca="false">K382-J383</f>
        <v>936828.599325953</v>
      </c>
      <c r="L383" s="40" t="n">
        <f aca="false">C383+F383+I383</f>
        <v>5400.51126570289</v>
      </c>
      <c r="M383" s="40" t="n">
        <f aca="false">D383+G383+J383</f>
        <v>11159.6458256436</v>
      </c>
      <c r="N383" s="40" t="n">
        <f aca="false">L383+M383</f>
        <v>16560.1570913465</v>
      </c>
      <c r="O383" s="40" t="n">
        <f aca="false">E383+H383+K383</f>
        <v>1939375.34581287</v>
      </c>
    </row>
    <row r="384" customFormat="false" ht="15" hidden="false" customHeight="false" outlineLevel="0" collapsed="false">
      <c r="A384" s="39" t="n">
        <v>378</v>
      </c>
      <c r="B384" s="39" t="n">
        <f aca="false">ROUNDUP(A384/12,0)</f>
        <v>32</v>
      </c>
      <c r="C384" s="40" t="n">
        <f aca="false">E383*Annahmen!$B$38/12</f>
        <v>1308.47059433213</v>
      </c>
      <c r="D384" s="40" t="n">
        <f aca="false">MIN($C$3-C384,E383)</f>
        <v>2191.52940566787</v>
      </c>
      <c r="E384" s="40" t="n">
        <f aca="false">E383-D384</f>
        <v>625874.355873755</v>
      </c>
      <c r="F384" s="40" t="n">
        <f aca="false">H383*Annahmen!$B$39/12</f>
        <v>936.202153018729</v>
      </c>
      <c r="G384" s="40" t="n">
        <f aca="false">MIN($F$3-F384,H383)</f>
        <v>1670.46451364794</v>
      </c>
      <c r="H384" s="40" t="n">
        <f aca="false">H383-G384</f>
        <v>372810.396693844</v>
      </c>
      <c r="I384" s="40" t="n">
        <f aca="false">K383*Annahmen!$B$40/12</f>
        <v>3122.76199775318</v>
      </c>
      <c r="J384" s="40" t="n">
        <f aca="false">MIN($I$3-I384,K383)</f>
        <v>7330.72842692663</v>
      </c>
      <c r="K384" s="40" t="n">
        <f aca="false">K383-J384</f>
        <v>929497.870899026</v>
      </c>
      <c r="L384" s="40" t="n">
        <f aca="false">C384+F384+I384</f>
        <v>5367.43474510404</v>
      </c>
      <c r="M384" s="40" t="n">
        <f aca="false">D384+G384+J384</f>
        <v>11192.7223462424</v>
      </c>
      <c r="N384" s="40" t="n">
        <f aca="false">L384+M384</f>
        <v>16560.1570913465</v>
      </c>
      <c r="O384" s="40" t="n">
        <f aca="false">E384+H384+K384</f>
        <v>1928182.62346662</v>
      </c>
    </row>
    <row r="385" customFormat="false" ht="15" hidden="false" customHeight="false" outlineLevel="0" collapsed="false">
      <c r="A385" s="39" t="n">
        <v>379</v>
      </c>
      <c r="B385" s="39" t="n">
        <f aca="false">ROUNDUP(A385/12,0)</f>
        <v>32</v>
      </c>
      <c r="C385" s="40" t="n">
        <f aca="false">E384*Annahmen!$B$38/12</f>
        <v>1303.90490807032</v>
      </c>
      <c r="D385" s="40" t="n">
        <f aca="false">MIN($C$3-C385,E384)</f>
        <v>2196.09509192968</v>
      </c>
      <c r="E385" s="40" t="n">
        <f aca="false">E384-D385</f>
        <v>623678.260781825</v>
      </c>
      <c r="F385" s="40" t="n">
        <f aca="false">H384*Annahmen!$B$39/12</f>
        <v>932.025991734609</v>
      </c>
      <c r="G385" s="40" t="n">
        <f aca="false">MIN($F$3-F385,H384)</f>
        <v>1674.64067493206</v>
      </c>
      <c r="H385" s="40" t="n">
        <f aca="false">H384-G385</f>
        <v>371135.756018912</v>
      </c>
      <c r="I385" s="40" t="n">
        <f aca="false">K384*Annahmen!$B$40/12</f>
        <v>3098.32623633009</v>
      </c>
      <c r="J385" s="40" t="n">
        <f aca="false">MIN($I$3-I385,K384)</f>
        <v>7355.16418834971</v>
      </c>
      <c r="K385" s="40" t="n">
        <f aca="false">K384-J385</f>
        <v>922142.706710676</v>
      </c>
      <c r="L385" s="40" t="n">
        <f aca="false">C385+F385+I385</f>
        <v>5334.25713613502</v>
      </c>
      <c r="M385" s="40" t="n">
        <f aca="false">D385+G385+J385</f>
        <v>11225.8999552114</v>
      </c>
      <c r="N385" s="40" t="n">
        <f aca="false">L385+M385</f>
        <v>16560.1570913465</v>
      </c>
      <c r="O385" s="40" t="n">
        <f aca="false">E385+H385+K385</f>
        <v>1916956.72351141</v>
      </c>
    </row>
    <row r="386" customFormat="false" ht="15" hidden="false" customHeight="false" outlineLevel="0" collapsed="false">
      <c r="A386" s="39" t="n">
        <v>380</v>
      </c>
      <c r="B386" s="39" t="n">
        <f aca="false">ROUNDUP(A386/12,0)</f>
        <v>32</v>
      </c>
      <c r="C386" s="40" t="n">
        <f aca="false">E385*Annahmen!$B$38/12</f>
        <v>1299.32970996214</v>
      </c>
      <c r="D386" s="40" t="n">
        <f aca="false">MIN($C$3-C386,E385)</f>
        <v>2200.67029003786</v>
      </c>
      <c r="E386" s="40" t="n">
        <f aca="false">E385-D386</f>
        <v>621477.590491787</v>
      </c>
      <c r="F386" s="40" t="n">
        <f aca="false">H385*Annahmen!$B$39/12</f>
        <v>927.839390047279</v>
      </c>
      <c r="G386" s="40" t="n">
        <f aca="false">MIN($F$3-F386,H385)</f>
        <v>1678.82727661939</v>
      </c>
      <c r="H386" s="40" t="n">
        <f aca="false">H385-G386</f>
        <v>369456.928742292</v>
      </c>
      <c r="I386" s="40" t="n">
        <f aca="false">K385*Annahmen!$B$40/12</f>
        <v>3073.80902236892</v>
      </c>
      <c r="J386" s="40" t="n">
        <f aca="false">MIN($I$3-I386,K385)</f>
        <v>7379.68140231088</v>
      </c>
      <c r="K386" s="40" t="n">
        <f aca="false">K385-J386</f>
        <v>914763.025308366</v>
      </c>
      <c r="L386" s="40" t="n">
        <f aca="false">C386+F386+I386</f>
        <v>5300.97812237834</v>
      </c>
      <c r="M386" s="40" t="n">
        <f aca="false">D386+G386+J386</f>
        <v>11259.1789689681</v>
      </c>
      <c r="N386" s="40" t="n">
        <f aca="false">L386+M386</f>
        <v>16560.1570913465</v>
      </c>
      <c r="O386" s="40" t="n">
        <f aca="false">E386+H386+K386</f>
        <v>1905697.54454245</v>
      </c>
    </row>
    <row r="387" customFormat="false" ht="15" hidden="false" customHeight="false" outlineLevel="0" collapsed="false">
      <c r="A387" s="39" t="n">
        <v>381</v>
      </c>
      <c r="B387" s="39" t="n">
        <f aca="false">ROUNDUP(A387/12,0)</f>
        <v>32</v>
      </c>
      <c r="C387" s="40" t="n">
        <f aca="false">E386*Annahmen!$B$38/12</f>
        <v>1294.74498019122</v>
      </c>
      <c r="D387" s="40" t="n">
        <f aca="false">MIN($C$3-C387,E386)</f>
        <v>2205.25501980878</v>
      </c>
      <c r="E387" s="40" t="n">
        <f aca="false">E386-D387</f>
        <v>619272.335471978</v>
      </c>
      <c r="F387" s="40" t="n">
        <f aca="false">H386*Annahmen!$B$39/12</f>
        <v>923.642321855731</v>
      </c>
      <c r="G387" s="40" t="n">
        <f aca="false">MIN($F$3-F387,H386)</f>
        <v>1683.02434481093</v>
      </c>
      <c r="H387" s="40" t="n">
        <f aca="false">H386-G387</f>
        <v>367773.904397481</v>
      </c>
      <c r="I387" s="40" t="n">
        <f aca="false">K386*Annahmen!$B$40/12</f>
        <v>3049.21008436122</v>
      </c>
      <c r="J387" s="40" t="n">
        <f aca="false">MIN($I$3-I387,K386)</f>
        <v>7404.28034031858</v>
      </c>
      <c r="K387" s="40" t="n">
        <f aca="false">K386-J387</f>
        <v>907358.744968047</v>
      </c>
      <c r="L387" s="40" t="n">
        <f aca="false">C387+F387+I387</f>
        <v>5267.59738640817</v>
      </c>
      <c r="M387" s="40" t="n">
        <f aca="false">D387+G387+J387</f>
        <v>11292.5597049383</v>
      </c>
      <c r="N387" s="40" t="n">
        <f aca="false">L387+M387</f>
        <v>16560.1570913465</v>
      </c>
      <c r="O387" s="40" t="n">
        <f aca="false">E387+H387+K387</f>
        <v>1894404.98483751</v>
      </c>
    </row>
    <row r="388" customFormat="false" ht="15" hidden="false" customHeight="false" outlineLevel="0" collapsed="false">
      <c r="A388" s="39" t="n">
        <v>382</v>
      </c>
      <c r="B388" s="39" t="n">
        <f aca="false">ROUNDUP(A388/12,0)</f>
        <v>32</v>
      </c>
      <c r="C388" s="40" t="n">
        <f aca="false">E387*Annahmen!$B$38/12</f>
        <v>1290.15069889996</v>
      </c>
      <c r="D388" s="40" t="n">
        <f aca="false">MIN($C$3-C388,E387)</f>
        <v>2209.84930110004</v>
      </c>
      <c r="E388" s="40" t="n">
        <f aca="false">E387-D388</f>
        <v>617062.486170878</v>
      </c>
      <c r="F388" s="40" t="n">
        <f aca="false">H387*Annahmen!$B$39/12</f>
        <v>919.434760993704</v>
      </c>
      <c r="G388" s="40" t="n">
        <f aca="false">MIN($F$3-F388,H387)</f>
        <v>1687.23190567296</v>
      </c>
      <c r="H388" s="40" t="n">
        <f aca="false">H387-G388</f>
        <v>366086.672491809</v>
      </c>
      <c r="I388" s="40" t="n">
        <f aca="false">K387*Annahmen!$B$40/12</f>
        <v>3024.52914989349</v>
      </c>
      <c r="J388" s="40" t="n">
        <f aca="false">MIN($I$3-I388,K387)</f>
        <v>7428.96127478631</v>
      </c>
      <c r="K388" s="40" t="n">
        <f aca="false">K387-J388</f>
        <v>899929.783693261</v>
      </c>
      <c r="L388" s="40" t="n">
        <f aca="false">C388+F388+I388</f>
        <v>5234.11460978715</v>
      </c>
      <c r="M388" s="40" t="n">
        <f aca="false">D388+G388+J388</f>
        <v>11326.0424815593</v>
      </c>
      <c r="N388" s="40" t="n">
        <f aca="false">L388+M388</f>
        <v>16560.1570913465</v>
      </c>
      <c r="O388" s="40" t="n">
        <f aca="false">E388+H388+K388</f>
        <v>1883078.94235595</v>
      </c>
    </row>
    <row r="389" customFormat="false" ht="15" hidden="false" customHeight="false" outlineLevel="0" collapsed="false">
      <c r="A389" s="39" t="n">
        <v>383</v>
      </c>
      <c r="B389" s="39" t="n">
        <f aca="false">ROUNDUP(A389/12,0)</f>
        <v>32</v>
      </c>
      <c r="C389" s="40" t="n">
        <f aca="false">E388*Annahmen!$B$38/12</f>
        <v>1285.54684618933</v>
      </c>
      <c r="D389" s="40" t="n">
        <f aca="false">MIN($C$3-C389,E388)</f>
        <v>2214.45315381067</v>
      </c>
      <c r="E389" s="40" t="n">
        <f aca="false">E388-D389</f>
        <v>614848.033017068</v>
      </c>
      <c r="F389" s="40" t="n">
        <f aca="false">H388*Annahmen!$B$39/12</f>
        <v>915.216681229521</v>
      </c>
      <c r="G389" s="40" t="n">
        <f aca="false">MIN($F$3-F389,H388)</f>
        <v>1691.44998543714</v>
      </c>
      <c r="H389" s="40" t="n">
        <f aca="false">H388-G389</f>
        <v>364395.222506371</v>
      </c>
      <c r="I389" s="40" t="n">
        <f aca="false">K388*Annahmen!$B$40/12</f>
        <v>2999.7659456442</v>
      </c>
      <c r="J389" s="40" t="n">
        <f aca="false">MIN($I$3-I389,K388)</f>
        <v>7453.7244790356</v>
      </c>
      <c r="K389" s="40" t="n">
        <f aca="false">K388-J389</f>
        <v>892476.059214225</v>
      </c>
      <c r="L389" s="40" t="n">
        <f aca="false">C389+F389+I389</f>
        <v>5200.52947306305</v>
      </c>
      <c r="M389" s="40" t="n">
        <f aca="false">D389+G389+J389</f>
        <v>11359.6276182834</v>
      </c>
      <c r="N389" s="40" t="n">
        <f aca="false">L389+M389</f>
        <v>16560.1570913465</v>
      </c>
      <c r="O389" s="40" t="n">
        <f aca="false">E389+H389+K389</f>
        <v>1871719.31473766</v>
      </c>
    </row>
    <row r="390" customFormat="false" ht="15" hidden="false" customHeight="false" outlineLevel="0" collapsed="false">
      <c r="A390" s="39" t="n">
        <v>384</v>
      </c>
      <c r="B390" s="39" t="n">
        <f aca="false">ROUNDUP(A390/12,0)</f>
        <v>32</v>
      </c>
      <c r="C390" s="40" t="n">
        <f aca="false">E389*Annahmen!$B$38/12</f>
        <v>1280.93340211889</v>
      </c>
      <c r="D390" s="40" t="n">
        <f aca="false">MIN($C$3-C390,E389)</f>
        <v>2219.06659788111</v>
      </c>
      <c r="E390" s="40" t="n">
        <f aca="false">E389-D390</f>
        <v>612628.966419187</v>
      </c>
      <c r="F390" s="40" t="n">
        <f aca="false">H389*Annahmen!$B$39/12</f>
        <v>910.988056265928</v>
      </c>
      <c r="G390" s="40" t="n">
        <f aca="false">MIN($F$3-F390,H389)</f>
        <v>1695.67861040074</v>
      </c>
      <c r="H390" s="40" t="n">
        <f aca="false">H389-G390</f>
        <v>362699.543895971</v>
      </c>
      <c r="I390" s="40" t="n">
        <f aca="false">K389*Annahmen!$B$40/12</f>
        <v>2974.92019738075</v>
      </c>
      <c r="J390" s="40" t="n">
        <f aca="false">MIN($I$3-I390,K389)</f>
        <v>7478.57022729905</v>
      </c>
      <c r="K390" s="40" t="n">
        <f aca="false">K389-J390</f>
        <v>884997.488986926</v>
      </c>
      <c r="L390" s="40" t="n">
        <f aca="false">C390+F390+I390</f>
        <v>5166.84165576557</v>
      </c>
      <c r="M390" s="40" t="n">
        <f aca="false">D390+G390+J390</f>
        <v>11393.3154355809</v>
      </c>
      <c r="N390" s="40" t="n">
        <f aca="false">L390+M390</f>
        <v>16560.1570913465</v>
      </c>
      <c r="O390" s="40" t="n">
        <f aca="false">E390+H390+K390</f>
        <v>1860325.99930208</v>
      </c>
    </row>
    <row r="391" customFormat="false" ht="15" hidden="false" customHeight="false" outlineLevel="0" collapsed="false">
      <c r="A391" s="39" t="n">
        <v>385</v>
      </c>
      <c r="B391" s="39" t="n">
        <f aca="false">ROUNDUP(A391/12,0)</f>
        <v>33</v>
      </c>
      <c r="C391" s="40" t="n">
        <f aca="false">E390*Annahmen!$B$38/12</f>
        <v>1276.31034670664</v>
      </c>
      <c r="D391" s="40" t="n">
        <f aca="false">MIN($C$3-C391,E390)</f>
        <v>2223.68965329336</v>
      </c>
      <c r="E391" s="40" t="n">
        <f aca="false">E390-D391</f>
        <v>610405.276765893</v>
      </c>
      <c r="F391" s="40" t="n">
        <f aca="false">H390*Annahmen!$B$39/12</f>
        <v>906.748859739926</v>
      </c>
      <c r="G391" s="40" t="n">
        <f aca="false">MIN($F$3-F391,H390)</f>
        <v>1699.91780692674</v>
      </c>
      <c r="H391" s="40" t="n">
        <f aca="false">H390-G391</f>
        <v>360999.626089044</v>
      </c>
      <c r="I391" s="40" t="n">
        <f aca="false">K390*Annahmen!$B$40/12</f>
        <v>2949.99162995642</v>
      </c>
      <c r="J391" s="40" t="n">
        <f aca="false">MIN($I$3-I391,K390)</f>
        <v>7503.49879472338</v>
      </c>
      <c r="K391" s="40" t="n">
        <f aca="false">K390-J391</f>
        <v>877493.990192203</v>
      </c>
      <c r="L391" s="40" t="n">
        <f aca="false">C391+F391+I391</f>
        <v>5133.05083640299</v>
      </c>
      <c r="M391" s="40" t="n">
        <f aca="false">D391+G391+J391</f>
        <v>11427.1062549435</v>
      </c>
      <c r="N391" s="40" t="n">
        <f aca="false">L391+M391</f>
        <v>16560.1570913465</v>
      </c>
      <c r="O391" s="40" t="n">
        <f aca="false">E391+H391+K391</f>
        <v>1848898.89304714</v>
      </c>
    </row>
    <row r="392" customFormat="false" ht="15" hidden="false" customHeight="false" outlineLevel="0" collapsed="false">
      <c r="A392" s="39" t="n">
        <v>386</v>
      </c>
      <c r="B392" s="39" t="n">
        <f aca="false">ROUNDUP(A392/12,0)</f>
        <v>33</v>
      </c>
      <c r="C392" s="40" t="n">
        <f aca="false">E391*Annahmen!$B$38/12</f>
        <v>1271.67765992894</v>
      </c>
      <c r="D392" s="40" t="n">
        <f aca="false">MIN($C$3-C392,E391)</f>
        <v>2228.32234007105</v>
      </c>
      <c r="E392" s="40" t="n">
        <f aca="false">E391-D392</f>
        <v>608176.954425822</v>
      </c>
      <c r="F392" s="40" t="n">
        <f aca="false">H391*Annahmen!$B$39/12</f>
        <v>902.499065222609</v>
      </c>
      <c r="G392" s="40" t="n">
        <f aca="false">MIN($F$3-F392,H391)</f>
        <v>1704.16760144406</v>
      </c>
      <c r="H392" s="40" t="n">
        <f aca="false">H391-G392</f>
        <v>359295.4584876</v>
      </c>
      <c r="I392" s="40" t="n">
        <f aca="false">K391*Annahmen!$B$40/12</f>
        <v>2924.97996730734</v>
      </c>
      <c r="J392" s="40" t="n">
        <f aca="false">MIN($I$3-I392,K391)</f>
        <v>7528.51045737246</v>
      </c>
      <c r="K392" s="40" t="n">
        <f aca="false">K391-J392</f>
        <v>869965.47973483</v>
      </c>
      <c r="L392" s="40" t="n">
        <f aca="false">C392+F392+I392</f>
        <v>5099.1566924589</v>
      </c>
      <c r="M392" s="40" t="n">
        <f aca="false">D392+G392+J392</f>
        <v>11461.0003988876</v>
      </c>
      <c r="N392" s="40" t="n">
        <f aca="false">L392+M392</f>
        <v>16560.1570913465</v>
      </c>
      <c r="O392" s="40" t="n">
        <f aca="false">E392+H392+K392</f>
        <v>1837437.89264825</v>
      </c>
    </row>
    <row r="393" customFormat="false" ht="15" hidden="false" customHeight="false" outlineLevel="0" collapsed="false">
      <c r="A393" s="39" t="n">
        <v>387</v>
      </c>
      <c r="B393" s="39" t="n">
        <f aca="false">ROUNDUP(A393/12,0)</f>
        <v>33</v>
      </c>
      <c r="C393" s="40" t="n">
        <f aca="false">E392*Annahmen!$B$38/12</f>
        <v>1267.03532172046</v>
      </c>
      <c r="D393" s="40" t="n">
        <f aca="false">MIN($C$3-C393,E392)</f>
        <v>2232.96467827954</v>
      </c>
      <c r="E393" s="40" t="n">
        <f aca="false">E392-D393</f>
        <v>605943.989747543</v>
      </c>
      <c r="F393" s="40" t="n">
        <f aca="false">H392*Annahmen!$B$39/12</f>
        <v>898.238646218999</v>
      </c>
      <c r="G393" s="40" t="n">
        <f aca="false">MIN($F$3-F393,H392)</f>
        <v>1708.42802044767</v>
      </c>
      <c r="H393" s="40" t="n">
        <f aca="false">H392-G393</f>
        <v>357587.030467152</v>
      </c>
      <c r="I393" s="40" t="n">
        <f aca="false">K392*Annahmen!$B$40/12</f>
        <v>2899.88493244943</v>
      </c>
      <c r="J393" s="40" t="n">
        <f aca="false">MIN($I$3-I393,K392)</f>
        <v>7553.60549223037</v>
      </c>
      <c r="K393" s="40" t="n">
        <f aca="false">K392-J393</f>
        <v>862411.8742426</v>
      </c>
      <c r="L393" s="40" t="n">
        <f aca="false">C393+F393+I393</f>
        <v>5065.1589003889</v>
      </c>
      <c r="M393" s="40" t="n">
        <f aca="false">D393+G393+J393</f>
        <v>11494.9981909576</v>
      </c>
      <c r="N393" s="40" t="n">
        <f aca="false">L393+M393</f>
        <v>16560.1570913465</v>
      </c>
      <c r="O393" s="40" t="n">
        <f aca="false">E393+H393+K393</f>
        <v>1825942.89445729</v>
      </c>
    </row>
    <row r="394" customFormat="false" ht="15" hidden="false" customHeight="false" outlineLevel="0" collapsed="false">
      <c r="A394" s="39" t="n">
        <v>388</v>
      </c>
      <c r="B394" s="39" t="n">
        <f aca="false">ROUNDUP(A394/12,0)</f>
        <v>33</v>
      </c>
      <c r="C394" s="40" t="n">
        <f aca="false">E393*Annahmen!$B$38/12</f>
        <v>1262.38331197405</v>
      </c>
      <c r="D394" s="40" t="n">
        <f aca="false">MIN($C$3-C394,E393)</f>
        <v>2237.61668802595</v>
      </c>
      <c r="E394" s="40" t="n">
        <f aca="false">E393-D394</f>
        <v>603706.373059517</v>
      </c>
      <c r="F394" s="40" t="n">
        <f aca="false">H393*Annahmen!$B$39/12</f>
        <v>893.96757616788</v>
      </c>
      <c r="G394" s="40" t="n">
        <f aca="false">MIN($F$3-F394,H393)</f>
        <v>1712.69909049879</v>
      </c>
      <c r="H394" s="40" t="n">
        <f aca="false">H393-G394</f>
        <v>355874.331376653</v>
      </c>
      <c r="I394" s="40" t="n">
        <f aca="false">K393*Annahmen!$B$40/12</f>
        <v>2874.70624747533</v>
      </c>
      <c r="J394" s="40" t="n">
        <f aca="false">MIN($I$3-I394,K393)</f>
        <v>7578.78417720447</v>
      </c>
      <c r="K394" s="40" t="n">
        <f aca="false">K393-J394</f>
        <v>854833.090065395</v>
      </c>
      <c r="L394" s="40" t="n">
        <f aca="false">C394+F394+I394</f>
        <v>5031.05713561726</v>
      </c>
      <c r="M394" s="40" t="n">
        <f aca="false">D394+G394+J394</f>
        <v>11529.0999557292</v>
      </c>
      <c r="N394" s="40" t="n">
        <f aca="false">L394+M394</f>
        <v>16560.1570913465</v>
      </c>
      <c r="O394" s="40" t="n">
        <f aca="false">E394+H394+K394</f>
        <v>1814413.79450157</v>
      </c>
    </row>
    <row r="395" customFormat="false" ht="15" hidden="false" customHeight="false" outlineLevel="0" collapsed="false">
      <c r="A395" s="39" t="n">
        <v>389</v>
      </c>
      <c r="B395" s="39" t="n">
        <f aca="false">ROUNDUP(A395/12,0)</f>
        <v>33</v>
      </c>
      <c r="C395" s="40" t="n">
        <f aca="false">E394*Annahmen!$B$38/12</f>
        <v>1257.72161054066</v>
      </c>
      <c r="D395" s="40" t="n">
        <f aca="false">MIN($C$3-C395,E394)</f>
        <v>2242.27838945934</v>
      </c>
      <c r="E395" s="40" t="n">
        <f aca="false">E394-D395</f>
        <v>601464.094670057</v>
      </c>
      <c r="F395" s="40" t="n">
        <f aca="false">H394*Annahmen!$B$39/12</f>
        <v>889.685828441633</v>
      </c>
      <c r="G395" s="40" t="n">
        <f aca="false">MIN($F$3-F395,H394)</f>
        <v>1716.98083822503</v>
      </c>
      <c r="H395" s="40" t="n">
        <f aca="false">H394-G395</f>
        <v>354157.350538428</v>
      </c>
      <c r="I395" s="40" t="n">
        <f aca="false">K394*Annahmen!$B$40/12</f>
        <v>2849.44363355132</v>
      </c>
      <c r="J395" s="40" t="n">
        <f aca="false">MIN($I$3-I395,K394)</f>
        <v>7604.04679112848</v>
      </c>
      <c r="K395" s="40" t="n">
        <f aca="false">K394-J395</f>
        <v>847229.043274267</v>
      </c>
      <c r="L395" s="40" t="n">
        <f aca="false">C395+F395+I395</f>
        <v>4996.85107253361</v>
      </c>
      <c r="M395" s="40" t="n">
        <f aca="false">D395+G395+J395</f>
        <v>11563.3060188129</v>
      </c>
      <c r="N395" s="40" t="n">
        <f aca="false">L395+M395</f>
        <v>16560.1570913465</v>
      </c>
      <c r="O395" s="40" t="n">
        <f aca="false">E395+H395+K395</f>
        <v>1802850.48848275</v>
      </c>
    </row>
    <row r="396" customFormat="false" ht="15" hidden="false" customHeight="false" outlineLevel="0" collapsed="false">
      <c r="A396" s="39" t="n">
        <v>390</v>
      </c>
      <c r="B396" s="39" t="n">
        <f aca="false">ROUNDUP(A396/12,0)</f>
        <v>33</v>
      </c>
      <c r="C396" s="40" t="n">
        <f aca="false">E395*Annahmen!$B$38/12</f>
        <v>1253.05019722929</v>
      </c>
      <c r="D396" s="40" t="n">
        <f aca="false">MIN($C$3-C396,E395)</f>
        <v>2246.94980277071</v>
      </c>
      <c r="E396" s="40" t="n">
        <f aca="false">E395-D396</f>
        <v>599217.144867286</v>
      </c>
      <c r="F396" s="40" t="n">
        <f aca="false">H395*Annahmen!$B$39/12</f>
        <v>885.393376346071</v>
      </c>
      <c r="G396" s="40" t="n">
        <f aca="false">MIN($F$3-F396,H395)</f>
        <v>1721.2732903206</v>
      </c>
      <c r="H396" s="40" t="n">
        <f aca="false">H395-G396</f>
        <v>352436.077248108</v>
      </c>
      <c r="I396" s="40" t="n">
        <f aca="false">K395*Annahmen!$B$40/12</f>
        <v>2824.09681091422</v>
      </c>
      <c r="J396" s="40" t="n">
        <f aca="false">MIN($I$3-I396,K395)</f>
        <v>7629.39361376558</v>
      </c>
      <c r="K396" s="40" t="n">
        <f aca="false">K395-J396</f>
        <v>839599.649660501</v>
      </c>
      <c r="L396" s="40" t="n">
        <f aca="false">C396+F396+I396</f>
        <v>4962.54038448958</v>
      </c>
      <c r="M396" s="40" t="n">
        <f aca="false">D396+G396+J396</f>
        <v>11597.6167068569</v>
      </c>
      <c r="N396" s="40" t="n">
        <f aca="false">L396+M396</f>
        <v>16560.1570913465</v>
      </c>
      <c r="O396" s="40" t="n">
        <f aca="false">E396+H396+K396</f>
        <v>1791252.8717759</v>
      </c>
    </row>
    <row r="397" customFormat="false" ht="15" hidden="false" customHeight="false" outlineLevel="0" collapsed="false">
      <c r="A397" s="39" t="n">
        <v>391</v>
      </c>
      <c r="B397" s="39" t="n">
        <f aca="false">ROUNDUP(A397/12,0)</f>
        <v>33</v>
      </c>
      <c r="C397" s="40" t="n">
        <f aca="false">E396*Annahmen!$B$38/12</f>
        <v>1248.36905180685</v>
      </c>
      <c r="D397" s="40" t="n">
        <f aca="false">MIN($C$3-C397,E396)</f>
        <v>2251.63094819315</v>
      </c>
      <c r="E397" s="40" t="n">
        <f aca="false">E396-D397</f>
        <v>596965.513919093</v>
      </c>
      <c r="F397" s="40" t="n">
        <f aca="false">H396*Annahmen!$B$39/12</f>
        <v>881.090193120269</v>
      </c>
      <c r="G397" s="40" t="n">
        <f aca="false">MIN($F$3-F397,H396)</f>
        <v>1725.5764735464</v>
      </c>
      <c r="H397" s="40" t="n">
        <f aca="false">H396-G397</f>
        <v>350710.500774561</v>
      </c>
      <c r="I397" s="40" t="n">
        <f aca="false">K396*Annahmen!$B$40/12</f>
        <v>2798.66549886834</v>
      </c>
      <c r="J397" s="40" t="n">
        <f aca="false">MIN($I$3-I397,K396)</f>
        <v>7654.82492581146</v>
      </c>
      <c r="K397" s="40" t="n">
        <f aca="false">K396-J397</f>
        <v>831944.82473469</v>
      </c>
      <c r="L397" s="40" t="n">
        <f aca="false">C397+F397+I397</f>
        <v>4928.12474379545</v>
      </c>
      <c r="M397" s="40" t="n">
        <f aca="false">D397+G397+J397</f>
        <v>11632.032347551</v>
      </c>
      <c r="N397" s="40" t="n">
        <f aca="false">L397+M397</f>
        <v>16560.1570913465</v>
      </c>
      <c r="O397" s="40" t="n">
        <f aca="false">E397+H397+K397</f>
        <v>1779620.83942834</v>
      </c>
    </row>
    <row r="398" customFormat="false" ht="15" hidden="false" customHeight="false" outlineLevel="0" collapsed="false">
      <c r="A398" s="39" t="n">
        <v>392</v>
      </c>
      <c r="B398" s="39" t="n">
        <f aca="false">ROUNDUP(A398/12,0)</f>
        <v>33</v>
      </c>
      <c r="C398" s="40" t="n">
        <f aca="false">E397*Annahmen!$B$38/12</f>
        <v>1243.67815399811</v>
      </c>
      <c r="D398" s="40" t="n">
        <f aca="false">MIN($C$3-C398,E397)</f>
        <v>2256.32184600189</v>
      </c>
      <c r="E398" s="40" t="n">
        <f aca="false">E397-D398</f>
        <v>594709.192073091</v>
      </c>
      <c r="F398" s="40" t="n">
        <f aca="false">H397*Annahmen!$B$39/12</f>
        <v>876.776251936403</v>
      </c>
      <c r="G398" s="40" t="n">
        <f aca="false">MIN($F$3-F398,H397)</f>
        <v>1729.89041473026</v>
      </c>
      <c r="H398" s="40" t="n">
        <f aca="false">H397-G398</f>
        <v>348980.610359831</v>
      </c>
      <c r="I398" s="40" t="n">
        <f aca="false">K397*Annahmen!$B$40/12</f>
        <v>2773.1494157823</v>
      </c>
      <c r="J398" s="40" t="n">
        <f aca="false">MIN($I$3-I398,K397)</f>
        <v>7680.3410088975</v>
      </c>
      <c r="K398" s="40" t="n">
        <f aca="false">K397-J398</f>
        <v>824264.483725792</v>
      </c>
      <c r="L398" s="40" t="n">
        <f aca="false">C398+F398+I398</f>
        <v>4893.60382171681</v>
      </c>
      <c r="M398" s="40" t="n">
        <f aca="false">D398+G398+J398</f>
        <v>11666.5532696297</v>
      </c>
      <c r="N398" s="40" t="n">
        <f aca="false">L398+M398</f>
        <v>16560.1570913465</v>
      </c>
      <c r="O398" s="40" t="n">
        <f aca="false">E398+H398+K398</f>
        <v>1767954.28615871</v>
      </c>
    </row>
    <row r="399" customFormat="false" ht="15" hidden="false" customHeight="false" outlineLevel="0" collapsed="false">
      <c r="A399" s="39" t="n">
        <v>393</v>
      </c>
      <c r="B399" s="39" t="n">
        <f aca="false">ROUNDUP(A399/12,0)</f>
        <v>33</v>
      </c>
      <c r="C399" s="40" t="n">
        <f aca="false">E398*Annahmen!$B$38/12</f>
        <v>1238.97748348561</v>
      </c>
      <c r="D399" s="40" t="n">
        <f aca="false">MIN($C$3-C399,E398)</f>
        <v>2261.02251651439</v>
      </c>
      <c r="E399" s="40" t="n">
        <f aca="false">E398-D399</f>
        <v>592448.169556577</v>
      </c>
      <c r="F399" s="40" t="n">
        <f aca="false">H398*Annahmen!$B$39/12</f>
        <v>872.451525899578</v>
      </c>
      <c r="G399" s="40" t="n">
        <f aca="false">MIN($F$3-F399,H398)</f>
        <v>1734.21514076709</v>
      </c>
      <c r="H399" s="40" t="n">
        <f aca="false">H398-G399</f>
        <v>347246.395219064</v>
      </c>
      <c r="I399" s="40" t="n">
        <f aca="false">K398*Annahmen!$B$40/12</f>
        <v>2747.54827908597</v>
      </c>
      <c r="J399" s="40" t="n">
        <f aca="false">MIN($I$3-I399,K398)</f>
        <v>7705.94214559383</v>
      </c>
      <c r="K399" s="40" t="n">
        <f aca="false">K398-J399</f>
        <v>816558.541580198</v>
      </c>
      <c r="L399" s="40" t="n">
        <f aca="false">C399+F399+I399</f>
        <v>4858.97728847116</v>
      </c>
      <c r="M399" s="40" t="n">
        <f aca="false">D399+G399+J399</f>
        <v>11701.1798028753</v>
      </c>
      <c r="N399" s="40" t="n">
        <f aca="false">L399+M399</f>
        <v>16560.1570913465</v>
      </c>
      <c r="O399" s="40" t="n">
        <f aca="false">E399+H399+K399</f>
        <v>1756253.10635584</v>
      </c>
    </row>
    <row r="400" customFormat="false" ht="15" hidden="false" customHeight="false" outlineLevel="0" collapsed="false">
      <c r="A400" s="39" t="n">
        <v>394</v>
      </c>
      <c r="B400" s="39" t="n">
        <f aca="false">ROUNDUP(A400/12,0)</f>
        <v>33</v>
      </c>
      <c r="C400" s="40" t="n">
        <f aca="false">E399*Annahmen!$B$38/12</f>
        <v>1234.26701990954</v>
      </c>
      <c r="D400" s="40" t="n">
        <f aca="false">MIN($C$3-C400,E399)</f>
        <v>2265.73298009046</v>
      </c>
      <c r="E400" s="40" t="n">
        <f aca="false">E399-D400</f>
        <v>590182.436576487</v>
      </c>
      <c r="F400" s="40" t="n">
        <f aca="false">H399*Annahmen!$B$39/12</f>
        <v>868.11598804766</v>
      </c>
      <c r="G400" s="40" t="n">
        <f aca="false">MIN($F$3-F400,H399)</f>
        <v>1738.55067861901</v>
      </c>
      <c r="H400" s="40" t="n">
        <f aca="false">H399-G400</f>
        <v>345507.844540445</v>
      </c>
      <c r="I400" s="40" t="n">
        <f aca="false">K399*Annahmen!$B$40/12</f>
        <v>2721.86180526733</v>
      </c>
      <c r="J400" s="40" t="n">
        <f aca="false">MIN($I$3-I400,K399)</f>
        <v>7731.62861941247</v>
      </c>
      <c r="K400" s="40" t="n">
        <f aca="false">K399-J400</f>
        <v>808826.912960786</v>
      </c>
      <c r="L400" s="40" t="n">
        <f aca="false">C400+F400+I400</f>
        <v>4824.24481322452</v>
      </c>
      <c r="M400" s="40" t="n">
        <f aca="false">D400+G400+J400</f>
        <v>11735.9122781219</v>
      </c>
      <c r="N400" s="40" t="n">
        <f aca="false">L400+M400</f>
        <v>16560.1570913465</v>
      </c>
      <c r="O400" s="40" t="n">
        <f aca="false">E400+H400+K400</f>
        <v>1744517.19407772</v>
      </c>
    </row>
    <row r="401" customFormat="false" ht="15" hidden="false" customHeight="false" outlineLevel="0" collapsed="false">
      <c r="A401" s="39" t="n">
        <v>395</v>
      </c>
      <c r="B401" s="39" t="n">
        <f aca="false">ROUNDUP(A401/12,0)</f>
        <v>33</v>
      </c>
      <c r="C401" s="40" t="n">
        <f aca="false">E400*Annahmen!$B$38/12</f>
        <v>1229.54674286768</v>
      </c>
      <c r="D401" s="40" t="n">
        <f aca="false">MIN($C$3-C401,E400)</f>
        <v>2270.45325713232</v>
      </c>
      <c r="E401" s="40" t="n">
        <f aca="false">E400-D401</f>
        <v>587911.983319354</v>
      </c>
      <c r="F401" s="40" t="n">
        <f aca="false">H400*Annahmen!$B$39/12</f>
        <v>863.769611351112</v>
      </c>
      <c r="G401" s="40" t="n">
        <f aca="false">MIN($F$3-F401,H400)</f>
        <v>1742.89705531555</v>
      </c>
      <c r="H401" s="40" t="n">
        <f aca="false">H400-G401</f>
        <v>343764.947485129</v>
      </c>
      <c r="I401" s="40" t="n">
        <f aca="false">K400*Annahmen!$B$40/12</f>
        <v>2696.08970986929</v>
      </c>
      <c r="J401" s="40" t="n">
        <f aca="false">MIN($I$3-I401,K400)</f>
        <v>7757.40071481052</v>
      </c>
      <c r="K401" s="40" t="n">
        <f aca="false">K400-J401</f>
        <v>801069.512245976</v>
      </c>
      <c r="L401" s="40" t="n">
        <f aca="false">C401+F401+I401</f>
        <v>4789.40606408808</v>
      </c>
      <c r="M401" s="40" t="n">
        <f aca="false">D401+G401+J401</f>
        <v>11770.7510272584</v>
      </c>
      <c r="N401" s="40" t="n">
        <f aca="false">L401+M401</f>
        <v>16560.1570913465</v>
      </c>
      <c r="O401" s="40" t="n">
        <f aca="false">E401+H401+K401</f>
        <v>1732746.44305046</v>
      </c>
    </row>
    <row r="402" customFormat="false" ht="15" hidden="false" customHeight="false" outlineLevel="0" collapsed="false">
      <c r="A402" s="39" t="n">
        <v>396</v>
      </c>
      <c r="B402" s="39" t="n">
        <f aca="false">ROUNDUP(A402/12,0)</f>
        <v>33</v>
      </c>
      <c r="C402" s="40" t="n">
        <f aca="false">E401*Annahmen!$B$38/12</f>
        <v>1224.81663191532</v>
      </c>
      <c r="D402" s="40" t="n">
        <f aca="false">MIN($C$3-C402,E401)</f>
        <v>2275.18336808468</v>
      </c>
      <c r="E402" s="40" t="n">
        <f aca="false">E401-D402</f>
        <v>585636.79995127</v>
      </c>
      <c r="F402" s="40" t="n">
        <f aca="false">H401*Annahmen!$B$39/12</f>
        <v>859.412368712823</v>
      </c>
      <c r="G402" s="40" t="n">
        <f aca="false">MIN($F$3-F402,H401)</f>
        <v>1747.25429795384</v>
      </c>
      <c r="H402" s="40" t="n">
        <f aca="false">H401-G402</f>
        <v>342017.693187176</v>
      </c>
      <c r="I402" s="40" t="n">
        <f aca="false">K401*Annahmen!$B$40/12</f>
        <v>2670.23170748659</v>
      </c>
      <c r="J402" s="40" t="n">
        <f aca="false">MIN($I$3-I402,K401)</f>
        <v>7783.25871719322</v>
      </c>
      <c r="K402" s="40" t="n">
        <f aca="false">K401-J402</f>
        <v>793286.253528782</v>
      </c>
      <c r="L402" s="40" t="n">
        <f aca="false">C402+F402+I402</f>
        <v>4754.46070811473</v>
      </c>
      <c r="M402" s="40" t="n">
        <f aca="false">D402+G402+J402</f>
        <v>11805.6963832317</v>
      </c>
      <c r="N402" s="40" t="n">
        <f aca="false">L402+M402</f>
        <v>16560.1570913465</v>
      </c>
      <c r="O402" s="40" t="n">
        <f aca="false">E402+H402+K402</f>
        <v>1720940.74666723</v>
      </c>
    </row>
    <row r="403" customFormat="false" ht="15" hidden="false" customHeight="false" outlineLevel="0" collapsed="false">
      <c r="A403" s="39" t="n">
        <v>397</v>
      </c>
      <c r="B403" s="39" t="n">
        <f aca="false">ROUNDUP(A403/12,0)</f>
        <v>34</v>
      </c>
      <c r="C403" s="40" t="n">
        <f aca="false">E402*Annahmen!$B$38/12</f>
        <v>1220.07666656515</v>
      </c>
      <c r="D403" s="40" t="n">
        <f aca="false">MIN($C$3-C403,E402)</f>
        <v>2279.92333343485</v>
      </c>
      <c r="E403" s="40" t="n">
        <f aca="false">E402-D403</f>
        <v>583356.876617835</v>
      </c>
      <c r="F403" s="40" t="n">
        <f aca="false">H402*Annahmen!$B$39/12</f>
        <v>855.044232967939</v>
      </c>
      <c r="G403" s="40" t="n">
        <f aca="false">MIN($F$3-F403,H402)</f>
        <v>1751.62243369873</v>
      </c>
      <c r="H403" s="40" t="n">
        <f aca="false">H402-G403</f>
        <v>340266.070753477</v>
      </c>
      <c r="I403" s="40" t="n">
        <f aca="false">K402*Annahmen!$B$40/12</f>
        <v>2644.28751176261</v>
      </c>
      <c r="J403" s="40" t="n">
        <f aca="false">MIN($I$3-I403,K402)</f>
        <v>7809.20291291719</v>
      </c>
      <c r="K403" s="40" t="n">
        <f aca="false">K402-J403</f>
        <v>785477.050615865</v>
      </c>
      <c r="L403" s="40" t="n">
        <f aca="false">C403+F403+I403</f>
        <v>4719.40841129569</v>
      </c>
      <c r="M403" s="40" t="n">
        <f aca="false">D403+G403+J403</f>
        <v>11840.7486800508</v>
      </c>
      <c r="N403" s="40" t="n">
        <f aca="false">L403+M403</f>
        <v>16560.1570913465</v>
      </c>
      <c r="O403" s="40" t="n">
        <f aca="false">E403+H403+K403</f>
        <v>1709099.99798718</v>
      </c>
    </row>
    <row r="404" customFormat="false" ht="15" hidden="false" customHeight="false" outlineLevel="0" collapsed="false">
      <c r="A404" s="39" t="n">
        <v>398</v>
      </c>
      <c r="B404" s="39" t="n">
        <f aca="false">ROUNDUP(A404/12,0)</f>
        <v>34</v>
      </c>
      <c r="C404" s="40" t="n">
        <f aca="false">E403*Annahmen!$B$38/12</f>
        <v>1215.32682628716</v>
      </c>
      <c r="D404" s="40" t="n">
        <f aca="false">MIN($C$3-C404,E403)</f>
        <v>2284.67317371284</v>
      </c>
      <c r="E404" s="40" t="n">
        <f aca="false">E403-D404</f>
        <v>581072.203444122</v>
      </c>
      <c r="F404" s="40" t="n">
        <f aca="false">H403*Annahmen!$B$39/12</f>
        <v>850.665176883692</v>
      </c>
      <c r="G404" s="40" t="n">
        <f aca="false">MIN($F$3-F404,H403)</f>
        <v>1756.00148978297</v>
      </c>
      <c r="H404" s="40" t="n">
        <f aca="false">H403-G404</f>
        <v>338510.069263694</v>
      </c>
      <c r="I404" s="40" t="n">
        <f aca="false">K403*Annahmen!$B$40/12</f>
        <v>2618.25683538622</v>
      </c>
      <c r="J404" s="40" t="n">
        <f aca="false">MIN($I$3-I404,K403)</f>
        <v>7835.23358929358</v>
      </c>
      <c r="K404" s="40" t="n">
        <f aca="false">K403-J404</f>
        <v>777641.817026572</v>
      </c>
      <c r="L404" s="40" t="n">
        <f aca="false">C404+F404+I404</f>
        <v>4684.24883855706</v>
      </c>
      <c r="M404" s="40" t="n">
        <f aca="false">D404+G404+J404</f>
        <v>11875.9082527894</v>
      </c>
      <c r="N404" s="40" t="n">
        <f aca="false">L404+M404</f>
        <v>16560.1570913465</v>
      </c>
      <c r="O404" s="40" t="n">
        <f aca="false">E404+H404+K404</f>
        <v>1697224.08973439</v>
      </c>
    </row>
    <row r="405" customFormat="false" ht="15" hidden="false" customHeight="false" outlineLevel="0" collapsed="false">
      <c r="A405" s="39" t="n">
        <v>399</v>
      </c>
      <c r="B405" s="39" t="n">
        <f aca="false">ROUNDUP(A405/12,0)</f>
        <v>34</v>
      </c>
      <c r="C405" s="40" t="n">
        <f aca="false">E404*Annahmen!$B$38/12</f>
        <v>1210.56709050859</v>
      </c>
      <c r="D405" s="40" t="n">
        <f aca="false">MIN($C$3-C405,E404)</f>
        <v>2289.43290949141</v>
      </c>
      <c r="E405" s="40" t="n">
        <f aca="false">E404-D405</f>
        <v>578782.770534631</v>
      </c>
      <c r="F405" s="40" t="n">
        <f aca="false">H404*Annahmen!$B$39/12</f>
        <v>846.275173159234</v>
      </c>
      <c r="G405" s="40" t="n">
        <f aca="false">MIN($F$3-F405,H404)</f>
        <v>1760.39149350743</v>
      </c>
      <c r="H405" s="40" t="n">
        <f aca="false">H404-G405</f>
        <v>336749.677770186</v>
      </c>
      <c r="I405" s="40" t="n">
        <f aca="false">K404*Annahmen!$B$40/12</f>
        <v>2592.13939008857</v>
      </c>
      <c r="J405" s="40" t="n">
        <f aca="false">MIN($I$3-I405,K404)</f>
        <v>7861.35103459123</v>
      </c>
      <c r="K405" s="40" t="n">
        <f aca="false">K404-J405</f>
        <v>769780.46599198</v>
      </c>
      <c r="L405" s="40" t="n">
        <f aca="false">C405+F405+I405</f>
        <v>4648.98165375639</v>
      </c>
      <c r="M405" s="40" t="n">
        <f aca="false">D405+G405+J405</f>
        <v>11911.1754375901</v>
      </c>
      <c r="N405" s="40" t="n">
        <f aca="false">L405+M405</f>
        <v>16560.1570913465</v>
      </c>
      <c r="O405" s="40" t="n">
        <f aca="false">E405+H405+K405</f>
        <v>1685312.9142968</v>
      </c>
    </row>
    <row r="406" customFormat="false" ht="15" hidden="false" customHeight="false" outlineLevel="0" collapsed="false">
      <c r="A406" s="39" t="n">
        <v>400</v>
      </c>
      <c r="B406" s="39" t="n">
        <f aca="false">ROUNDUP(A406/12,0)</f>
        <v>34</v>
      </c>
      <c r="C406" s="40" t="n">
        <f aca="false">E405*Annahmen!$B$38/12</f>
        <v>1205.79743861381</v>
      </c>
      <c r="D406" s="40" t="n">
        <f aca="false">MIN($C$3-C406,E405)</f>
        <v>2294.20256138619</v>
      </c>
      <c r="E406" s="40" t="n">
        <f aca="false">E405-D406</f>
        <v>576488.567973244</v>
      </c>
      <c r="F406" s="40" t="n">
        <f aca="false">H405*Annahmen!$B$39/12</f>
        <v>841.874194425466</v>
      </c>
      <c r="G406" s="40" t="n">
        <f aca="false">MIN($F$3-F406,H405)</f>
        <v>1764.7924722412</v>
      </c>
      <c r="H406" s="40" t="n">
        <f aca="false">H405-G406</f>
        <v>334984.885297945</v>
      </c>
      <c r="I406" s="40" t="n">
        <f aca="false">K405*Annahmen!$B$40/12</f>
        <v>2565.93488663993</v>
      </c>
      <c r="J406" s="40" t="n">
        <f aca="false">MIN($I$3-I406,K405)</f>
        <v>7887.55553803987</v>
      </c>
      <c r="K406" s="40" t="n">
        <f aca="false">K405-J406</f>
        <v>761892.91045394</v>
      </c>
      <c r="L406" s="40" t="n">
        <f aca="false">C406+F406+I406</f>
        <v>4613.60651967921</v>
      </c>
      <c r="M406" s="40" t="n">
        <f aca="false">D406+G406+J406</f>
        <v>11946.5505716673</v>
      </c>
      <c r="N406" s="40" t="n">
        <f aca="false">L406+M406</f>
        <v>16560.1570913465</v>
      </c>
      <c r="O406" s="40" t="n">
        <f aca="false">E406+H406+K406</f>
        <v>1673366.36372513</v>
      </c>
    </row>
    <row r="407" customFormat="false" ht="15" hidden="false" customHeight="false" outlineLevel="0" collapsed="false">
      <c r="A407" s="39" t="n">
        <v>401</v>
      </c>
      <c r="B407" s="39" t="n">
        <f aca="false">ROUNDUP(A407/12,0)</f>
        <v>34</v>
      </c>
      <c r="C407" s="40" t="n">
        <f aca="false">E406*Annahmen!$B$38/12</f>
        <v>1201.01784994426</v>
      </c>
      <c r="D407" s="40" t="n">
        <f aca="false">MIN($C$3-C407,E406)</f>
        <v>2298.98215005574</v>
      </c>
      <c r="E407" s="40" t="n">
        <f aca="false">E406-D407</f>
        <v>574189.585823189</v>
      </c>
      <c r="F407" s="40" t="n">
        <f aca="false">H406*Annahmen!$B$39/12</f>
        <v>837.462213244863</v>
      </c>
      <c r="G407" s="40" t="n">
        <f aca="false">MIN($F$3-F407,H406)</f>
        <v>1769.2044534218</v>
      </c>
      <c r="H407" s="40" t="n">
        <f aca="false">H406-G407</f>
        <v>333215.680844523</v>
      </c>
      <c r="I407" s="40" t="n">
        <f aca="false">K406*Annahmen!$B$40/12</f>
        <v>2539.64303484647</v>
      </c>
      <c r="J407" s="40" t="n">
        <f aca="false">MIN($I$3-I407,K406)</f>
        <v>7913.84738983333</v>
      </c>
      <c r="K407" s="40" t="n">
        <f aca="false">K406-J407</f>
        <v>753979.063064107</v>
      </c>
      <c r="L407" s="40" t="n">
        <f aca="false">C407+F407+I407</f>
        <v>4578.12309803559</v>
      </c>
      <c r="M407" s="40" t="n">
        <f aca="false">D407+G407+J407</f>
        <v>11982.0339933109</v>
      </c>
      <c r="N407" s="40" t="n">
        <f aca="false">L407+M407</f>
        <v>16560.1570913465</v>
      </c>
      <c r="O407" s="40" t="n">
        <f aca="false">E407+H407+K407</f>
        <v>1661384.32973182</v>
      </c>
    </row>
    <row r="408" customFormat="false" ht="15" hidden="false" customHeight="false" outlineLevel="0" collapsed="false">
      <c r="A408" s="39" t="n">
        <v>402</v>
      </c>
      <c r="B408" s="39" t="n">
        <f aca="false">ROUNDUP(A408/12,0)</f>
        <v>34</v>
      </c>
      <c r="C408" s="40" t="n">
        <f aca="false">E407*Annahmen!$B$38/12</f>
        <v>1196.22830379831</v>
      </c>
      <c r="D408" s="40" t="n">
        <f aca="false">MIN($C$3-C408,E407)</f>
        <v>2303.77169620169</v>
      </c>
      <c r="E408" s="40" t="n">
        <f aca="false">E407-D408</f>
        <v>571885.814126987</v>
      </c>
      <c r="F408" s="40" t="n">
        <f aca="false">H407*Annahmen!$B$39/12</f>
        <v>833.039202111308</v>
      </c>
      <c r="G408" s="40" t="n">
        <f aca="false">MIN($F$3-F408,H407)</f>
        <v>1773.62746455536</v>
      </c>
      <c r="H408" s="40" t="n">
        <f aca="false">H407-G408</f>
        <v>331442.053379968</v>
      </c>
      <c r="I408" s="40" t="n">
        <f aca="false">K407*Annahmen!$B$40/12</f>
        <v>2513.26354354702</v>
      </c>
      <c r="J408" s="40" t="n">
        <f aca="false">MIN($I$3-I408,K407)</f>
        <v>7940.22688113278</v>
      </c>
      <c r="K408" s="40" t="n">
        <f aca="false">K407-J408</f>
        <v>746038.836182974</v>
      </c>
      <c r="L408" s="40" t="n">
        <f aca="false">C408+F408+I408</f>
        <v>4542.53104945664</v>
      </c>
      <c r="M408" s="40" t="n">
        <f aca="false">D408+G408+J408</f>
        <v>12017.6260418898</v>
      </c>
      <c r="N408" s="40" t="n">
        <f aca="false">L408+M408</f>
        <v>16560.1570913465</v>
      </c>
      <c r="O408" s="40" t="n">
        <f aca="false">E408+H408+K408</f>
        <v>1649366.70368993</v>
      </c>
    </row>
    <row r="409" customFormat="false" ht="15" hidden="false" customHeight="false" outlineLevel="0" collapsed="false">
      <c r="A409" s="39" t="n">
        <v>403</v>
      </c>
      <c r="B409" s="39" t="n">
        <f aca="false">ROUNDUP(A409/12,0)</f>
        <v>34</v>
      </c>
      <c r="C409" s="40" t="n">
        <f aca="false">E408*Annahmen!$B$38/12</f>
        <v>1191.42877943122</v>
      </c>
      <c r="D409" s="40" t="n">
        <f aca="false">MIN($C$3-C409,E408)</f>
        <v>2308.57122056878</v>
      </c>
      <c r="E409" s="40" t="n">
        <f aca="false">E408-D409</f>
        <v>569577.242906418</v>
      </c>
      <c r="F409" s="40" t="n">
        <f aca="false">H408*Annahmen!$B$39/12</f>
        <v>828.60513344992</v>
      </c>
      <c r="G409" s="40" t="n">
        <f aca="false">MIN($F$3-F409,H408)</f>
        <v>1778.06153321675</v>
      </c>
      <c r="H409" s="40" t="n">
        <f aca="false">H408-G409</f>
        <v>329663.991846751</v>
      </c>
      <c r="I409" s="40" t="n">
        <f aca="false">K408*Annahmen!$B$40/12</f>
        <v>2486.79612060991</v>
      </c>
      <c r="J409" s="40" t="n">
        <f aca="false">MIN($I$3-I409,K408)</f>
        <v>7966.69430406989</v>
      </c>
      <c r="K409" s="40" t="n">
        <f aca="false">K408-J409</f>
        <v>738072.141878904</v>
      </c>
      <c r="L409" s="40" t="n">
        <f aca="false">C409+F409+I409</f>
        <v>4506.83003349106</v>
      </c>
      <c r="M409" s="40" t="n">
        <f aca="false">D409+G409+J409</f>
        <v>12053.3270578554</v>
      </c>
      <c r="N409" s="40" t="n">
        <f aca="false">L409+M409</f>
        <v>16560.1570913465</v>
      </c>
      <c r="O409" s="40" t="n">
        <f aca="false">E409+H409+K409</f>
        <v>1637313.37663207</v>
      </c>
    </row>
    <row r="410" customFormat="false" ht="15" hidden="false" customHeight="false" outlineLevel="0" collapsed="false">
      <c r="A410" s="39" t="n">
        <v>404</v>
      </c>
      <c r="B410" s="39" t="n">
        <f aca="false">ROUNDUP(A410/12,0)</f>
        <v>34</v>
      </c>
      <c r="C410" s="40" t="n">
        <f aca="false">E409*Annahmen!$B$38/12</f>
        <v>1186.61925605504</v>
      </c>
      <c r="D410" s="40" t="n">
        <f aca="false">MIN($C$3-C410,E409)</f>
        <v>2313.38074394496</v>
      </c>
      <c r="E410" s="40" t="n">
        <f aca="false">E409-D410</f>
        <v>567263.862162473</v>
      </c>
      <c r="F410" s="40" t="n">
        <f aca="false">H409*Annahmen!$B$39/12</f>
        <v>824.159979616878</v>
      </c>
      <c r="G410" s="40" t="n">
        <f aca="false">MIN($F$3-F410,H409)</f>
        <v>1782.50668704979</v>
      </c>
      <c r="H410" s="40" t="n">
        <f aca="false">H409-G410</f>
        <v>327881.485159701</v>
      </c>
      <c r="I410" s="40" t="n">
        <f aca="false">K409*Annahmen!$B$40/12</f>
        <v>2460.24047292968</v>
      </c>
      <c r="J410" s="40" t="n">
        <f aca="false">MIN($I$3-I410,K409)</f>
        <v>7993.24995175012</v>
      </c>
      <c r="K410" s="40" t="n">
        <f aca="false">K409-J410</f>
        <v>730078.891927154</v>
      </c>
      <c r="L410" s="40" t="n">
        <f aca="false">C410+F410+I410</f>
        <v>4471.0197086016</v>
      </c>
      <c r="M410" s="40" t="n">
        <f aca="false">D410+G410+J410</f>
        <v>12089.1373827449</v>
      </c>
      <c r="N410" s="40" t="n">
        <f aca="false">L410+M410</f>
        <v>16560.1570913465</v>
      </c>
      <c r="O410" s="40" t="n">
        <f aca="false">E410+H410+K410</f>
        <v>1625224.23924933</v>
      </c>
    </row>
    <row r="411" customFormat="false" ht="15" hidden="false" customHeight="false" outlineLevel="0" collapsed="false">
      <c r="A411" s="39" t="n">
        <v>405</v>
      </c>
      <c r="B411" s="39" t="n">
        <f aca="false">ROUNDUP(A411/12,0)</f>
        <v>34</v>
      </c>
      <c r="C411" s="40" t="n">
        <f aca="false">E410*Annahmen!$B$38/12</f>
        <v>1181.79971283849</v>
      </c>
      <c r="D411" s="40" t="n">
        <f aca="false">MIN($C$3-C411,E410)</f>
        <v>2318.20028716151</v>
      </c>
      <c r="E411" s="40" t="n">
        <f aca="false">E410-D411</f>
        <v>564945.661875312</v>
      </c>
      <c r="F411" s="40" t="n">
        <f aca="false">H410*Annahmen!$B$39/12</f>
        <v>819.703712899253</v>
      </c>
      <c r="G411" s="40" t="n">
        <f aca="false">MIN($F$3-F411,H410)</f>
        <v>1786.96295376741</v>
      </c>
      <c r="H411" s="40" t="n">
        <f aca="false">H410-G411</f>
        <v>326094.522205934</v>
      </c>
      <c r="I411" s="40" t="n">
        <f aca="false">K410*Annahmen!$B$40/12</f>
        <v>2433.59630642385</v>
      </c>
      <c r="J411" s="40" t="n">
        <f aca="false">MIN($I$3-I411,K410)</f>
        <v>8019.89411825595</v>
      </c>
      <c r="K411" s="40" t="n">
        <f aca="false">K410-J411</f>
        <v>722058.997808898</v>
      </c>
      <c r="L411" s="40" t="n">
        <f aca="false">C411+F411+I411</f>
        <v>4435.09973216159</v>
      </c>
      <c r="M411" s="40" t="n">
        <f aca="false">D411+G411+J411</f>
        <v>12125.0573591849</v>
      </c>
      <c r="N411" s="40" t="n">
        <f aca="false">L411+M411</f>
        <v>16560.1570913465</v>
      </c>
      <c r="O411" s="40" t="n">
        <f aca="false">E411+H411+K411</f>
        <v>1613099.18189014</v>
      </c>
    </row>
    <row r="412" customFormat="false" ht="15" hidden="false" customHeight="false" outlineLevel="0" collapsed="false">
      <c r="A412" s="39" t="n">
        <v>406</v>
      </c>
      <c r="B412" s="39" t="n">
        <f aca="false">ROUNDUP(A412/12,0)</f>
        <v>34</v>
      </c>
      <c r="C412" s="40" t="n">
        <f aca="false">E411*Annahmen!$B$38/12</f>
        <v>1176.9701289069</v>
      </c>
      <c r="D412" s="40" t="n">
        <f aca="false">MIN($C$3-C412,E411)</f>
        <v>2323.0298710931</v>
      </c>
      <c r="E412" s="40" t="n">
        <f aca="false">E411-D412</f>
        <v>562622.632004219</v>
      </c>
      <c r="F412" s="40" t="n">
        <f aca="false">H411*Annahmen!$B$39/12</f>
        <v>815.236305514835</v>
      </c>
      <c r="G412" s="40" t="n">
        <f aca="false">MIN($F$3-F412,H411)</f>
        <v>1791.43036115183</v>
      </c>
      <c r="H412" s="40" t="n">
        <f aca="false">H411-G412</f>
        <v>324303.091844782</v>
      </c>
      <c r="I412" s="40" t="n">
        <f aca="false">K411*Annahmen!$B$40/12</f>
        <v>2406.86332602966</v>
      </c>
      <c r="J412" s="40" t="n">
        <f aca="false">MIN($I$3-I412,K411)</f>
        <v>8046.62709865014</v>
      </c>
      <c r="K412" s="40" t="n">
        <f aca="false">K411-J412</f>
        <v>714012.370710248</v>
      </c>
      <c r="L412" s="40" t="n">
        <f aca="false">C412+F412+I412</f>
        <v>4399.0697604514</v>
      </c>
      <c r="M412" s="40" t="n">
        <f aca="false">D412+G412+J412</f>
        <v>12161.0873308951</v>
      </c>
      <c r="N412" s="40" t="n">
        <f aca="false">L412+M412</f>
        <v>16560.1570913465</v>
      </c>
      <c r="O412" s="40" t="n">
        <f aca="false">E412+H412+K412</f>
        <v>1600938.09455925</v>
      </c>
    </row>
    <row r="413" customFormat="false" ht="15" hidden="false" customHeight="false" outlineLevel="0" collapsed="false">
      <c r="A413" s="39" t="n">
        <v>407</v>
      </c>
      <c r="B413" s="39" t="n">
        <f aca="false">ROUNDUP(A413/12,0)</f>
        <v>34</v>
      </c>
      <c r="C413" s="40" t="n">
        <f aca="false">E412*Annahmen!$B$38/12</f>
        <v>1172.13048334212</v>
      </c>
      <c r="D413" s="40" t="n">
        <f aca="false">MIN($C$3-C413,E412)</f>
        <v>2327.86951665788</v>
      </c>
      <c r="E413" s="40" t="n">
        <f aca="false">E412-D413</f>
        <v>560294.762487561</v>
      </c>
      <c r="F413" s="40" t="n">
        <f aca="false">H412*Annahmen!$B$39/12</f>
        <v>810.757729611955</v>
      </c>
      <c r="G413" s="40" t="n">
        <f aca="false">MIN($F$3-F413,H412)</f>
        <v>1795.90893705471</v>
      </c>
      <c r="H413" s="40" t="n">
        <f aca="false">H412-G413</f>
        <v>322507.182907728</v>
      </c>
      <c r="I413" s="40" t="n">
        <f aca="false">K412*Annahmen!$B$40/12</f>
        <v>2380.04123570083</v>
      </c>
      <c r="J413" s="40" t="n">
        <f aca="false">MIN($I$3-I413,K412)</f>
        <v>8073.44918897897</v>
      </c>
      <c r="K413" s="40" t="n">
        <f aca="false">K412-J413</f>
        <v>705938.921521269</v>
      </c>
      <c r="L413" s="40" t="n">
        <f aca="false">C413+F413+I413</f>
        <v>4362.92944865491</v>
      </c>
      <c r="M413" s="40" t="n">
        <f aca="false">D413+G413+J413</f>
        <v>12197.2276426916</v>
      </c>
      <c r="N413" s="40" t="n">
        <f aca="false">L413+M413</f>
        <v>16560.1570913465</v>
      </c>
      <c r="O413" s="40" t="n">
        <f aca="false">E413+H413+K413</f>
        <v>1588740.86691656</v>
      </c>
    </row>
    <row r="414" customFormat="false" ht="15" hidden="false" customHeight="false" outlineLevel="0" collapsed="false">
      <c r="A414" s="39" t="n">
        <v>408</v>
      </c>
      <c r="B414" s="39" t="n">
        <f aca="false">ROUNDUP(A414/12,0)</f>
        <v>34</v>
      </c>
      <c r="C414" s="40" t="n">
        <f aca="false">E413*Annahmen!$B$38/12</f>
        <v>1167.28075518242</v>
      </c>
      <c r="D414" s="40" t="n">
        <f aca="false">MIN($C$3-C414,E413)</f>
        <v>2332.71924481758</v>
      </c>
      <c r="E414" s="40" t="n">
        <f aca="false">E413-D414</f>
        <v>557962.043242743</v>
      </c>
      <c r="F414" s="40" t="n">
        <f aca="false">H413*Annahmen!$B$39/12</f>
        <v>806.267957269319</v>
      </c>
      <c r="G414" s="40" t="n">
        <f aca="false">MIN($F$3-F414,H413)</f>
        <v>1800.39870939735</v>
      </c>
      <c r="H414" s="40" t="n">
        <f aca="false">H413-G414</f>
        <v>320706.78419833</v>
      </c>
      <c r="I414" s="40" t="n">
        <f aca="false">K413*Annahmen!$B$40/12</f>
        <v>2353.12973840423</v>
      </c>
      <c r="J414" s="40" t="n">
        <f aca="false">MIN($I$3-I414,K413)</f>
        <v>8100.36068627557</v>
      </c>
      <c r="K414" s="40" t="n">
        <f aca="false">K413-J414</f>
        <v>697838.560834994</v>
      </c>
      <c r="L414" s="40" t="n">
        <f aca="false">C414+F414+I414</f>
        <v>4326.67845085597</v>
      </c>
      <c r="M414" s="40" t="n">
        <f aca="false">D414+G414+J414</f>
        <v>12233.4786404905</v>
      </c>
      <c r="N414" s="40" t="n">
        <f aca="false">L414+M414</f>
        <v>16560.1570913465</v>
      </c>
      <c r="O414" s="40" t="n">
        <f aca="false">E414+H414+K414</f>
        <v>1576507.38827607</v>
      </c>
    </row>
    <row r="415" customFormat="false" ht="15" hidden="false" customHeight="false" outlineLevel="0" collapsed="false">
      <c r="A415" s="39" t="n">
        <v>409</v>
      </c>
      <c r="B415" s="39" t="n">
        <f aca="false">ROUNDUP(A415/12,0)</f>
        <v>35</v>
      </c>
      <c r="C415" s="40" t="n">
        <f aca="false">E414*Annahmen!$B$38/12</f>
        <v>1162.42092342238</v>
      </c>
      <c r="D415" s="40" t="n">
        <f aca="false">MIN($C$3-C415,E414)</f>
        <v>2337.57907657762</v>
      </c>
      <c r="E415" s="40" t="n">
        <f aca="false">E414-D415</f>
        <v>555624.464166166</v>
      </c>
      <c r="F415" s="40" t="n">
        <f aca="false">H414*Annahmen!$B$39/12</f>
        <v>801.766960495825</v>
      </c>
      <c r="G415" s="40" t="n">
        <f aca="false">MIN($F$3-F415,H414)</f>
        <v>1804.89970617084</v>
      </c>
      <c r="H415" s="40" t="n">
        <f aca="false">H414-G415</f>
        <v>318901.884492159</v>
      </c>
      <c r="I415" s="40" t="n">
        <f aca="false">K414*Annahmen!$B$40/12</f>
        <v>2326.12853611665</v>
      </c>
      <c r="J415" s="40" t="n">
        <f aca="false">MIN($I$3-I415,K414)</f>
        <v>8127.36188856316</v>
      </c>
      <c r="K415" s="40" t="n">
        <f aca="false">K414-J415</f>
        <v>689711.198946431</v>
      </c>
      <c r="L415" s="40" t="n">
        <f aca="false">C415+F415+I415</f>
        <v>4290.31642003485</v>
      </c>
      <c r="M415" s="40" t="n">
        <f aca="false">D415+G415+J415</f>
        <v>12269.8406713116</v>
      </c>
      <c r="N415" s="40" t="n">
        <f aca="false">L415+M415</f>
        <v>16560.1570913465</v>
      </c>
      <c r="O415" s="40" t="n">
        <f aca="false">E415+H415+K415</f>
        <v>1564237.54760476</v>
      </c>
    </row>
    <row r="416" customFormat="false" ht="15" hidden="false" customHeight="false" outlineLevel="0" collapsed="false">
      <c r="A416" s="39" t="n">
        <v>410</v>
      </c>
      <c r="B416" s="39" t="n">
        <f aca="false">ROUNDUP(A416/12,0)</f>
        <v>35</v>
      </c>
      <c r="C416" s="40" t="n">
        <f aca="false">E415*Annahmen!$B$38/12</f>
        <v>1157.55096701285</v>
      </c>
      <c r="D416" s="40" t="n">
        <f aca="false">MIN($C$3-C416,E415)</f>
        <v>2342.44903298715</v>
      </c>
      <c r="E416" s="40" t="n">
        <f aca="false">E415-D416</f>
        <v>553282.015133178</v>
      </c>
      <c r="F416" s="40" t="n">
        <f aca="false">H415*Annahmen!$B$39/12</f>
        <v>797.254711230398</v>
      </c>
      <c r="G416" s="40" t="n">
        <f aca="false">MIN($F$3-F416,H415)</f>
        <v>1809.41195543627</v>
      </c>
      <c r="H416" s="40" t="n">
        <f aca="false">H415-G416</f>
        <v>317092.472536723</v>
      </c>
      <c r="I416" s="40" t="n">
        <f aca="false">K415*Annahmen!$B$40/12</f>
        <v>2299.03732982144</v>
      </c>
      <c r="J416" s="40" t="n">
        <f aca="false">MIN($I$3-I416,K415)</f>
        <v>8154.45309485837</v>
      </c>
      <c r="K416" s="40" t="n">
        <f aca="false">K415-J416</f>
        <v>681556.745851572</v>
      </c>
      <c r="L416" s="40" t="n">
        <f aca="false">C416+F416+I416</f>
        <v>4253.84300806468</v>
      </c>
      <c r="M416" s="40" t="n">
        <f aca="false">D416+G416+J416</f>
        <v>12306.3140832818</v>
      </c>
      <c r="N416" s="40" t="n">
        <f aca="false">L416+M416</f>
        <v>16560.1570913465</v>
      </c>
      <c r="O416" s="40" t="n">
        <f aca="false">E416+H416+K416</f>
        <v>1551931.23352147</v>
      </c>
    </row>
    <row r="417" customFormat="false" ht="15" hidden="false" customHeight="false" outlineLevel="0" collapsed="false">
      <c r="A417" s="39" t="n">
        <v>411</v>
      </c>
      <c r="B417" s="39" t="n">
        <f aca="false">ROUNDUP(A417/12,0)</f>
        <v>35</v>
      </c>
      <c r="C417" s="40" t="n">
        <f aca="false">E416*Annahmen!$B$38/12</f>
        <v>1152.67086486079</v>
      </c>
      <c r="D417" s="40" t="n">
        <f aca="false">MIN($C$3-C417,E416)</f>
        <v>2347.32913513921</v>
      </c>
      <c r="E417" s="40" t="n">
        <f aca="false">E416-D417</f>
        <v>550934.685998039</v>
      </c>
      <c r="F417" s="40" t="n">
        <f aca="false">H416*Annahmen!$B$39/12</f>
        <v>792.731181341807</v>
      </c>
      <c r="G417" s="40" t="n">
        <f aca="false">MIN($F$3-F417,H416)</f>
        <v>1813.93548532486</v>
      </c>
      <c r="H417" s="40" t="n">
        <f aca="false">H416-G417</f>
        <v>315278.537051398</v>
      </c>
      <c r="I417" s="40" t="n">
        <f aca="false">K416*Annahmen!$B$40/12</f>
        <v>2271.85581950524</v>
      </c>
      <c r="J417" s="40" t="n">
        <f aca="false">MIN($I$3-I417,K416)</f>
        <v>8181.63460517456</v>
      </c>
      <c r="K417" s="40" t="n">
        <f aca="false">K416-J417</f>
        <v>673375.111246398</v>
      </c>
      <c r="L417" s="40" t="n">
        <f aca="false">C417+F417+I417</f>
        <v>4217.25786570784</v>
      </c>
      <c r="M417" s="40" t="n">
        <f aca="false">D417+G417+J417</f>
        <v>12342.8992256386</v>
      </c>
      <c r="N417" s="40" t="n">
        <f aca="false">L417+M417</f>
        <v>16560.1570913465</v>
      </c>
      <c r="O417" s="40" t="n">
        <f aca="false">E417+H417+K417</f>
        <v>1539588.33429584</v>
      </c>
    </row>
    <row r="418" customFormat="false" ht="15" hidden="false" customHeight="false" outlineLevel="0" collapsed="false">
      <c r="A418" s="39" t="n">
        <v>412</v>
      </c>
      <c r="B418" s="39" t="n">
        <f aca="false">ROUNDUP(A418/12,0)</f>
        <v>35</v>
      </c>
      <c r="C418" s="40" t="n">
        <f aca="false">E417*Annahmen!$B$38/12</f>
        <v>1147.78059582925</v>
      </c>
      <c r="D418" s="40" t="n">
        <f aca="false">MIN($C$3-C418,E417)</f>
        <v>2352.21940417075</v>
      </c>
      <c r="E418" s="40" t="n">
        <f aca="false">E417-D418</f>
        <v>548582.466593868</v>
      </c>
      <c r="F418" s="40" t="n">
        <f aca="false">H417*Annahmen!$B$39/12</f>
        <v>788.196342628495</v>
      </c>
      <c r="G418" s="40" t="n">
        <f aca="false">MIN($F$3-F418,H417)</f>
        <v>1818.47032403817</v>
      </c>
      <c r="H418" s="40" t="n">
        <f aca="false">H417-G418</f>
        <v>313460.06672736</v>
      </c>
      <c r="I418" s="40" t="n">
        <f aca="false">K417*Annahmen!$B$40/12</f>
        <v>2244.58370415466</v>
      </c>
      <c r="J418" s="40" t="n">
        <f aca="false">MIN($I$3-I418,K417)</f>
        <v>8208.90672052514</v>
      </c>
      <c r="K418" s="40" t="n">
        <f aca="false">K417-J418</f>
        <v>665166.204525873</v>
      </c>
      <c r="L418" s="40" t="n">
        <f aca="false">C418+F418+I418</f>
        <v>4180.5606426124</v>
      </c>
      <c r="M418" s="40" t="n">
        <f aca="false">D418+G418+J418</f>
        <v>12379.5964487341</v>
      </c>
      <c r="N418" s="40" t="n">
        <f aca="false">L418+M418</f>
        <v>16560.1570913465</v>
      </c>
      <c r="O418" s="40" t="n">
        <f aca="false">E418+H418+K418</f>
        <v>1527208.7378471</v>
      </c>
    </row>
    <row r="419" customFormat="false" ht="15" hidden="false" customHeight="false" outlineLevel="0" collapsed="false">
      <c r="A419" s="39" t="n">
        <v>413</v>
      </c>
      <c r="B419" s="39" t="n">
        <f aca="false">ROUNDUP(A419/12,0)</f>
        <v>35</v>
      </c>
      <c r="C419" s="40" t="n">
        <f aca="false">E418*Annahmen!$B$38/12</f>
        <v>1142.88013873723</v>
      </c>
      <c r="D419" s="40" t="n">
        <f aca="false">MIN($C$3-C419,E418)</f>
        <v>2357.11986126277</v>
      </c>
      <c r="E419" s="40" t="n">
        <f aca="false">E418-D419</f>
        <v>546225.346732606</v>
      </c>
      <c r="F419" s="40" t="n">
        <f aca="false">H418*Annahmen!$B$39/12</f>
        <v>783.6501668184</v>
      </c>
      <c r="G419" s="40" t="n">
        <f aca="false">MIN($F$3-F419,H418)</f>
        <v>1823.01649984827</v>
      </c>
      <c r="H419" s="40" t="n">
        <f aca="false">H418-G419</f>
        <v>311637.050227512</v>
      </c>
      <c r="I419" s="40" t="n">
        <f aca="false">K418*Annahmen!$B$40/12</f>
        <v>2217.22068175291</v>
      </c>
      <c r="J419" s="40" t="n">
        <f aca="false">MIN($I$3-I419,K418)</f>
        <v>8236.26974292689</v>
      </c>
      <c r="K419" s="40" t="n">
        <f aca="false">K418-J419</f>
        <v>656929.934782946</v>
      </c>
      <c r="L419" s="40" t="n">
        <f aca="false">C419+F419+I419</f>
        <v>4143.75098730854</v>
      </c>
      <c r="M419" s="40" t="n">
        <f aca="false">D419+G419+J419</f>
        <v>12416.4061040379</v>
      </c>
      <c r="N419" s="40" t="n">
        <f aca="false">L419+M419</f>
        <v>16560.1570913465</v>
      </c>
      <c r="O419" s="40" t="n">
        <f aca="false">E419+H419+K419</f>
        <v>1514792.33174306</v>
      </c>
    </row>
    <row r="420" customFormat="false" ht="15" hidden="false" customHeight="false" outlineLevel="0" collapsed="false">
      <c r="A420" s="39" t="n">
        <v>414</v>
      </c>
      <c r="B420" s="39" t="n">
        <f aca="false">ROUNDUP(A420/12,0)</f>
        <v>35</v>
      </c>
      <c r="C420" s="40" t="n">
        <f aca="false">E419*Annahmen!$B$38/12</f>
        <v>1137.9694723596</v>
      </c>
      <c r="D420" s="40" t="n">
        <f aca="false">MIN($C$3-C420,E419)</f>
        <v>2362.0305276404</v>
      </c>
      <c r="E420" s="40" t="n">
        <f aca="false">E419-D420</f>
        <v>543863.316204965</v>
      </c>
      <c r="F420" s="40" t="n">
        <f aca="false">H419*Annahmen!$B$39/12</f>
        <v>779.092625568779</v>
      </c>
      <c r="G420" s="40" t="n">
        <f aca="false">MIN($F$3-F420,H419)</f>
        <v>1827.57404109789</v>
      </c>
      <c r="H420" s="40" t="n">
        <f aca="false">H419-G420</f>
        <v>309809.476186414</v>
      </c>
      <c r="I420" s="40" t="n">
        <f aca="false">K419*Annahmen!$B$40/12</f>
        <v>2189.76644927649</v>
      </c>
      <c r="J420" s="40" t="n">
        <f aca="false">MIN($I$3-I420,K419)</f>
        <v>8263.72397540332</v>
      </c>
      <c r="K420" s="40" t="n">
        <f aca="false">K419-J420</f>
        <v>648666.210807542</v>
      </c>
      <c r="L420" s="40" t="n">
        <f aca="false">C420+F420+I420</f>
        <v>4106.82854720486</v>
      </c>
      <c r="M420" s="40" t="n">
        <f aca="false">D420+G420+J420</f>
        <v>12453.3285441416</v>
      </c>
      <c r="N420" s="40" t="n">
        <f aca="false">L420+M420</f>
        <v>16560.1570913465</v>
      </c>
      <c r="O420" s="40" t="n">
        <f aca="false">E420+H420+K420</f>
        <v>1502339.00319892</v>
      </c>
    </row>
    <row r="421" customFormat="false" ht="15" hidden="false" customHeight="false" outlineLevel="0" collapsed="false">
      <c r="A421" s="39" t="n">
        <v>415</v>
      </c>
      <c r="B421" s="39" t="n">
        <f aca="false">ROUNDUP(A421/12,0)</f>
        <v>35</v>
      </c>
      <c r="C421" s="40" t="n">
        <f aca="false">E420*Annahmen!$B$38/12</f>
        <v>1133.04857542701</v>
      </c>
      <c r="D421" s="40" t="n">
        <f aca="false">MIN($C$3-C421,E420)</f>
        <v>2366.95142457299</v>
      </c>
      <c r="E421" s="40" t="n">
        <f aca="false">E420-D421</f>
        <v>541496.364780392</v>
      </c>
      <c r="F421" s="40" t="n">
        <f aca="false">H420*Annahmen!$B$39/12</f>
        <v>774.523690466035</v>
      </c>
      <c r="G421" s="40" t="n">
        <f aca="false">MIN($F$3-F421,H420)</f>
        <v>1832.14297620063</v>
      </c>
      <c r="H421" s="40" t="n">
        <f aca="false">H420-G421</f>
        <v>307977.333210213</v>
      </c>
      <c r="I421" s="40" t="n">
        <f aca="false">K420*Annahmen!$B$40/12</f>
        <v>2162.22070269181</v>
      </c>
      <c r="J421" s="40" t="n">
        <f aca="false">MIN($I$3-I421,K420)</f>
        <v>8291.26972198799</v>
      </c>
      <c r="K421" s="40" t="n">
        <f aca="false">K420-J421</f>
        <v>640374.941085554</v>
      </c>
      <c r="L421" s="40" t="n">
        <f aca="false">C421+F421+I421</f>
        <v>4069.79296858485</v>
      </c>
      <c r="M421" s="40" t="n">
        <f aca="false">D421+G421+J421</f>
        <v>12490.3641227616</v>
      </c>
      <c r="N421" s="40" t="n">
        <f aca="false">L421+M421</f>
        <v>16560.1570913465</v>
      </c>
      <c r="O421" s="40" t="n">
        <f aca="false">E421+H421+K421</f>
        <v>1489848.63907616</v>
      </c>
    </row>
    <row r="422" customFormat="false" ht="15" hidden="false" customHeight="false" outlineLevel="0" collapsed="false">
      <c r="A422" s="39" t="n">
        <v>416</v>
      </c>
      <c r="B422" s="39" t="n">
        <f aca="false">ROUNDUP(A422/12,0)</f>
        <v>35</v>
      </c>
      <c r="C422" s="40" t="n">
        <f aca="false">E421*Annahmen!$B$38/12</f>
        <v>1128.11742662582</v>
      </c>
      <c r="D422" s="40" t="n">
        <f aca="false">MIN($C$3-C422,E421)</f>
        <v>2371.88257337418</v>
      </c>
      <c r="E422" s="40" t="n">
        <f aca="false">E421-D422</f>
        <v>539124.482207018</v>
      </c>
      <c r="F422" s="40" t="n">
        <f aca="false">H421*Annahmen!$B$39/12</f>
        <v>769.943333025533</v>
      </c>
      <c r="G422" s="40" t="n">
        <f aca="false">MIN($F$3-F422,H421)</f>
        <v>1836.72333364113</v>
      </c>
      <c r="H422" s="40" t="n">
        <f aca="false">H421-G422</f>
        <v>306140.609876572</v>
      </c>
      <c r="I422" s="40" t="n">
        <f aca="false">K421*Annahmen!$B$40/12</f>
        <v>2134.58313695185</v>
      </c>
      <c r="J422" s="40" t="n">
        <f aca="false">MIN($I$3-I422,K421)</f>
        <v>8318.90728772795</v>
      </c>
      <c r="K422" s="40" t="n">
        <f aca="false">K421-J422</f>
        <v>632056.033797826</v>
      </c>
      <c r="L422" s="40" t="n">
        <f aca="false">C422+F422+I422</f>
        <v>4032.6438966032</v>
      </c>
      <c r="M422" s="40" t="n">
        <f aca="false">D422+G422+J422</f>
        <v>12527.5131947433</v>
      </c>
      <c r="N422" s="40" t="n">
        <f aca="false">L422+M422</f>
        <v>16560.1570913465</v>
      </c>
      <c r="O422" s="40" t="n">
        <f aca="false">E422+H422+K422</f>
        <v>1477321.12588142</v>
      </c>
    </row>
    <row r="423" customFormat="false" ht="15" hidden="false" customHeight="false" outlineLevel="0" collapsed="false">
      <c r="A423" s="39" t="n">
        <v>417</v>
      </c>
      <c r="B423" s="39" t="n">
        <f aca="false">ROUNDUP(A423/12,0)</f>
        <v>35</v>
      </c>
      <c r="C423" s="40" t="n">
        <f aca="false">E422*Annahmen!$B$38/12</f>
        <v>1123.17600459795</v>
      </c>
      <c r="D423" s="40" t="n">
        <f aca="false">MIN($C$3-C423,E422)</f>
        <v>2376.82399540204</v>
      </c>
      <c r="E423" s="40" t="n">
        <f aca="false">E422-D423</f>
        <v>536747.658211616</v>
      </c>
      <c r="F423" s="40" t="n">
        <f aca="false">H422*Annahmen!$B$39/12</f>
        <v>765.35152469143</v>
      </c>
      <c r="G423" s="40" t="n">
        <f aca="false">MIN($F$3-F423,H422)</f>
        <v>1841.31514197524</v>
      </c>
      <c r="H423" s="40" t="n">
        <f aca="false">H422-G423</f>
        <v>304299.294734597</v>
      </c>
      <c r="I423" s="40" t="n">
        <f aca="false">K422*Annahmen!$B$40/12</f>
        <v>2106.85344599275</v>
      </c>
      <c r="J423" s="40" t="n">
        <f aca="false">MIN($I$3-I423,K422)</f>
        <v>8346.63697868705</v>
      </c>
      <c r="K423" s="40" t="n">
        <f aca="false">K422-J423</f>
        <v>623709.396819139</v>
      </c>
      <c r="L423" s="40" t="n">
        <f aca="false">C423+F423+I423</f>
        <v>3995.38097528214</v>
      </c>
      <c r="M423" s="40" t="n">
        <f aca="false">D423+G423+J423</f>
        <v>12564.7761160643</v>
      </c>
      <c r="N423" s="40" t="n">
        <f aca="false">L423+M423</f>
        <v>16560.1570913465</v>
      </c>
      <c r="O423" s="40" t="n">
        <f aca="false">E423+H423+K423</f>
        <v>1464756.34976535</v>
      </c>
    </row>
    <row r="424" customFormat="false" ht="15" hidden="false" customHeight="false" outlineLevel="0" collapsed="false">
      <c r="A424" s="39" t="n">
        <v>418</v>
      </c>
      <c r="B424" s="39" t="n">
        <f aca="false">ROUNDUP(A424/12,0)</f>
        <v>35</v>
      </c>
      <c r="C424" s="40" t="n">
        <f aca="false">E423*Annahmen!$B$38/12</f>
        <v>1118.22428794087</v>
      </c>
      <c r="D424" s="40" t="n">
        <f aca="false">MIN($C$3-C424,E423)</f>
        <v>2381.77571205913</v>
      </c>
      <c r="E424" s="40" t="n">
        <f aca="false">E423-D424</f>
        <v>534365.882499557</v>
      </c>
      <c r="F424" s="40" t="n">
        <f aca="false">H423*Annahmen!$B$39/12</f>
        <v>760.748236836492</v>
      </c>
      <c r="G424" s="40" t="n">
        <f aca="false">MIN($F$3-F424,H423)</f>
        <v>1845.91842983017</v>
      </c>
      <c r="H424" s="40" t="n">
        <f aca="false">H423-G424</f>
        <v>302453.376304767</v>
      </c>
      <c r="I424" s="40" t="n">
        <f aca="false">K423*Annahmen!$B$40/12</f>
        <v>2079.03132273046</v>
      </c>
      <c r="J424" s="40" t="n">
        <f aca="false">MIN($I$3-I424,K423)</f>
        <v>8374.45910194934</v>
      </c>
      <c r="K424" s="40" t="n">
        <f aca="false">K423-J424</f>
        <v>615334.93771719</v>
      </c>
      <c r="L424" s="40" t="n">
        <f aca="false">C424+F424+I424</f>
        <v>3958.00384750782</v>
      </c>
      <c r="M424" s="40" t="n">
        <f aca="false">D424+G424+J424</f>
        <v>12602.1532438386</v>
      </c>
      <c r="N424" s="40" t="n">
        <f aca="false">L424+M424</f>
        <v>16560.1570913465</v>
      </c>
      <c r="O424" s="40" t="n">
        <f aca="false">E424+H424+K424</f>
        <v>1452154.19652151</v>
      </c>
    </row>
    <row r="425" customFormat="false" ht="15" hidden="false" customHeight="false" outlineLevel="0" collapsed="false">
      <c r="A425" s="39" t="n">
        <v>419</v>
      </c>
      <c r="B425" s="39" t="n">
        <f aca="false">ROUNDUP(A425/12,0)</f>
        <v>35</v>
      </c>
      <c r="C425" s="40" t="n">
        <f aca="false">E424*Annahmen!$B$38/12</f>
        <v>1113.26225520741</v>
      </c>
      <c r="D425" s="40" t="n">
        <f aca="false">MIN($C$3-C425,E424)</f>
        <v>2386.73774479259</v>
      </c>
      <c r="E425" s="40" t="n">
        <f aca="false">E424-D425</f>
        <v>531979.144754764</v>
      </c>
      <c r="F425" s="40" t="n">
        <f aca="false">H424*Annahmen!$B$39/12</f>
        <v>756.133440761917</v>
      </c>
      <c r="G425" s="40" t="n">
        <f aca="false">MIN($F$3-F425,H424)</f>
        <v>1850.53322590475</v>
      </c>
      <c r="H425" s="40" t="n">
        <f aca="false">H424-G425</f>
        <v>300602.843078862</v>
      </c>
      <c r="I425" s="40" t="n">
        <f aca="false">K424*Annahmen!$B$40/12</f>
        <v>2051.1164590573</v>
      </c>
      <c r="J425" s="40" t="n">
        <f aca="false">MIN($I$3-I425,K424)</f>
        <v>8402.3739656225</v>
      </c>
      <c r="K425" s="40" t="n">
        <f aca="false">K424-J425</f>
        <v>606932.563751568</v>
      </c>
      <c r="L425" s="40" t="n">
        <f aca="false">C425+F425+I425</f>
        <v>3920.51215502663</v>
      </c>
      <c r="M425" s="40" t="n">
        <f aca="false">D425+G425+J425</f>
        <v>12639.6449363198</v>
      </c>
      <c r="N425" s="40" t="n">
        <f aca="false">L425+M425</f>
        <v>16560.1570913465</v>
      </c>
      <c r="O425" s="40" t="n">
        <f aca="false">E425+H425+K425</f>
        <v>1439514.55158519</v>
      </c>
    </row>
    <row r="426" customFormat="false" ht="15" hidden="false" customHeight="false" outlineLevel="0" collapsed="false">
      <c r="A426" s="39" t="n">
        <v>420</v>
      </c>
      <c r="B426" s="39" t="n">
        <f aca="false">ROUNDUP(A426/12,0)</f>
        <v>35</v>
      </c>
      <c r="C426" s="40" t="n">
        <f aca="false">E425*Annahmen!$B$38/12</f>
        <v>1108.28988490576</v>
      </c>
      <c r="D426" s="40" t="n">
        <f aca="false">MIN($C$3-C426,E425)</f>
        <v>2391.71011509424</v>
      </c>
      <c r="E426" s="40" t="n">
        <f aca="false">E425-D426</f>
        <v>529587.43463967</v>
      </c>
      <c r="F426" s="40" t="n">
        <f aca="false">H425*Annahmen!$B$39/12</f>
        <v>751.507107697155</v>
      </c>
      <c r="G426" s="40" t="n">
        <f aca="false">MIN($F$3-F426,H425)</f>
        <v>1855.15955896951</v>
      </c>
      <c r="H426" s="40" t="n">
        <f aca="false">H425-G426</f>
        <v>298747.683519892</v>
      </c>
      <c r="I426" s="40" t="n">
        <f aca="false">K425*Annahmen!$B$40/12</f>
        <v>2023.10854583856</v>
      </c>
      <c r="J426" s="40" t="n">
        <f aca="false">MIN($I$3-I426,K425)</f>
        <v>8430.38187884124</v>
      </c>
      <c r="K426" s="40" t="n">
        <f aca="false">K425-J426</f>
        <v>598502.181872726</v>
      </c>
      <c r="L426" s="40" t="n">
        <f aca="false">C426+F426+I426</f>
        <v>3882.90553844147</v>
      </c>
      <c r="M426" s="40" t="n">
        <f aca="false">D426+G426+J426</f>
        <v>12677.251552905</v>
      </c>
      <c r="N426" s="40" t="n">
        <f aca="false">L426+M426</f>
        <v>16560.1570913465</v>
      </c>
      <c r="O426" s="40" t="n">
        <f aca="false">E426+H426+K426</f>
        <v>1426837.30003229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8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275</v>
      </c>
    </row>
    <row r="2" customFormat="false" ht="15" hidden="false" customHeight="false" outlineLevel="0" collapsed="false">
      <c r="A2" s="2" t="s">
        <v>276</v>
      </c>
    </row>
    <row r="4" customFormat="false" ht="15" hidden="false" customHeight="false" outlineLevel="0" collapsed="false">
      <c r="A4" s="3" t="s">
        <v>277</v>
      </c>
      <c r="B4" s="4" t="s">
        <v>278</v>
      </c>
      <c r="C4" s="4" t="s">
        <v>279</v>
      </c>
      <c r="D4" s="4" t="s">
        <v>280</v>
      </c>
    </row>
    <row r="5" customFormat="false" ht="15" hidden="false" customHeight="false" outlineLevel="0" collapsed="false">
      <c r="A5" s="7" t="s">
        <v>281</v>
      </c>
      <c r="B5" s="31" t="n">
        <f aca="false">'Flächen und Mieten'!F21</f>
        <v>8102.94117647059</v>
      </c>
      <c r="C5" s="31" t="n">
        <f aca="false">B5*12</f>
        <v>97235.2941176471</v>
      </c>
      <c r="D5" s="9"/>
    </row>
    <row r="6" customFormat="false" ht="15" hidden="false" customHeight="false" outlineLevel="0" collapsed="false">
      <c r="A6" s="7" t="s">
        <v>282</v>
      </c>
      <c r="B6" s="31" t="n">
        <f aca="false">'Flächen und Mieten'!F22</f>
        <v>5520</v>
      </c>
      <c r="C6" s="31" t="n">
        <f aca="false">B6*12</f>
        <v>66240</v>
      </c>
      <c r="D6" s="9" t="s">
        <v>283</v>
      </c>
    </row>
    <row r="7" customFormat="false" ht="15" hidden="false" customHeight="false" outlineLevel="0" collapsed="false">
      <c r="A7" s="7" t="s">
        <v>284</v>
      </c>
      <c r="B7" s="41" t="n">
        <f aca="false">-Annahmen!$B$31*(B5+B6)</f>
        <v>-1362.29411764706</v>
      </c>
      <c r="C7" s="41" t="n">
        <f aca="false">B7*12</f>
        <v>-16347.5294117647</v>
      </c>
      <c r="D7" s="9" t="s">
        <v>285</v>
      </c>
    </row>
    <row r="8" customFormat="false" ht="15" hidden="false" customHeight="false" outlineLevel="0" collapsed="false">
      <c r="A8" s="27" t="s">
        <v>286</v>
      </c>
      <c r="B8" s="33" t="n">
        <f aca="false">B5+B6+B7</f>
        <v>12260.6470588235</v>
      </c>
      <c r="C8" s="33" t="n">
        <f aca="false">B8*12</f>
        <v>147127.764705882</v>
      </c>
      <c r="D8" s="9"/>
    </row>
    <row r="9" customFormat="false" ht="15" hidden="false" customHeight="false" outlineLevel="0" collapsed="false">
      <c r="A9" s="7" t="s">
        <v>287</v>
      </c>
      <c r="B9" s="31" t="n">
        <f aca="false">'Gastro Betrieb'!C19</f>
        <v>9730</v>
      </c>
      <c r="C9" s="31" t="n">
        <f aca="false">B9*12</f>
        <v>116760</v>
      </c>
      <c r="D9" s="9" t="s">
        <v>288</v>
      </c>
    </row>
    <row r="10" customFormat="false" ht="15" hidden="false" customHeight="false" outlineLevel="0" collapsed="false">
      <c r="A10" s="27" t="s">
        <v>289</v>
      </c>
      <c r="B10" s="33" t="n">
        <f aca="false">B8+B9</f>
        <v>21990.6470588235</v>
      </c>
      <c r="C10" s="33" t="n">
        <f aca="false">B10*12</f>
        <v>263887.764705882</v>
      </c>
      <c r="D10" s="9"/>
    </row>
    <row r="11" customFormat="false" ht="15" hidden="false" customHeight="false" outlineLevel="0" collapsed="false">
      <c r="A11" s="7" t="s">
        <v>290</v>
      </c>
      <c r="B11" s="41" t="n">
        <f aca="false">-Tilgungsplan!N3</f>
        <v>-16560.1570913465</v>
      </c>
      <c r="C11" s="41" t="n">
        <f aca="false">B11*12</f>
        <v>-198721.885096158</v>
      </c>
      <c r="D11" s="9"/>
    </row>
    <row r="12" customFormat="false" ht="15" hidden="false" customHeight="false" outlineLevel="0" collapsed="false">
      <c r="A12" s="27" t="s">
        <v>34</v>
      </c>
      <c r="B12" s="42" t="n">
        <f aca="false">B10+B11</f>
        <v>5430.48996747706</v>
      </c>
      <c r="C12" s="43" t="n">
        <f aca="false">B12*12</f>
        <v>65165.8796097247</v>
      </c>
      <c r="D12" s="9" t="s">
        <v>291</v>
      </c>
    </row>
    <row r="14" customFormat="false" ht="15" hidden="false" customHeight="false" outlineLevel="0" collapsed="false">
      <c r="A14" s="27" t="s">
        <v>35</v>
      </c>
      <c r="B14" s="44" t="n">
        <f aca="false">B10/-B11</f>
        <v>1.32792502737276</v>
      </c>
      <c r="D14" s="9" t="s">
        <v>36</v>
      </c>
    </row>
    <row r="15" customFormat="false" ht="15" hidden="false" customHeight="false" outlineLevel="0" collapsed="false">
      <c r="A15" s="27" t="s">
        <v>292</v>
      </c>
      <c r="B15" s="45" t="n">
        <f aca="false">B8/-B11</f>
        <v>0.740370214557345</v>
      </c>
      <c r="D15" s="9" t="s">
        <v>293</v>
      </c>
    </row>
    <row r="16" customFormat="false" ht="15" hidden="false" customHeight="false" outlineLevel="0" collapsed="false">
      <c r="A16" s="7" t="s">
        <v>294</v>
      </c>
      <c r="B16" s="46" t="n">
        <f aca="false">B10/('Tilgung Jahre'!B5/12)</f>
        <v>1.72361296513502</v>
      </c>
    </row>
    <row r="17" customFormat="false" ht="15" hidden="false" customHeight="false" outlineLevel="0" collapsed="false">
      <c r="A17" s="7" t="s">
        <v>295</v>
      </c>
      <c r="B17" s="47" t="n">
        <f aca="false">C8/'Kosten und Finanzierung'!B18</f>
        <v>0.0327617639450378</v>
      </c>
    </row>
    <row r="18" customFormat="false" ht="15" hidden="false" customHeight="false" outlineLevel="0" collapsed="false">
      <c r="A18" s="7" t="s">
        <v>296</v>
      </c>
      <c r="B18" s="31" t="n">
        <f aca="false">(-B8-B11+'Flächen und Mieten'!F22+Annahmen!$B$34)/Annahmen!$B$33</f>
        <v>32195.114860731</v>
      </c>
      <c r="D18" s="9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298</v>
      </c>
    </row>
    <row r="2" customFormat="false" ht="15" hidden="false" customHeight="false" outlineLevel="0" collapsed="false">
      <c r="A2" s="2" t="s">
        <v>299</v>
      </c>
    </row>
    <row r="4" customFormat="false" ht="15" hidden="false" customHeight="false" outlineLevel="0" collapsed="false">
      <c r="A4" s="3" t="s">
        <v>300</v>
      </c>
      <c r="B4" s="4" t="s">
        <v>181</v>
      </c>
      <c r="C4" s="4" t="s">
        <v>301</v>
      </c>
      <c r="D4" s="4" t="s">
        <v>280</v>
      </c>
    </row>
    <row r="5" customFormat="false" ht="15" hidden="false" customHeight="false" outlineLevel="0" collapsed="false">
      <c r="A5" s="27" t="s">
        <v>302</v>
      </c>
      <c r="B5" s="7"/>
      <c r="C5" s="10" t="n">
        <f aca="false">Annahmen!$B$32</f>
        <v>50000</v>
      </c>
    </row>
    <row r="6" customFormat="false" ht="15" hidden="false" customHeight="false" outlineLevel="0" collapsed="false">
      <c r="A6" s="7" t="s">
        <v>303</v>
      </c>
      <c r="B6" s="20" t="n">
        <v>0.28</v>
      </c>
      <c r="C6" s="31" t="n">
        <f aca="false">-$C$5*B6</f>
        <v>-14000</v>
      </c>
    </row>
    <row r="7" customFormat="false" ht="15" hidden="false" customHeight="false" outlineLevel="0" collapsed="false">
      <c r="A7" s="7" t="s">
        <v>304</v>
      </c>
      <c r="B7" s="20" t="n">
        <v>0.3</v>
      </c>
      <c r="C7" s="31" t="n">
        <f aca="false">-$C$5*B7</f>
        <v>-15000</v>
      </c>
    </row>
    <row r="8" customFormat="false" ht="15" hidden="false" customHeight="false" outlineLevel="0" collapsed="false">
      <c r="A8" s="7" t="s">
        <v>305</v>
      </c>
      <c r="B8" s="20" t="n">
        <v>0.03</v>
      </c>
      <c r="C8" s="31" t="n">
        <f aca="false">-$C$5*B8</f>
        <v>-1500</v>
      </c>
    </row>
    <row r="9" customFormat="false" ht="15" hidden="false" customHeight="false" outlineLevel="0" collapsed="false">
      <c r="A9" s="7" t="s">
        <v>306</v>
      </c>
      <c r="B9" s="20" t="n">
        <v>0.02</v>
      </c>
      <c r="C9" s="31" t="n">
        <f aca="false">-$C$5*B9</f>
        <v>-1000</v>
      </c>
    </row>
    <row r="10" customFormat="false" ht="15" hidden="false" customHeight="false" outlineLevel="0" collapsed="false">
      <c r="A10" s="7" t="s">
        <v>307</v>
      </c>
      <c r="B10" s="20" t="n">
        <v>0.015</v>
      </c>
      <c r="C10" s="31" t="n">
        <f aca="false">-$C$5*B10</f>
        <v>-750</v>
      </c>
    </row>
    <row r="11" customFormat="false" ht="15" hidden="false" customHeight="false" outlineLevel="0" collapsed="false">
      <c r="A11" s="7" t="s">
        <v>308</v>
      </c>
      <c r="B11" s="20" t="n">
        <v>0.015</v>
      </c>
      <c r="C11" s="31" t="n">
        <f aca="false">-$C$5*B11</f>
        <v>-750</v>
      </c>
    </row>
    <row r="12" customFormat="false" ht="15" hidden="false" customHeight="false" outlineLevel="0" collapsed="false">
      <c r="A12" s="7" t="s">
        <v>309</v>
      </c>
      <c r="B12" s="20" t="n">
        <v>0.015</v>
      </c>
      <c r="C12" s="31" t="n">
        <f aca="false">-$C$5*B12</f>
        <v>-750</v>
      </c>
    </row>
    <row r="13" customFormat="false" ht="15" hidden="false" customHeight="false" outlineLevel="0" collapsed="false">
      <c r="A13" s="7" t="s">
        <v>310</v>
      </c>
      <c r="B13" s="20" t="n">
        <v>0.01</v>
      </c>
      <c r="C13" s="31" t="n">
        <f aca="false">-$C$5*B13</f>
        <v>-500</v>
      </c>
    </row>
    <row r="14" customFormat="false" ht="15" hidden="false" customHeight="false" outlineLevel="0" collapsed="false">
      <c r="A14" s="7" t="s">
        <v>311</v>
      </c>
      <c r="B14" s="20" t="n">
        <v>0.01</v>
      </c>
      <c r="C14" s="31" t="n">
        <f aca="false">-$C$5*B14</f>
        <v>-500</v>
      </c>
    </row>
    <row r="15" customFormat="false" ht="15" hidden="false" customHeight="false" outlineLevel="0" collapsed="false">
      <c r="A15" s="27" t="s">
        <v>312</v>
      </c>
      <c r="B15" s="36" t="n">
        <f aca="false">SUM(B6:B14)</f>
        <v>0.695</v>
      </c>
      <c r="C15" s="33" t="n">
        <f aca="false">SUM(C6:C14)</f>
        <v>-34750</v>
      </c>
    </row>
    <row r="16" customFormat="false" ht="15" hidden="false" customHeight="false" outlineLevel="0" collapsed="false">
      <c r="A16" s="27" t="s">
        <v>313</v>
      </c>
      <c r="B16" s="36" t="n">
        <f aca="false">1-B15</f>
        <v>0.305</v>
      </c>
      <c r="C16" s="33" t="n">
        <f aca="false">C5+C15</f>
        <v>15250</v>
      </c>
      <c r="D16" s="9" t="s">
        <v>314</v>
      </c>
    </row>
    <row r="17" customFormat="false" ht="15" hidden="false" customHeight="false" outlineLevel="0" collapsed="false">
      <c r="A17" s="7" t="s">
        <v>315</v>
      </c>
      <c r="C17" s="31" t="n">
        <f aca="false">-'Flächen und Mieten'!F22</f>
        <v>-5520</v>
      </c>
    </row>
    <row r="18" customFormat="false" ht="15" hidden="false" customHeight="false" outlineLevel="0" collapsed="false">
      <c r="A18" s="7" t="s">
        <v>316</v>
      </c>
      <c r="C18" s="10" t="n">
        <f aca="false">-Annahmen!$B$34</f>
        <v>-0</v>
      </c>
    </row>
    <row r="19" customFormat="false" ht="15" hidden="false" customHeight="false" outlineLevel="0" collapsed="false">
      <c r="A19" s="27" t="s">
        <v>317</v>
      </c>
      <c r="C19" s="35" t="n">
        <f aca="false">C16+C17+C18</f>
        <v>9730</v>
      </c>
    </row>
    <row r="20" customFormat="false" ht="15" hidden="false" customHeight="false" outlineLevel="0" collapsed="false">
      <c r="A20" s="7" t="s">
        <v>318</v>
      </c>
      <c r="C20" s="31" t="n">
        <f aca="false">('Flächen und Mieten'!F22+Annahmen!$B$34)/B16</f>
        <v>18098.3606557377</v>
      </c>
    </row>
    <row r="23" customFormat="false" ht="15" hidden="false" customHeight="false" outlineLevel="0" collapsed="false">
      <c r="A23" s="3" t="s">
        <v>319</v>
      </c>
      <c r="B23" s="4"/>
      <c r="C23" s="4" t="s">
        <v>313</v>
      </c>
      <c r="D23" s="4" t="s">
        <v>320</v>
      </c>
    </row>
    <row r="24" customFormat="false" ht="15" hidden="false" customHeight="false" outlineLevel="0" collapsed="false">
      <c r="A24" s="19" t="n">
        <v>30000</v>
      </c>
      <c r="C24" s="31" t="n">
        <f aca="false">A24*$B$16</f>
        <v>9150</v>
      </c>
      <c r="D24" s="41" t="n">
        <f aca="false">C24-'Flächen und Mieten'!$F$22-Annahmen!$B$34</f>
        <v>3630</v>
      </c>
    </row>
    <row r="25" customFormat="false" ht="15" hidden="false" customHeight="false" outlineLevel="0" collapsed="false">
      <c r="A25" s="19" t="n">
        <v>40000</v>
      </c>
      <c r="C25" s="31" t="n">
        <f aca="false">A25*$B$16</f>
        <v>12200</v>
      </c>
      <c r="D25" s="41" t="n">
        <f aca="false">C25-'Flächen und Mieten'!$F$22-Annahmen!$B$34</f>
        <v>6680</v>
      </c>
    </row>
    <row r="26" customFormat="false" ht="15" hidden="false" customHeight="false" outlineLevel="0" collapsed="false">
      <c r="A26" s="19" t="n">
        <v>50000</v>
      </c>
      <c r="C26" s="31" t="n">
        <f aca="false">A26*$B$16</f>
        <v>15250</v>
      </c>
      <c r="D26" s="41" t="n">
        <f aca="false">C26-'Flächen und Mieten'!$F$22-Annahmen!$B$34</f>
        <v>9730</v>
      </c>
    </row>
    <row r="27" customFormat="false" ht="15" hidden="false" customHeight="false" outlineLevel="0" collapsed="false">
      <c r="A27" s="19" t="n">
        <v>60000</v>
      </c>
      <c r="C27" s="31" t="n">
        <f aca="false">A27*$B$16</f>
        <v>18300</v>
      </c>
      <c r="D27" s="41" t="n">
        <f aca="false">C27-'Flächen und Mieten'!$F$22-Annahmen!$B$34</f>
        <v>12780</v>
      </c>
    </row>
    <row r="28" customFormat="false" ht="15" hidden="false" customHeight="false" outlineLevel="0" collapsed="false">
      <c r="A28" s="19" t="n">
        <v>70000</v>
      </c>
      <c r="C28" s="31" t="n">
        <f aca="false">A28*$B$16</f>
        <v>21350</v>
      </c>
      <c r="D28" s="41" t="n">
        <f aca="false">C28-'Flächen und Mieten'!$F$22-Annahmen!$B$34</f>
        <v>15830</v>
      </c>
    </row>
    <row r="30" customFormat="false" ht="15" hidden="false" customHeight="false" outlineLevel="0" collapsed="false">
      <c r="A30" s="16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44"/>
  </cols>
  <sheetData>
    <row r="1" customFormat="false" ht="19.7" hidden="false" customHeight="false" outlineLevel="0" collapsed="false">
      <c r="A1" s="1" t="s">
        <v>322</v>
      </c>
    </row>
    <row r="2" customFormat="false" ht="15" hidden="false" customHeight="false" outlineLevel="0" collapsed="false">
      <c r="A2" s="2" t="s">
        <v>323</v>
      </c>
    </row>
    <row r="4" customFormat="false" ht="15" hidden="false" customHeight="false" outlineLevel="0" collapsed="false">
      <c r="A4" s="3" t="s">
        <v>324</v>
      </c>
      <c r="B4" s="4" t="s">
        <v>180</v>
      </c>
      <c r="C4" s="4" t="s">
        <v>182</v>
      </c>
    </row>
    <row r="5" customFormat="false" ht="15" hidden="false" customHeight="false" outlineLevel="0" collapsed="false">
      <c r="A5" s="7" t="s">
        <v>325</v>
      </c>
      <c r="B5" s="31" t="n">
        <f aca="false">'Flächen und Mieten'!G20</f>
        <v>97235.2941176471</v>
      </c>
      <c r="C5" s="9"/>
    </row>
    <row r="6" customFormat="false" ht="15" hidden="false" customHeight="false" outlineLevel="0" collapsed="false">
      <c r="A6" s="7" t="s">
        <v>326</v>
      </c>
      <c r="B6" s="31" t="n">
        <f aca="false">'Flächen und Mieten'!G22</f>
        <v>66240</v>
      </c>
      <c r="C6" s="9"/>
    </row>
    <row r="7" customFormat="false" ht="15" hidden="false" customHeight="false" outlineLevel="0" collapsed="false">
      <c r="A7" s="27" t="s">
        <v>327</v>
      </c>
      <c r="B7" s="33" t="n">
        <f aca="false">B5+B6</f>
        <v>163475.294117647</v>
      </c>
      <c r="C7" s="9"/>
    </row>
    <row r="8" customFormat="false" ht="15" hidden="false" customHeight="false" outlineLevel="0" collapsed="false">
      <c r="A8" s="7" t="s">
        <v>328</v>
      </c>
      <c r="B8" s="31" t="n">
        <f aca="false">-(Annahmen!$B$24+Annahmen!$B$26)*Annahmen!$B$49</f>
        <v>-2880</v>
      </c>
      <c r="C8" s="9" t="s">
        <v>329</v>
      </c>
    </row>
    <row r="9" customFormat="false" ht="15" hidden="false" customHeight="false" outlineLevel="0" collapsed="false">
      <c r="A9" s="7" t="s">
        <v>330</v>
      </c>
      <c r="B9" s="31" t="n">
        <f aca="false">-(Annahmen!$B$23+Annahmen!$B$25)*Annahmen!$B$50</f>
        <v>-8700</v>
      </c>
      <c r="C9" s="9" t="s">
        <v>331</v>
      </c>
    </row>
    <row r="10" customFormat="false" ht="15" hidden="false" customHeight="false" outlineLevel="0" collapsed="false">
      <c r="A10" s="7" t="s">
        <v>134</v>
      </c>
      <c r="B10" s="31" t="n">
        <f aca="false">-B5*Annahmen!$B$51</f>
        <v>-1944.70588235294</v>
      </c>
      <c r="C10" s="9"/>
    </row>
    <row r="11" customFormat="false" ht="15" hidden="false" customHeight="false" outlineLevel="0" collapsed="false">
      <c r="A11" s="7" t="s">
        <v>332</v>
      </c>
      <c r="B11" s="31" t="n">
        <f aca="false">-B6*Annahmen!$B$52</f>
        <v>-1987.2</v>
      </c>
      <c r="C11" s="9"/>
    </row>
    <row r="12" customFormat="false" ht="15" hidden="false" customHeight="false" outlineLevel="0" collapsed="false">
      <c r="A12" s="7" t="s">
        <v>333</v>
      </c>
      <c r="B12" s="31" t="n">
        <f aca="false">-Annahmen!$B$21*Annahmen!$B$53</f>
        <v>-3680</v>
      </c>
      <c r="C12" s="9"/>
    </row>
    <row r="13" customFormat="false" ht="15" hidden="false" customHeight="false" outlineLevel="0" collapsed="false">
      <c r="A13" s="7" t="s">
        <v>137</v>
      </c>
      <c r="B13" s="31" t="n">
        <f aca="false">-B6*Annahmen!$B$54</f>
        <v>-2649.6</v>
      </c>
      <c r="C13" s="9"/>
    </row>
    <row r="14" customFormat="false" ht="15" hidden="false" customHeight="false" outlineLevel="0" collapsed="false">
      <c r="A14" s="27" t="s">
        <v>334</v>
      </c>
      <c r="B14" s="33" t="n">
        <f aca="false">SUM(B8:B13)</f>
        <v>-21841.5058823529</v>
      </c>
      <c r="C14" s="9"/>
    </row>
    <row r="15" customFormat="false" ht="15" hidden="false" customHeight="false" outlineLevel="0" collapsed="false">
      <c r="A15" s="27" t="s">
        <v>335</v>
      </c>
      <c r="B15" s="33" t="n">
        <f aca="false">B7+B14</f>
        <v>141633.788235294</v>
      </c>
      <c r="C15" s="9"/>
    </row>
    <row r="16" customFormat="false" ht="15" hidden="false" customHeight="false" outlineLevel="0" collapsed="false">
      <c r="A16" s="7" t="s">
        <v>336</v>
      </c>
      <c r="B16" s="31" t="n">
        <f aca="false">Annahmen!$B$5*Annahmen!$B$6</f>
        <v>220800</v>
      </c>
      <c r="C16" s="9" t="s">
        <v>337</v>
      </c>
    </row>
    <row r="17" customFormat="false" ht="15" hidden="false" customHeight="false" outlineLevel="0" collapsed="false">
      <c r="A17" s="7" t="s">
        <v>338</v>
      </c>
      <c r="B17" s="31" t="n">
        <f aca="false">-B16*Annahmen!$B$47</f>
        <v>-9936</v>
      </c>
      <c r="C17" s="9" t="s">
        <v>339</v>
      </c>
    </row>
    <row r="18" customFormat="false" ht="15" hidden="false" customHeight="false" outlineLevel="0" collapsed="false">
      <c r="A18" s="7" t="s">
        <v>340</v>
      </c>
      <c r="B18" s="31" t="n">
        <f aca="false">B15+B17</f>
        <v>131697.788235294</v>
      </c>
      <c r="C18" s="9"/>
    </row>
    <row r="19" customFormat="false" ht="15" hidden="false" customHeight="false" outlineLevel="0" collapsed="false">
      <c r="A19" s="7" t="s">
        <v>341</v>
      </c>
      <c r="B19" s="48" t="n">
        <f aca="false">((1+Annahmen!$B$47)^Annahmen!$B$48-1)/(Annahmen!$B$47*(1+Annahmen!$B$47)^Annahmen!$B$48)</f>
        <v>21.5653449276088</v>
      </c>
      <c r="C19" s="9" t="s">
        <v>342</v>
      </c>
    </row>
    <row r="20" customFormat="false" ht="15" hidden="false" customHeight="false" outlineLevel="0" collapsed="false">
      <c r="A20" s="7" t="s">
        <v>343</v>
      </c>
      <c r="B20" s="31" t="n">
        <f aca="false">B18*B19</f>
        <v>2840108.2294973</v>
      </c>
      <c r="C20" s="9"/>
    </row>
    <row r="21" customFormat="false" ht="15" hidden="false" customHeight="false" outlineLevel="0" collapsed="false">
      <c r="A21" s="27" t="s">
        <v>344</v>
      </c>
      <c r="B21" s="35" t="n">
        <f aca="false">B20+B16</f>
        <v>3060908.2294973</v>
      </c>
      <c r="C21" s="9"/>
    </row>
    <row r="24" customFormat="false" ht="15" hidden="false" customHeight="false" outlineLevel="0" collapsed="false">
      <c r="A24" s="3" t="s">
        <v>345</v>
      </c>
      <c r="B24" s="4" t="s">
        <v>180</v>
      </c>
      <c r="C24" s="4" t="s">
        <v>182</v>
      </c>
    </row>
    <row r="25" customFormat="false" ht="15" hidden="false" customHeight="false" outlineLevel="0" collapsed="false">
      <c r="A25" s="7" t="s">
        <v>346</v>
      </c>
      <c r="B25" s="31" t="n">
        <f aca="false">B16+'Kosten und Finanzierung'!B12+'Kosten und Finanzierung'!B13+'Kosten und Finanzierung'!B14</f>
        <v>4054315.8</v>
      </c>
      <c r="C25" s="9" t="s">
        <v>347</v>
      </c>
    </row>
    <row r="26" customFormat="false" ht="15" hidden="false" customHeight="false" outlineLevel="0" collapsed="false">
      <c r="A26" s="7" t="s">
        <v>39</v>
      </c>
      <c r="B26" s="31" t="n">
        <f aca="false">B21</f>
        <v>3060908.2294973</v>
      </c>
      <c r="C26" s="9"/>
    </row>
    <row r="27" customFormat="false" ht="15" hidden="false" customHeight="false" outlineLevel="0" collapsed="false">
      <c r="A27" s="7" t="s">
        <v>348</v>
      </c>
      <c r="B27" s="31" t="n">
        <f aca="false">MIN(B25,B26)</f>
        <v>3060908.2294973</v>
      </c>
      <c r="C27" s="9" t="s">
        <v>349</v>
      </c>
    </row>
    <row r="28" customFormat="false" ht="15" hidden="false" customHeight="false" outlineLevel="0" collapsed="false">
      <c r="A28" s="27" t="s">
        <v>350</v>
      </c>
      <c r="B28" s="35" t="n">
        <f aca="false">B27*(1-Annahmen!$B$55)</f>
        <v>2754817.40654757</v>
      </c>
      <c r="C28" s="9" t="s">
        <v>351</v>
      </c>
    </row>
    <row r="29" customFormat="false" ht="15" hidden="false" customHeight="false" outlineLevel="0" collapsed="false">
      <c r="A29" s="7" t="s">
        <v>201</v>
      </c>
      <c r="B29" s="31" t="n">
        <f aca="false">'Kosten und Finanzierung'!B18</f>
        <v>4490837.70192315</v>
      </c>
      <c r="C29" s="9"/>
    </row>
    <row r="30" customFormat="false" ht="15" hidden="false" customHeight="false" outlineLevel="0" collapsed="false">
      <c r="A30" s="7" t="s">
        <v>352</v>
      </c>
      <c r="B30" s="31" t="n">
        <f aca="false">'Kosten und Finanzierung'!B29</f>
        <v>4490837.70192315</v>
      </c>
      <c r="C30" s="9"/>
    </row>
    <row r="31" customFormat="false" ht="15" hidden="false" customHeight="false" outlineLevel="0" collapsed="false">
      <c r="A31" s="27" t="s">
        <v>353</v>
      </c>
      <c r="B31" s="49" t="n">
        <f aca="false">B30/B28</f>
        <v>1.63017617474373</v>
      </c>
      <c r="C31" s="9" t="s">
        <v>354</v>
      </c>
    </row>
    <row r="32" customFormat="false" ht="15" hidden="false" customHeight="false" outlineLevel="0" collapsed="false">
      <c r="A32" s="7" t="s">
        <v>355</v>
      </c>
      <c r="B32" s="34" t="n">
        <f aca="false">('Kosten und Finanzierung'!B24+'Kosten und Finanzierung'!B25+'Kosten und Finanzierung'!B26)/B28</f>
        <v>0.719466921941629</v>
      </c>
      <c r="C32" s="9"/>
    </row>
    <row r="33" customFormat="false" ht="15" hidden="false" customHeight="false" outlineLevel="0" collapsed="false">
      <c r="A33" s="27" t="s">
        <v>356</v>
      </c>
      <c r="B33" s="43" t="n">
        <f aca="false">B21-B29</f>
        <v>-1429929.47242585</v>
      </c>
      <c r="C33" s="9" t="s">
        <v>357</v>
      </c>
    </row>
    <row r="34" customFormat="false" ht="15" hidden="false" customHeight="false" outlineLevel="0" collapsed="false">
      <c r="A34" s="7" t="s">
        <v>358</v>
      </c>
      <c r="B34" s="31" t="n">
        <f aca="false">MAX(0,B30-0.8*B28)</f>
        <v>2286983.7766851</v>
      </c>
      <c r="C34" s="9" t="s">
        <v>359</v>
      </c>
    </row>
    <row r="35" customFormat="false" ht="15" hidden="false" customHeight="false" outlineLevel="0" collapsed="false">
      <c r="A35" s="7" t="s">
        <v>360</v>
      </c>
      <c r="B35" s="29" t="n">
        <f aca="false">B21/B7</f>
        <v>18.7239805624358</v>
      </c>
      <c r="C35" s="9" t="s">
        <v>361</v>
      </c>
    </row>
    <row r="36" customFormat="false" ht="15" hidden="false" customHeight="false" outlineLevel="0" collapsed="false">
      <c r="A36" s="7" t="s">
        <v>362</v>
      </c>
      <c r="B36" s="29" t="n">
        <f aca="false">B29/B7</f>
        <v>27.4710483083227</v>
      </c>
      <c r="C36" s="9"/>
    </row>
    <row r="38" customFormat="false" ht="15" hidden="false" customHeight="false" outlineLevel="0" collapsed="false">
      <c r="A38" s="16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3"/>
  </cols>
  <sheetData>
    <row r="1" customFormat="false" ht="19.7" hidden="false" customHeight="false" outlineLevel="0" collapsed="false">
      <c r="A1" s="1" t="s">
        <v>364</v>
      </c>
    </row>
    <row r="2" customFormat="false" ht="15" hidden="false" customHeight="false" outlineLevel="0" collapsed="false">
      <c r="A2" s="2" t="s">
        <v>365</v>
      </c>
    </row>
    <row r="4" customFormat="false" ht="15" hidden="false" customHeight="false" outlineLevel="0" collapsed="false">
      <c r="A4" s="3" t="s">
        <v>247</v>
      </c>
      <c r="B4" s="4" t="s">
        <v>366</v>
      </c>
      <c r="C4" s="4" t="s">
        <v>367</v>
      </c>
      <c r="D4" s="4" t="s">
        <v>368</v>
      </c>
      <c r="E4" s="4" t="s">
        <v>369</v>
      </c>
      <c r="F4" s="4" t="s">
        <v>370</v>
      </c>
      <c r="G4" s="4" t="s">
        <v>371</v>
      </c>
      <c r="H4" s="4" t="s">
        <v>372</v>
      </c>
      <c r="I4" s="4" t="s">
        <v>373</v>
      </c>
      <c r="J4" s="4" t="s">
        <v>374</v>
      </c>
      <c r="K4" s="4" t="s">
        <v>375</v>
      </c>
    </row>
    <row r="5" customFormat="false" ht="15" hidden="false" customHeight="false" outlineLevel="0" collapsed="false">
      <c r="A5" s="7" t="s">
        <v>376</v>
      </c>
      <c r="B5" s="31" t="n">
        <f aca="false">'Flächen und Mieten'!$G$21*(1+Annahmen!$B$57)^(1-1)</f>
        <v>97235.2941176471</v>
      </c>
      <c r="C5" s="31" t="n">
        <f aca="false">'Flächen und Mieten'!$G$21*(1+Annahmen!$B$57)^(2-1)</f>
        <v>98693.8235294118</v>
      </c>
      <c r="D5" s="31" t="n">
        <f aca="false">'Flächen und Mieten'!$G$21*(1+Annahmen!$B$57)^(3-1)</f>
        <v>100174.230882353</v>
      </c>
      <c r="E5" s="31" t="n">
        <f aca="false">'Flächen und Mieten'!$G$21*(1+Annahmen!$B$57)^(4-1)</f>
        <v>101676.844345588</v>
      </c>
      <c r="F5" s="31" t="n">
        <f aca="false">'Flächen und Mieten'!$G$21*(1+Annahmen!$B$57)^(5-1)</f>
        <v>103201.997010772</v>
      </c>
      <c r="G5" s="31" t="n">
        <f aca="false">'Flächen und Mieten'!$G$21*(1+Annahmen!$B$57)^(6-1)</f>
        <v>104750.026965934</v>
      </c>
      <c r="H5" s="31" t="n">
        <f aca="false">'Flächen und Mieten'!$G$21*(1+Annahmen!$B$57)^(7-1)</f>
        <v>106321.277370423</v>
      </c>
      <c r="I5" s="31" t="n">
        <f aca="false">'Flächen und Mieten'!$G$21*(1+Annahmen!$B$57)^(8-1)</f>
        <v>107916.096530979</v>
      </c>
      <c r="J5" s="31" t="n">
        <f aca="false">'Flächen und Mieten'!$G$21*(1+Annahmen!$B$57)^(9-1)</f>
        <v>109534.837978944</v>
      </c>
      <c r="K5" s="31" t="n">
        <f aca="false">'Flächen und Mieten'!$G$21*(1+Annahmen!$B$57)^(10-1)</f>
        <v>111177.860548628</v>
      </c>
    </row>
    <row r="6" customFormat="false" ht="15" hidden="false" customHeight="false" outlineLevel="0" collapsed="false">
      <c r="A6" s="7" t="s">
        <v>282</v>
      </c>
      <c r="B6" s="31" t="n">
        <f aca="false">'Flächen und Mieten'!$G$22*(1+Annahmen!$B$57)^(1-1)</f>
        <v>66240</v>
      </c>
      <c r="C6" s="31" t="n">
        <f aca="false">'Flächen und Mieten'!$G$22*(1+Annahmen!$B$57)^(2-1)</f>
        <v>67233.6</v>
      </c>
      <c r="D6" s="31" t="n">
        <f aca="false">'Flächen und Mieten'!$G$22*(1+Annahmen!$B$57)^(3-1)</f>
        <v>68242.104</v>
      </c>
      <c r="E6" s="31" t="n">
        <f aca="false">'Flächen und Mieten'!$G$22*(1+Annahmen!$B$57)^(4-1)</f>
        <v>69265.73556</v>
      </c>
      <c r="F6" s="31" t="n">
        <f aca="false">'Flächen und Mieten'!$G$22*(1+Annahmen!$B$57)^(5-1)</f>
        <v>70304.7215934</v>
      </c>
      <c r="G6" s="31" t="n">
        <f aca="false">'Flächen und Mieten'!$G$22*(1+Annahmen!$B$57)^(6-1)</f>
        <v>71359.292417301</v>
      </c>
      <c r="H6" s="31" t="n">
        <f aca="false">'Flächen und Mieten'!$G$22*(1+Annahmen!$B$57)^(7-1)</f>
        <v>72429.6818035605</v>
      </c>
      <c r="I6" s="31" t="n">
        <f aca="false">'Flächen und Mieten'!$G$22*(1+Annahmen!$B$57)^(8-1)</f>
        <v>73516.1270306139</v>
      </c>
      <c r="J6" s="31" t="n">
        <f aca="false">'Flächen und Mieten'!$G$22*(1+Annahmen!$B$57)^(9-1)</f>
        <v>74618.8689360731</v>
      </c>
      <c r="K6" s="31" t="n">
        <f aca="false">'Flächen und Mieten'!$G$22*(1+Annahmen!$B$57)^(10-1)</f>
        <v>75738.1519701142</v>
      </c>
    </row>
    <row r="7" customFormat="false" ht="15" hidden="false" customHeight="false" outlineLevel="0" collapsed="false">
      <c r="A7" s="7" t="s">
        <v>377</v>
      </c>
      <c r="B7" s="41" t="n">
        <f aca="false">-Annahmen!$B$31*(B5+B6)</f>
        <v>-16347.5294117647</v>
      </c>
      <c r="C7" s="41" t="n">
        <f aca="false">-Annahmen!$B$31*(C5+C6)</f>
        <v>-16592.7423529412</v>
      </c>
      <c r="D7" s="41" t="n">
        <f aca="false">-Annahmen!$B$31*(D5+D6)</f>
        <v>-16841.6334882353</v>
      </c>
      <c r="E7" s="41" t="n">
        <f aca="false">-Annahmen!$B$31*(E5+E6)</f>
        <v>-17094.2579905588</v>
      </c>
      <c r="F7" s="41" t="n">
        <f aca="false">-Annahmen!$B$31*(F5+F6)</f>
        <v>-17350.6718604172</v>
      </c>
      <c r="G7" s="41" t="n">
        <f aca="false">-Annahmen!$B$31*(G5+G6)</f>
        <v>-17610.9319383235</v>
      </c>
      <c r="H7" s="41" t="n">
        <f aca="false">-Annahmen!$B$31*(H5+H6)</f>
        <v>-17875.0959173983</v>
      </c>
      <c r="I7" s="41" t="n">
        <f aca="false">-Annahmen!$B$31*(I5+I6)</f>
        <v>-18143.2223561593</v>
      </c>
      <c r="J7" s="41" t="n">
        <f aca="false">-Annahmen!$B$31*(J5+J6)</f>
        <v>-18415.3706915017</v>
      </c>
      <c r="K7" s="41" t="n">
        <f aca="false">-Annahmen!$B$31*(K5+K6)</f>
        <v>-18691.6012518742</v>
      </c>
    </row>
    <row r="8" customFormat="false" ht="15" hidden="false" customHeight="false" outlineLevel="0" collapsed="false">
      <c r="A8" s="7" t="s">
        <v>287</v>
      </c>
      <c r="B8" s="31" t="n">
        <f aca="false">('Gastro Betrieb'!$C$16*12*(1+Annahmen!$B$58)^(1-1))-B6-Annahmen!$B$34*12</f>
        <v>116760</v>
      </c>
      <c r="C8" s="31" t="n">
        <f aca="false">('Gastro Betrieb'!$C$16*12*(1+Annahmen!$B$58)^(2-1))-C6-Annahmen!$B$34*12</f>
        <v>118511.4</v>
      </c>
      <c r="D8" s="31" t="n">
        <f aca="false">('Gastro Betrieb'!$C$16*12*(1+Annahmen!$B$58)^(3-1))-D6-Annahmen!$B$34*12</f>
        <v>120289.071</v>
      </c>
      <c r="E8" s="31" t="n">
        <f aca="false">('Gastro Betrieb'!$C$16*12*(1+Annahmen!$B$58)^(4-1))-E6-Annahmen!$B$34*12</f>
        <v>122093.407065</v>
      </c>
      <c r="F8" s="31" t="n">
        <f aca="false">('Gastro Betrieb'!$C$16*12*(1+Annahmen!$B$58)^(5-1))-F6-Annahmen!$B$34*12</f>
        <v>123924.808170975</v>
      </c>
      <c r="G8" s="31" t="n">
        <f aca="false">('Gastro Betrieb'!$C$16*12*(1+Annahmen!$B$58)^(6-1))-G6-Annahmen!$B$34*12</f>
        <v>125783.68029354</v>
      </c>
      <c r="H8" s="31" t="n">
        <f aca="false">('Gastro Betrieb'!$C$16*12*(1+Annahmen!$B$58)^(7-1))-H6-Annahmen!$B$34*12</f>
        <v>127670.435497943</v>
      </c>
      <c r="I8" s="31" t="n">
        <f aca="false">('Gastro Betrieb'!$C$16*12*(1+Annahmen!$B$58)^(8-1))-I6-Annahmen!$B$34*12</f>
        <v>129585.492030412</v>
      </c>
      <c r="J8" s="31" t="n">
        <f aca="false">('Gastro Betrieb'!$C$16*12*(1+Annahmen!$B$58)^(9-1))-J6-Annahmen!$B$34*12</f>
        <v>131529.274410868</v>
      </c>
      <c r="K8" s="31" t="n">
        <f aca="false">('Gastro Betrieb'!$C$16*12*(1+Annahmen!$B$58)^(10-1))-K6-Annahmen!$B$34*12</f>
        <v>133502.213527031</v>
      </c>
    </row>
    <row r="9" customFormat="false" ht="15" hidden="false" customHeight="false" outlineLevel="0" collapsed="false">
      <c r="A9" s="27" t="s">
        <v>289</v>
      </c>
      <c r="B9" s="33" t="n">
        <f aca="false">SUM(B5:B8)</f>
        <v>263887.764705882</v>
      </c>
      <c r="C9" s="33" t="n">
        <f aca="false">SUM(C5:C8)</f>
        <v>267846.081176471</v>
      </c>
      <c r="D9" s="33" t="n">
        <f aca="false">SUM(D5:D8)</f>
        <v>271863.772394118</v>
      </c>
      <c r="E9" s="33" t="n">
        <f aca="false">SUM(E5:E8)</f>
        <v>275941.728980029</v>
      </c>
      <c r="F9" s="33" t="n">
        <f aca="false">SUM(F5:F8)</f>
        <v>280080.85491473</v>
      </c>
      <c r="G9" s="33" t="n">
        <f aca="false">SUM(G5:G8)</f>
        <v>284282.067738451</v>
      </c>
      <c r="H9" s="33" t="n">
        <f aca="false">SUM(H5:H8)</f>
        <v>288546.298754527</v>
      </c>
      <c r="I9" s="33" t="n">
        <f aca="false">SUM(I5:I8)</f>
        <v>292874.493235845</v>
      </c>
      <c r="J9" s="33" t="n">
        <f aca="false">SUM(J5:J8)</f>
        <v>297267.610634383</v>
      </c>
      <c r="K9" s="33" t="n">
        <f aca="false">SUM(K5:K8)</f>
        <v>301726.624793899</v>
      </c>
    </row>
    <row r="10" customFormat="false" ht="15" hidden="false" customHeight="false" outlineLevel="0" collapsed="false">
      <c r="A10" s="7" t="s">
        <v>378</v>
      </c>
      <c r="B10" s="41" t="n">
        <f aca="false">-'Tilgung Jahre'!D5</f>
        <v>-198721.885096158</v>
      </c>
      <c r="C10" s="41" t="n">
        <f aca="false">-'Tilgung Jahre'!D6</f>
        <v>-198721.885096158</v>
      </c>
      <c r="D10" s="41" t="n">
        <f aca="false">-'Tilgung Jahre'!D7</f>
        <v>-198721.885096158</v>
      </c>
      <c r="E10" s="41" t="n">
        <f aca="false">-'Tilgung Jahre'!D8</f>
        <v>-198721.885096158</v>
      </c>
      <c r="F10" s="41" t="n">
        <f aca="false">-'Tilgung Jahre'!D9</f>
        <v>-198721.885096158</v>
      </c>
      <c r="G10" s="41" t="n">
        <f aca="false">-'Tilgung Jahre'!D10</f>
        <v>-198721.885096158</v>
      </c>
      <c r="H10" s="41" t="n">
        <f aca="false">-'Tilgung Jahre'!D11</f>
        <v>-198721.885096158</v>
      </c>
      <c r="I10" s="41" t="n">
        <f aca="false">-'Tilgung Jahre'!D12</f>
        <v>-198721.885096158</v>
      </c>
      <c r="J10" s="41" t="n">
        <f aca="false">-'Tilgung Jahre'!D13</f>
        <v>-198721.885096158</v>
      </c>
      <c r="K10" s="41" t="n">
        <f aca="false">-'Tilgung Jahre'!D14</f>
        <v>-198721.885096158</v>
      </c>
    </row>
    <row r="11" customFormat="false" ht="15" hidden="false" customHeight="false" outlineLevel="0" collapsed="false">
      <c r="A11" s="27" t="s">
        <v>379</v>
      </c>
      <c r="B11" s="43" t="n">
        <f aca="false">B9+B10</f>
        <v>65165.8796097248</v>
      </c>
      <c r="C11" s="43" t="n">
        <f aca="false">C9+C10</f>
        <v>69124.196080313</v>
      </c>
      <c r="D11" s="43" t="n">
        <f aca="false">D9+D10</f>
        <v>73141.8872979599</v>
      </c>
      <c r="E11" s="43" t="n">
        <f aca="false">E9+E10</f>
        <v>77219.8438838717</v>
      </c>
      <c r="F11" s="43" t="n">
        <f aca="false">F9+F10</f>
        <v>81358.9698185721</v>
      </c>
      <c r="G11" s="43" t="n">
        <f aca="false">G9+G10</f>
        <v>85560.1826422931</v>
      </c>
      <c r="H11" s="43" t="n">
        <f aca="false">H9+H10</f>
        <v>89824.4136583698</v>
      </c>
      <c r="I11" s="43" t="n">
        <f aca="false">I9+I10</f>
        <v>94152.6081396877</v>
      </c>
      <c r="J11" s="43" t="n">
        <f aca="false">J9+J10</f>
        <v>98545.7255382254</v>
      </c>
      <c r="K11" s="43" t="n">
        <f aca="false">K9+K10</f>
        <v>103004.739697741</v>
      </c>
    </row>
    <row r="12" customFormat="false" ht="15" hidden="false" customHeight="false" outlineLevel="0" collapsed="false">
      <c r="A12" s="27" t="s">
        <v>380</v>
      </c>
      <c r="B12" s="45" t="n">
        <f aca="false">B9/-B10</f>
        <v>1.32792502737276</v>
      </c>
      <c r="C12" s="45" t="n">
        <f aca="false">C9/-C10</f>
        <v>1.34784390278336</v>
      </c>
      <c r="D12" s="45" t="n">
        <f aca="false">D9/-D10</f>
        <v>1.36806156132511</v>
      </c>
      <c r="E12" s="45" t="n">
        <f aca="false">E9/-E10</f>
        <v>1.38858248474498</v>
      </c>
      <c r="F12" s="45" t="n">
        <f aca="false">F9/-F10</f>
        <v>1.40941122201616</v>
      </c>
      <c r="G12" s="45" t="n">
        <f aca="false">G9/-G10</f>
        <v>1.4305523903464</v>
      </c>
      <c r="H12" s="45" t="n">
        <f aca="false">H9/-H10</f>
        <v>1.45201067620159</v>
      </c>
      <c r="I12" s="45" t="n">
        <f aca="false">I9/-I10</f>
        <v>1.47379083634462</v>
      </c>
      <c r="J12" s="45" t="n">
        <f aca="false">J9/-J10</f>
        <v>1.49589769888979</v>
      </c>
      <c r="K12" s="45" t="n">
        <f aca="false">K9/-K10</f>
        <v>1.51833616437313</v>
      </c>
    </row>
    <row r="13" customFormat="false" ht="15" hidden="false" customHeight="false" outlineLevel="0" collapsed="false">
      <c r="A13" s="7" t="s">
        <v>251</v>
      </c>
      <c r="B13" s="31" t="n">
        <f aca="false">'Tilgung Jahre'!E5</f>
        <v>4445217.33674113</v>
      </c>
      <c r="C13" s="31" t="n">
        <f aca="false">'Tilgung Jahre'!E6</f>
        <v>4398007.76979415</v>
      </c>
      <c r="D13" s="31" t="n">
        <f aca="false">'Tilgung Jahre'!E7</f>
        <v>4349151.48809641</v>
      </c>
      <c r="E13" s="31" t="n">
        <f aca="false">'Tilgung Jahre'!E8</f>
        <v>4298588.83118718</v>
      </c>
      <c r="F13" s="31" t="n">
        <f aca="false">'Tilgung Jahre'!E9</f>
        <v>4246257.90897638</v>
      </c>
      <c r="G13" s="31" t="n">
        <f aca="false">'Tilgung Jahre'!E10</f>
        <v>4192094.51639001</v>
      </c>
      <c r="H13" s="31" t="n">
        <f aca="false">'Tilgung Jahre'!E11</f>
        <v>4136032.04468879</v>
      </c>
      <c r="I13" s="31" t="n">
        <f aca="false">'Tilgung Jahre'!E12</f>
        <v>4078001.38932897</v>
      </c>
      <c r="J13" s="31" t="n">
        <f aca="false">'Tilgung Jahre'!E13</f>
        <v>4017930.85422848</v>
      </c>
      <c r="K13" s="31" t="n">
        <f aca="false">'Tilgung Jahre'!E14</f>
        <v>3955746.0522965</v>
      </c>
    </row>
    <row r="15" customFormat="false" ht="15" hidden="false" customHeight="false" outlineLevel="0" collapsed="false">
      <c r="A15" s="16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382</v>
      </c>
    </row>
    <row r="2" customFormat="false" ht="15" hidden="false" customHeight="false" outlineLevel="0" collapsed="false">
      <c r="A2" s="2" t="s">
        <v>383</v>
      </c>
    </row>
    <row r="4" customFormat="false" ht="15" hidden="false" customHeight="false" outlineLevel="0" collapsed="false">
      <c r="A4" s="3" t="s">
        <v>384</v>
      </c>
      <c r="B4" s="4" t="s">
        <v>385</v>
      </c>
      <c r="C4" s="4" t="s">
        <v>386</v>
      </c>
      <c r="D4" s="4" t="s">
        <v>387</v>
      </c>
    </row>
    <row r="5" customFormat="false" ht="15" hidden="false" customHeight="false" outlineLevel="0" collapsed="false">
      <c r="A5" s="27" t="s">
        <v>388</v>
      </c>
      <c r="B5" s="41" t="n">
        <f aca="false">'Ertrag und Cashflow'!B12</f>
        <v>5430.48996747706</v>
      </c>
      <c r="C5" s="46" t="n">
        <f aca="false">'Ertrag und Cashflow'!B10/Tilgungsplan!N3</f>
        <v>1.32792502737276</v>
      </c>
      <c r="D5" s="41"/>
    </row>
    <row r="6" customFormat="false" ht="15" hidden="false" customHeight="false" outlineLevel="0" collapsed="false">
      <c r="A6" s="7" t="s">
        <v>389</v>
      </c>
      <c r="B6" s="41" t="n">
        <f aca="false">'Ertrag und Cashflow'!B12-'Tilgung Jahre'!E14*0.01/12</f>
        <v>2134.03492389664</v>
      </c>
      <c r="C6" s="46" t="n">
        <f aca="false">'Ertrag und Cashflow'!B10/(Tilgungsplan!N3+'Tilgung Jahre'!E14*0.01/12)</f>
        <v>1.10747225706962</v>
      </c>
      <c r="D6" s="41" t="n">
        <f aca="false">B6-$B$5</f>
        <v>-3296.45504358042</v>
      </c>
    </row>
    <row r="7" customFormat="false" ht="15" hidden="false" customHeight="false" outlineLevel="0" collapsed="false">
      <c r="A7" s="7" t="s">
        <v>390</v>
      </c>
      <c r="B7" s="41" t="n">
        <f aca="false">'Ertrag und Cashflow'!B12-0.1*'Ertrag und Cashflow'!B5*(1-Annahmen!$B$31)</f>
        <v>4701.22526159471</v>
      </c>
      <c r="C7" s="46" t="n">
        <f aca="false">('Ertrag und Cashflow'!B10-0.1*'Ertrag und Cashflow'!B5*(1-Annahmen!$B$31))/Tilgungsplan!N3</f>
        <v>1.28388772133396</v>
      </c>
      <c r="D7" s="41" t="n">
        <f aca="false">B7-$B$5</f>
        <v>-729.264705882353</v>
      </c>
    </row>
    <row r="8" customFormat="false" ht="15" hidden="false" customHeight="false" outlineLevel="0" collapsed="false">
      <c r="A8" s="7" t="s">
        <v>391</v>
      </c>
      <c r="B8" s="41" t="n">
        <f aca="false">'Ertrag und Cashflow'!B12-0.2*Annahmen!$B$32*Annahmen!$B$33</f>
        <v>2380.48996747706</v>
      </c>
      <c r="C8" s="46" t="n">
        <f aca="false">('Ertrag und Cashflow'!B10-0.2*Annahmen!$B$32*Annahmen!$B$33)/Tilgungsplan!N3</f>
        <v>1.14374803054984</v>
      </c>
      <c r="D8" s="41" t="n">
        <f aca="false">B8-$B$5</f>
        <v>-3050</v>
      </c>
    </row>
    <row r="9" customFormat="false" ht="15" hidden="false" customHeight="false" outlineLevel="0" collapsed="false">
      <c r="A9" s="7" t="s">
        <v>392</v>
      </c>
      <c r="B9" s="41" t="n">
        <f aca="false">'Ertrag und Cashflow'!B12-0.4*Annahmen!$B$32*Annahmen!$B$33</f>
        <v>-669.51003252294</v>
      </c>
      <c r="C9" s="46" t="n">
        <f aca="false">('Ertrag und Cashflow'!B10-0.4*Annahmen!$B$32*Annahmen!$B$33)/Tilgungsplan!N3</f>
        <v>0.959571033726921</v>
      </c>
      <c r="D9" s="41" t="n">
        <f aca="false">B9-$B$5</f>
        <v>-6100</v>
      </c>
    </row>
    <row r="10" customFormat="false" ht="15" hidden="false" customHeight="false" outlineLevel="0" collapsed="false">
      <c r="A10" s="7" t="s">
        <v>393</v>
      </c>
      <c r="B10" s="41" t="n">
        <f aca="false">'Ertrag und Cashflow'!B12-0.1*'Kosten und Finanzierung'!B12*(1+Annahmen!$B$17)*('Kosten und Finanzierung'!B31+Annahmen!$B$41)/12</f>
        <v>4058.03809183692</v>
      </c>
      <c r="C10" s="46" t="n">
        <f aca="false">'Ertrag und Cashflow'!B10/(Tilgungsplan!N3+0.1*'Kosten und Finanzierung'!B12*(1+Annahmen!$B$17)*('Kosten und Finanzierung'!B31+Annahmen!$B$41)/12)</f>
        <v>1.22629379245974</v>
      </c>
      <c r="D10" s="41" t="n">
        <f aca="false">B10-$B$5</f>
        <v>-1372.45187564014</v>
      </c>
    </row>
    <row r="11" customFormat="false" ht="15" hidden="false" customHeight="false" outlineLevel="0" collapsed="false">
      <c r="A11" s="7" t="s">
        <v>394</v>
      </c>
      <c r="B11" s="41" t="n">
        <f aca="false">'Ertrag und Cashflow'!B8-'Ertrag und Cashflow'!B6*(1-Annahmen!$B$31)+'Ertrag und Cashflow'!B11</f>
        <v>-9267.51003252294</v>
      </c>
      <c r="C11" s="46" t="n">
        <f aca="false">('Ertrag und Cashflow'!B10-'Ertrag und Cashflow'!B9-'Ertrag und Cashflow'!B6*(1-Annahmen!$B$31))/Tilgungsplan!N3</f>
        <v>0.440373060388075</v>
      </c>
      <c r="D11" s="41" t="n">
        <f aca="false">B11-$B$5</f>
        <v>-14698</v>
      </c>
    </row>
    <row r="13" customFormat="false" ht="15" hidden="false" customHeight="false" outlineLevel="0" collapsed="false">
      <c r="A13" s="16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38" t="s">
        <v>398</v>
      </c>
    </row>
    <row r="4" customFormat="false" ht="15" hidden="false" customHeight="false" outlineLevel="0" collapsed="false">
      <c r="A4" s="7" t="s">
        <v>399</v>
      </c>
      <c r="B4" s="20" t="n">
        <v>0.5</v>
      </c>
      <c r="E4" s="9" t="s">
        <v>400</v>
      </c>
    </row>
    <row r="5" customFormat="false" ht="15" hidden="false" customHeight="false" outlineLevel="0" collapsed="false">
      <c r="A5" s="7" t="s">
        <v>401</v>
      </c>
      <c r="B5" s="19" t="n">
        <v>600</v>
      </c>
      <c r="E5" s="9" t="s">
        <v>402</v>
      </c>
    </row>
    <row r="6" customFormat="false" ht="15" hidden="false" customHeight="false" outlineLevel="0" collapsed="false">
      <c r="A6" s="7" t="s">
        <v>403</v>
      </c>
      <c r="B6" s="20" t="n">
        <v>0.56</v>
      </c>
      <c r="E6" s="9" t="s">
        <v>404</v>
      </c>
    </row>
    <row r="7" customFormat="false" ht="15" hidden="false" customHeight="false" outlineLevel="0" collapsed="false">
      <c r="A7" s="7" t="s">
        <v>405</v>
      </c>
      <c r="B7" s="19" t="n">
        <v>300</v>
      </c>
      <c r="E7" s="9" t="s">
        <v>406</v>
      </c>
    </row>
    <row r="9" customFormat="false" ht="15" hidden="false" customHeight="false" outlineLevel="0" collapsed="false">
      <c r="A9" s="3" t="s">
        <v>407</v>
      </c>
      <c r="B9" s="4" t="s">
        <v>408</v>
      </c>
      <c r="C9" s="4" t="s">
        <v>409</v>
      </c>
      <c r="D9" s="4" t="s">
        <v>410</v>
      </c>
      <c r="E9" s="4" t="s">
        <v>280</v>
      </c>
    </row>
    <row r="10" customFormat="false" ht="15" hidden="false" customHeight="false" outlineLevel="0" collapsed="false">
      <c r="A10" s="7" t="s">
        <v>411</v>
      </c>
      <c r="B10" s="18" t="n">
        <v>45</v>
      </c>
      <c r="C10" s="18" t="n">
        <v>60</v>
      </c>
      <c r="D10" s="18" t="n">
        <v>83</v>
      </c>
    </row>
    <row r="11" customFormat="false" ht="15" hidden="false" customHeight="false" outlineLevel="0" collapsed="false">
      <c r="A11" s="7" t="s">
        <v>412</v>
      </c>
      <c r="B11" s="18" t="n">
        <v>2</v>
      </c>
      <c r="C11" s="18" t="n">
        <v>3</v>
      </c>
      <c r="D11" s="18" t="n">
        <v>4</v>
      </c>
    </row>
    <row r="12" customFormat="false" ht="15" hidden="false" customHeight="false" outlineLevel="0" collapsed="false">
      <c r="A12" s="7" t="s">
        <v>413</v>
      </c>
      <c r="B12" s="19" t="n">
        <v>80</v>
      </c>
      <c r="C12" s="19" t="n">
        <v>95</v>
      </c>
      <c r="D12" s="19" t="n">
        <v>115</v>
      </c>
      <c r="E12" s="9" t="s">
        <v>414</v>
      </c>
    </row>
    <row r="13" customFormat="false" ht="15" hidden="false" customHeight="false" outlineLevel="0" collapsed="false">
      <c r="A13" s="7" t="s">
        <v>415</v>
      </c>
      <c r="B13" s="31" t="n">
        <f aca="false">B12*365*$B$4/12</f>
        <v>1216.66666666667</v>
      </c>
      <c r="C13" s="31" t="n">
        <f aca="false">C12*365*$B$4/12</f>
        <v>1444.79166666667</v>
      </c>
      <c r="D13" s="31" t="n">
        <f aca="false">D12*365*$B$4/12</f>
        <v>1748.95833333333</v>
      </c>
    </row>
    <row r="14" customFormat="false" ht="15" hidden="false" customHeight="false" outlineLevel="0" collapsed="false">
      <c r="A14" s="7" t="s">
        <v>416</v>
      </c>
      <c r="B14" s="31" t="n">
        <f aca="false">B13*(1-$B$6)</f>
        <v>535.333333333333</v>
      </c>
      <c r="C14" s="31" t="n">
        <f aca="false">C13*(1-$B$6)</f>
        <v>635.708333333333</v>
      </c>
      <c r="D14" s="31" t="n">
        <f aca="false">D13*(1-$B$6)</f>
        <v>769.541666666667</v>
      </c>
    </row>
    <row r="15" customFormat="false" ht="15" hidden="false" customHeight="false" outlineLevel="0" collapsed="false">
      <c r="A15" s="7" t="s">
        <v>417</v>
      </c>
      <c r="B15" s="31" t="n">
        <f aca="false">B10*Annahmen!$B$29*(1-Annahmen!$B$31)</f>
        <v>452.647058823529</v>
      </c>
      <c r="C15" s="31" t="n">
        <f aca="false">C10*Annahmen!$B$29*(1-Annahmen!$B$31)</f>
        <v>603.529411764706</v>
      </c>
      <c r="D15" s="31" t="n">
        <f aca="false">D10*Annahmen!$B$29*(1-Annahmen!$B$31)</f>
        <v>834.882352941177</v>
      </c>
      <c r="E15" s="9" t="s">
        <v>418</v>
      </c>
    </row>
    <row r="16" customFormat="false" ht="15" hidden="false" customHeight="false" outlineLevel="0" collapsed="false">
      <c r="A16" s="7" t="s">
        <v>419</v>
      </c>
      <c r="B16" s="31" t="n">
        <f aca="false">B10*$B$5</f>
        <v>27000</v>
      </c>
      <c r="C16" s="31" t="n">
        <f aca="false">C10*$B$5</f>
        <v>36000</v>
      </c>
      <c r="D16" s="31" t="n">
        <f aca="false">D10*$B$5</f>
        <v>49800</v>
      </c>
    </row>
    <row r="17" customFormat="false" ht="15" hidden="false" customHeight="false" outlineLevel="0" collapsed="false">
      <c r="A17" s="7" t="s">
        <v>420</v>
      </c>
      <c r="B17" s="31" t="n">
        <f aca="false">-B16*(Annahmen!$B$40+Annahmen!$B$41)/12</f>
        <v>-112.5</v>
      </c>
      <c r="C17" s="31" t="n">
        <f aca="false">-C16*(Annahmen!$B$40+Annahmen!$B$41)/12</f>
        <v>-150</v>
      </c>
      <c r="D17" s="31" t="n">
        <f aca="false">-D16*(Annahmen!$B$40+Annahmen!$B$41)/12</f>
        <v>-207.5</v>
      </c>
    </row>
    <row r="18" customFormat="false" ht="15" hidden="false" customHeight="false" outlineLevel="0" collapsed="false">
      <c r="A18" s="27" t="s">
        <v>421</v>
      </c>
      <c r="B18" s="43" t="n">
        <f aca="false">B14-B15+B17</f>
        <v>-29.8137254901961</v>
      </c>
      <c r="C18" s="43" t="n">
        <f aca="false">C14-C15+C17</f>
        <v>-117.821078431373</v>
      </c>
      <c r="D18" s="43" t="n">
        <f aca="false">D14-D15+D17</f>
        <v>-272.84068627451</v>
      </c>
    </row>
    <row r="19" customFormat="false" ht="15" hidden="false" customHeight="false" outlineLevel="0" collapsed="false">
      <c r="A19" s="27" t="s">
        <v>422</v>
      </c>
      <c r="B19" s="42" t="n">
        <f aca="false">2*B18</f>
        <v>-59.6274509803923</v>
      </c>
      <c r="C19" s="42" t="n">
        <f aca="false">2*C18</f>
        <v>-235.642156862745</v>
      </c>
      <c r="D19" s="42" t="n">
        <f aca="false">2*D18</f>
        <v>-545.68137254902</v>
      </c>
    </row>
    <row r="20" customFormat="false" ht="15" hidden="false" customHeight="false" outlineLevel="0" collapsed="false">
      <c r="A20" s="27" t="s">
        <v>423</v>
      </c>
      <c r="B20" s="27" t="str">
        <f aca="false">IF(B19&gt;=$B$7,"lohnt sich","lohnt sich nicht")</f>
        <v>lohnt sich nicht</v>
      </c>
      <c r="C20" s="27" t="str">
        <f aca="false">IF(C19&gt;=$B$7,"lohnt sich","lohnt sich nicht")</f>
        <v>lohnt sich nicht</v>
      </c>
      <c r="D20" s="27" t="str">
        <f aca="false">IF(D19&gt;=$B$7,"lohnt sich","lohnt sich nicht")</f>
        <v>lohnt sich nicht</v>
      </c>
    </row>
    <row r="22" customFormat="false" ht="15" hidden="false" customHeight="false" outlineLevel="0" collapsed="false">
      <c r="A22" s="38" t="s">
        <v>424</v>
      </c>
    </row>
    <row r="23" customFormat="false" ht="15" hidden="false" customHeight="false" outlineLevel="0" collapsed="false">
      <c r="A23" s="38" t="str">
        <f aca="false">IF(MAX(B19:D19)&gt;=B7,"Mindestens eine Größe erreicht den Mindest-Mehrertrag: Airbnb prüfen.","Kein Apartment erreicht den Mindest-Mehrertrag von "&amp;TEXT(B7,"#,##0")&amp;" € pro Monat. Langfristige Vermietung ist besser, Airbnb bleibt aus dem Konzept.")</f>
        <v>Kein Apartment erreicht den Mindest-Mehrertrag von 300 € pro Monat. Langfristige Vermietung ist besser, Airbnb bleibt aus dem Konzept.</v>
      </c>
    </row>
    <row r="24" customFormat="false" ht="15" hidden="false" customHeight="false" outlineLevel="0" collapsed="false">
      <c r="A24" s="16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62"/>
    <col collapsed="false" customWidth="true" hidden="false" outlineLevel="0" max="4" min="4" style="0" width="16"/>
  </cols>
  <sheetData>
    <row r="1" customFormat="false" ht="19.7" hidden="false" customHeight="false" outlineLevel="0" collapsed="false">
      <c r="A1" s="1" t="s">
        <v>426</v>
      </c>
    </row>
    <row r="2" customFormat="false" ht="15" hidden="false" customHeight="false" outlineLevel="0" collapsed="false">
      <c r="A2" s="2" t="s">
        <v>427</v>
      </c>
    </row>
    <row r="4" customFormat="false" ht="15" hidden="false" customHeight="false" outlineLevel="0" collapsed="false">
      <c r="A4" s="3" t="s">
        <v>428</v>
      </c>
      <c r="B4" s="4" t="s">
        <v>429</v>
      </c>
      <c r="C4" s="4" t="s">
        <v>430</v>
      </c>
      <c r="D4" s="4" t="s">
        <v>431</v>
      </c>
    </row>
    <row r="5" customFormat="false" ht="15" hidden="false" customHeight="false" outlineLevel="0" collapsed="false">
      <c r="A5" s="26" t="n">
        <v>1</v>
      </c>
      <c r="B5" s="50" t="s">
        <v>432</v>
      </c>
      <c r="C5" s="51" t="s">
        <v>433</v>
      </c>
      <c r="D5" s="52" t="s">
        <v>434</v>
      </c>
    </row>
    <row r="6" customFormat="false" ht="23.85" hidden="false" customHeight="false" outlineLevel="0" collapsed="false">
      <c r="A6" s="26" t="n">
        <v>2</v>
      </c>
      <c r="B6" s="50" t="s">
        <v>435</v>
      </c>
      <c r="C6" s="51" t="s">
        <v>436</v>
      </c>
      <c r="D6" s="52" t="s">
        <v>434</v>
      </c>
    </row>
    <row r="7" customFormat="false" ht="15" hidden="false" customHeight="false" outlineLevel="0" collapsed="false">
      <c r="A7" s="26" t="n">
        <v>3</v>
      </c>
      <c r="B7" s="50" t="s">
        <v>437</v>
      </c>
      <c r="C7" s="51" t="s">
        <v>438</v>
      </c>
      <c r="D7" s="52" t="s">
        <v>434</v>
      </c>
    </row>
    <row r="8" customFormat="false" ht="15" hidden="false" customHeight="false" outlineLevel="0" collapsed="false">
      <c r="A8" s="26" t="n">
        <v>4</v>
      </c>
      <c r="B8" s="50" t="s">
        <v>439</v>
      </c>
      <c r="C8" s="51" t="s">
        <v>440</v>
      </c>
      <c r="D8" s="52" t="s">
        <v>441</v>
      </c>
    </row>
    <row r="9" customFormat="false" ht="23.85" hidden="false" customHeight="false" outlineLevel="0" collapsed="false">
      <c r="A9" s="26" t="n">
        <v>5</v>
      </c>
      <c r="B9" s="50" t="s">
        <v>442</v>
      </c>
      <c r="C9" s="51" t="s">
        <v>443</v>
      </c>
      <c r="D9" s="52" t="s">
        <v>444</v>
      </c>
    </row>
    <row r="10" customFormat="false" ht="23.85" hidden="false" customHeight="false" outlineLevel="0" collapsed="false">
      <c r="A10" s="26" t="n">
        <v>6</v>
      </c>
      <c r="B10" s="50" t="s">
        <v>445</v>
      </c>
      <c r="C10" s="51" t="s">
        <v>446</v>
      </c>
      <c r="D10" s="52" t="s">
        <v>441</v>
      </c>
    </row>
    <row r="11" customFormat="false" ht="23.85" hidden="false" customHeight="false" outlineLevel="0" collapsed="false">
      <c r="A11" s="26" t="n">
        <v>7</v>
      </c>
      <c r="B11" s="50" t="s">
        <v>447</v>
      </c>
      <c r="C11" s="51" t="s">
        <v>448</v>
      </c>
      <c r="D11" s="52" t="s">
        <v>441</v>
      </c>
    </row>
    <row r="12" customFormat="false" ht="15" hidden="false" customHeight="false" outlineLevel="0" collapsed="false">
      <c r="A12" s="26" t="n">
        <v>8</v>
      </c>
      <c r="B12" s="50" t="s">
        <v>449</v>
      </c>
      <c r="C12" s="51" t="s">
        <v>450</v>
      </c>
      <c r="D12" s="52" t="s">
        <v>441</v>
      </c>
    </row>
    <row r="13" customFormat="false" ht="15" hidden="false" customHeight="false" outlineLevel="0" collapsed="false">
      <c r="A13" s="26" t="n">
        <v>9</v>
      </c>
      <c r="B13" s="50" t="s">
        <v>451</v>
      </c>
      <c r="C13" s="51" t="s">
        <v>452</v>
      </c>
      <c r="D13" s="52" t="s">
        <v>441</v>
      </c>
    </row>
    <row r="14" customFormat="false" ht="15" hidden="false" customHeight="false" outlineLevel="0" collapsed="false">
      <c r="A14" s="26" t="n">
        <v>10</v>
      </c>
      <c r="B14" s="50" t="s">
        <v>453</v>
      </c>
      <c r="C14" s="51" t="s">
        <v>454</v>
      </c>
      <c r="D14" s="52" t="s">
        <v>441</v>
      </c>
    </row>
    <row r="15" customFormat="false" ht="15" hidden="false" customHeight="false" outlineLevel="0" collapsed="false">
      <c r="A15" s="26" t="n">
        <v>11</v>
      </c>
      <c r="B15" s="50" t="s">
        <v>455</v>
      </c>
      <c r="C15" s="51" t="s">
        <v>456</v>
      </c>
      <c r="D15" s="52" t="s">
        <v>434</v>
      </c>
    </row>
    <row r="16" customFormat="false" ht="23.85" hidden="false" customHeight="false" outlineLevel="0" collapsed="false">
      <c r="A16" s="26" t="n">
        <v>12</v>
      </c>
      <c r="B16" s="50" t="s">
        <v>457</v>
      </c>
      <c r="C16" s="51" t="s">
        <v>458</v>
      </c>
      <c r="D16" s="52" t="s">
        <v>441</v>
      </c>
    </row>
    <row r="17" customFormat="false" ht="15" hidden="false" customHeight="false" outlineLevel="0" collapsed="false">
      <c r="A17" s="26" t="n">
        <v>13</v>
      </c>
      <c r="B17" s="50" t="s">
        <v>459</v>
      </c>
      <c r="C17" s="51" t="s">
        <v>460</v>
      </c>
      <c r="D17" s="52" t="s">
        <v>441</v>
      </c>
    </row>
    <row r="18" customFormat="false" ht="15" hidden="false" customHeight="false" outlineLevel="0" collapsed="false">
      <c r="A18" s="26" t="n">
        <v>14</v>
      </c>
      <c r="B18" s="50" t="s">
        <v>461</v>
      </c>
      <c r="C18" s="51" t="s">
        <v>462</v>
      </c>
      <c r="D18" s="52" t="s">
        <v>441</v>
      </c>
    </row>
    <row r="19" customFormat="false" ht="15" hidden="false" customHeight="false" outlineLevel="0" collapsed="false">
      <c r="A19" s="26" t="n">
        <v>15</v>
      </c>
      <c r="B19" s="50" t="s">
        <v>463</v>
      </c>
      <c r="C19" s="51" t="s">
        <v>464</v>
      </c>
      <c r="D19" s="52" t="s">
        <v>434</v>
      </c>
    </row>
    <row r="20" customFormat="false" ht="15" hidden="false" customHeight="false" outlineLevel="0" collapsed="false">
      <c r="A20" s="26" t="n">
        <v>16</v>
      </c>
      <c r="B20" s="50" t="s">
        <v>465</v>
      </c>
      <c r="C20" s="51" t="s">
        <v>466</v>
      </c>
      <c r="D20" s="52" t="s">
        <v>441</v>
      </c>
    </row>
    <row r="21" customFormat="false" ht="15" hidden="false" customHeight="false" outlineLevel="0" collapsed="false">
      <c r="A21" s="26" t="n">
        <v>17</v>
      </c>
      <c r="B21" s="50" t="s">
        <v>467</v>
      </c>
      <c r="C21" s="51" t="s">
        <v>468</v>
      </c>
      <c r="D21" s="52" t="s">
        <v>441</v>
      </c>
    </row>
    <row r="22" customFormat="false" ht="23.85" hidden="false" customHeight="false" outlineLevel="0" collapsed="false">
      <c r="A22" s="26" t="n">
        <v>18</v>
      </c>
      <c r="B22" s="50" t="s">
        <v>469</v>
      </c>
      <c r="C22" s="51" t="s">
        <v>470</v>
      </c>
      <c r="D22" s="52" t="s">
        <v>434</v>
      </c>
    </row>
    <row r="23" customFormat="false" ht="23.85" hidden="false" customHeight="false" outlineLevel="0" collapsed="false">
      <c r="A23" s="26" t="n">
        <v>19</v>
      </c>
      <c r="B23" s="50" t="s">
        <v>471</v>
      </c>
      <c r="C23" s="51" t="s">
        <v>472</v>
      </c>
      <c r="D23" s="52" t="s">
        <v>441</v>
      </c>
    </row>
    <row r="24" customFormat="false" ht="15" hidden="false" customHeight="false" outlineLevel="0" collapsed="false">
      <c r="A24" s="26" t="n">
        <v>20</v>
      </c>
      <c r="B24" s="50" t="s">
        <v>473</v>
      </c>
      <c r="C24" s="51" t="s">
        <v>474</v>
      </c>
      <c r="D24" s="52" t="s">
        <v>441</v>
      </c>
    </row>
    <row r="25" customFormat="false" ht="23.85" hidden="false" customHeight="false" outlineLevel="0" collapsed="false">
      <c r="A25" s="26" t="n">
        <v>21</v>
      </c>
      <c r="B25" s="50" t="s">
        <v>475</v>
      </c>
      <c r="C25" s="51" t="s">
        <v>476</v>
      </c>
      <c r="D25" s="52" t="s">
        <v>441</v>
      </c>
    </row>
    <row r="26" customFormat="false" ht="22.35" hidden="false" customHeight="false" outlineLevel="0" collapsed="false">
      <c r="A26" s="26" t="n">
        <v>22</v>
      </c>
      <c r="B26" s="50" t="s">
        <v>477</v>
      </c>
      <c r="C26" s="51" t="s">
        <v>478</v>
      </c>
      <c r="D26" s="52" t="s">
        <v>441</v>
      </c>
    </row>
    <row r="27" customFormat="false" ht="15" hidden="false" customHeight="false" outlineLevel="0" collapsed="false">
      <c r="A27" s="26" t="n">
        <v>23</v>
      </c>
      <c r="B27" s="50" t="s">
        <v>479</v>
      </c>
      <c r="C27" s="51" t="s">
        <v>480</v>
      </c>
      <c r="D27" s="52" t="s">
        <v>441</v>
      </c>
    </row>
    <row r="28" customFormat="false" ht="15" hidden="false" customHeight="false" outlineLevel="0" collapsed="false">
      <c r="A28" s="26" t="n">
        <v>24</v>
      </c>
      <c r="B28" s="50" t="s">
        <v>481</v>
      </c>
      <c r="C28" s="51" t="s">
        <v>482</v>
      </c>
      <c r="D28" s="52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2026-10-19T15:57:43Z</dcterms:created>
  <dc:creator>openpyxl</dc:creator>
  <dc:description/>
  <dc:language>en-US</dc:language>
  <cp:lastModifiedBy/>
  <dcterms:modified xsi:type="dcterms:W3CDTF">2026-10-19T15:57:45Z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