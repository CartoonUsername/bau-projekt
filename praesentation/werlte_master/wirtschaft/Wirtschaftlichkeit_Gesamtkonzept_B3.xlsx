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Annahmen" sheetId="2" state="visible" r:id="rId4"/>
    <sheet name="Flächen" sheetId="3" state="visible" r:id="rId5"/>
    <sheet name="Einnahmen" sheetId="4" state="visible" r:id="rId6"/>
    <sheet name="Kosten" sheetId="5" state="visible" r:id="rId7"/>
    <sheet name="Finanzierung" sheetId="6" state="visible" r:id="rId8"/>
    <sheet name="Sensitivität" sheetId="7" state="visible" r:id="rId9"/>
    <sheet name="Förderung" sheetId="8" state="visible" r:id="rId10"/>
    <sheet name="Quellen" sheetId="9" state="visible" r:id="rId11"/>
    <sheet name="Rechenkern" sheetId="10" state="visible" r:id="rId12"/>
    <sheet name="Prüfung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<sst xmlns="http://schemas.openxmlformats.org/spreadsheetml/2006/main" count="747" uniqueCount="482">
  <si>
    <t xml:space="preserve">Wirtschaftlichkeit Gesamtkonzept Neue Mitte Werlte, Baufeld 3 (Arbeitsgrundlage B3)</t>
  </si>
  <si>
    <t xml:space="preserve">Ergebnis der Prüfung: ohne Förderung in keinem Szenario tragfähig. Alle Werte Annahmen; keine Förderzusage; Architektur, Wirtschaftlichkeit und baurechtliche Machbarkeit getrennt zu bewerten.</t>
  </si>
  <si>
    <t xml:space="preserve">Größe (Eigenkapital 20 %)</t>
  </si>
  <si>
    <t xml:space="preserve">vorsichtig</t>
  </si>
  <si>
    <t xml:space="preserve">realistisch</t>
  </si>
  <si>
    <t xml:space="preserve">günstig</t>
  </si>
  <si>
    <t xml:space="preserve">Hinweis</t>
  </si>
  <si>
    <t xml:space="preserve">Gesamtkosten</t>
  </si>
  <si>
    <t xml:space="preserve">Eigenkapital</t>
  </si>
  <si>
    <t xml:space="preserve">Fremdkapital</t>
  </si>
  <si>
    <t xml:space="preserve">Zinsbelastung monatlich</t>
  </si>
  <si>
    <t xml:space="preserve">Kreditrate monatlich (Zins + 2 % Tilgung)</t>
  </si>
  <si>
    <t xml:space="preserve">Kapitaldienst jährlich</t>
  </si>
  <si>
    <t xml:space="preserve">Mieteinnahmen nach Leerstand jährlich</t>
  </si>
  <si>
    <t xml:space="preserve">laufende Kosten jährlich</t>
  </si>
  <si>
    <t xml:space="preserve">Netto-Mietertrag jährlich</t>
  </si>
  <si>
    <t xml:space="preserve">Cashflow nach Kapitaldienst jährlich</t>
  </si>
  <si>
    <t xml:space="preserve">Kapitaldienstdeckungsgrad</t>
  </si>
  <si>
    <t xml:space="preserve">Nettoanfangsrendite</t>
  </si>
  <si>
    <t xml:space="preserve">Break-even Wohnmiete für DSCR 1,0 (€/m²)</t>
  </si>
  <si>
    <t xml:space="preserve">Break-even Faktor aller Mieten für DSCR 1,0</t>
  </si>
  <si>
    <t xml:space="preserve">nötiges Eigenkapital für DSCR 1,2</t>
  </si>
  <si>
    <t xml:space="preserve">DSCR mit KfW 297 + 299 (theoretisch, nicht zugesagt)</t>
  </si>
  <si>
    <t xml:space="preserve">Bewertung (rechnerisch)</t>
  </si>
  <si>
    <t xml:space="preserve">DSCR ab 1,2 gilt üblicherweise als tragfähig (Annahme); hier weit darunter.</t>
  </si>
  <si>
    <t xml:space="preserve">Konsistenzprüfung (Blatt Prüfung):</t>
  </si>
  <si>
    <t xml:space="preserve">Annahmen</t>
  </si>
  <si>
    <t xml:space="preserve">Alle Eingaben (blau). Spalten D–F: vorsichtig / realistisch / günstig. Stand 22.10.2026. Status je Zeile: Geometrie, Vorgabe, Annahme, Quelle, noch zu bestätigen.</t>
  </si>
  <si>
    <t xml:space="preserve">Parameter</t>
  </si>
  <si>
    <t xml:space="preserve">Einheit</t>
  </si>
  <si>
    <t xml:space="preserve">Status</t>
  </si>
  <si>
    <t xml:space="preserve">Quelle / Begründung</t>
  </si>
  <si>
    <t xml:space="preserve">FLÄCHEN (aus der Geometrie B3, Variante K)</t>
  </si>
  <si>
    <t xml:space="preserve">bgf_eg</t>
  </si>
  <si>
    <t xml:space="preserve">Bruttogrundfläche Erdgeschoss</t>
  </si>
  <si>
    <t xml:space="preserve">m²</t>
  </si>
  <si>
    <t xml:space="preserve">Geometrie</t>
  </si>
  <si>
    <t xml:space="preserve">variants3_metrics.json</t>
  </si>
  <si>
    <t xml:space="preserve">bgf_l1</t>
  </si>
  <si>
    <t xml:space="preserve">Bruttogrundfläche 1. Obergeschoss</t>
  </si>
  <si>
    <t xml:space="preserve">bgf_l2</t>
  </si>
  <si>
    <t xml:space="preserve">Bruttogrundfläche Staffelgeschoss</t>
  </si>
  <si>
    <t xml:space="preserve">wfl</t>
  </si>
  <si>
    <t xml:space="preserve">Wohnfläche netto (16 Wohnungen, Brutto × 0,88)</t>
  </si>
  <si>
    <t xml:space="preserve">Geometrie, Annahme Netto-Faktor 0,88</t>
  </si>
  <si>
    <t xml:space="preserve">Balkone und Dachterrassen nicht angerechnet (WoFlV-Anrechnung 25–50 % nicht angesetzt, konservativ)</t>
  </si>
  <si>
    <t xml:space="preserve">we</t>
  </si>
  <si>
    <t xml:space="preserve">Anzahl Wohnungen</t>
  </si>
  <si>
    <t xml:space="preserve">Stk</t>
  </si>
  <si>
    <t xml:space="preserve">gastro_nf</t>
  </si>
  <si>
    <t xml:space="preserve">Gastronomie Mietfläche (Gastraum, Bar, Küche, Lager, WC, Personal, Flur, Anlieferung)</t>
  </si>
  <si>
    <t xml:space="preserve">Gastraum 280 m² für ca. 120 Innenplätze (möbliert), Terrasse 44 Plätze</t>
  </si>
  <si>
    <t xml:space="preserve">buero_nf</t>
  </si>
  <si>
    <t xml:space="preserve">Büros vermietbare Nettofläche (2 Büros ohne Foyer und WC)</t>
  </si>
  <si>
    <t xml:space="preserve">Foyer und Büro-WC (15,6 m²) nicht als Mietfläche angesetzt</t>
  </si>
  <si>
    <t xml:space="preserve">gew_bgf</t>
  </si>
  <si>
    <t xml:space="preserve">Gewerbe-Bruttofläche im EG (Gastro 440 + Büro 64)</t>
  </si>
  <si>
    <t xml:space="preserve">GRUNDSTÜCK UND ERWERBSNEBENKOSTEN (KG 100)</t>
  </si>
  <si>
    <t xml:space="preserve">gr_m2</t>
  </si>
  <si>
    <t xml:space="preserve">Grundstücksfläche</t>
  </si>
  <si>
    <t xml:space="preserve">Vorgabe</t>
  </si>
  <si>
    <t xml:space="preserve">Projektangaben</t>
  </si>
  <si>
    <t xml:space="preserve">gr_preis</t>
  </si>
  <si>
    <t xml:space="preserve">Kaufpreis</t>
  </si>
  <si>
    <t xml:space="preserve">€/m²</t>
  </si>
  <si>
    <t xml:space="preserve">grest</t>
  </si>
  <si>
    <t xml:space="preserve">Grunderwerbsteuer Niedersachsen</t>
  </si>
  <si>
    <t xml:space="preserve">%</t>
  </si>
  <si>
    <t xml:space="preserve">Annahme (gesetzlicher Satz zu prüfen)</t>
  </si>
  <si>
    <t xml:space="preserve">notar</t>
  </si>
  <si>
    <t xml:space="preserve">Notar, Grundbuch</t>
  </si>
  <si>
    <t xml:space="preserve">Annahme</t>
  </si>
  <si>
    <t xml:space="preserve">übliche Spanne 1,5–2 %</t>
  </si>
  <si>
    <t xml:space="preserve">BAUKOSTEN (KG 200–500), Preise brutto inkl. 19 % MwSt, Vorsteuerabzug nicht angesetzt</t>
  </si>
  <si>
    <t xml:space="preserve">kg200</t>
  </si>
  <si>
    <t xml:space="preserve">KG 200 Herrichten und Erschließen (Pauschale)</t>
  </si>
  <si>
    <t xml:space="preserve">€</t>
  </si>
  <si>
    <t xml:space="preserve">Annahme, kein Bodengutachten</t>
  </si>
  <si>
    <t xml:space="preserve">Grundstückszustand und Anschlüsse unbekannt</t>
  </si>
  <si>
    <t xml:space="preserve">bau_m2</t>
  </si>
  <si>
    <t xml:space="preserve">KG 300+400 Bauwerk je m² BGF</t>
  </si>
  <si>
    <t xml:space="preserve">Orientierung: MFH 2.500–3.500 €/m² Wohnfläche (Ratgeberseiten, nicht BKI); günstig = bisherige Projektannahme 2.200 €/m² BGF</t>
  </si>
  <si>
    <t xml:space="preserve">eh40</t>
  </si>
  <si>
    <t xml:space="preserve">Aufschlag Effizienzhaus 40 / QNG-Nachweis auf KG 300+400</t>
  </si>
  <si>
    <t xml:space="preserve">Programm- und Nachweisanforderungen KfW 297, noch nicht gerechnet</t>
  </si>
  <si>
    <t xml:space="preserve">ausbau</t>
  </si>
  <si>
    <t xml:space="preserve">Gewerbe: Ausbau durch Vermieter (Haustechnik-Anschlüsse, Abluft, Fettabscheider, Rohausbau)</t>
  </si>
  <si>
    <t xml:space="preserve">€/m² Gewerbe-BGF</t>
  </si>
  <si>
    <t xml:space="preserve">Mieterausbau und Küche durch den Betreiber</t>
  </si>
  <si>
    <t xml:space="preserve">kg500_m2</t>
  </si>
  <si>
    <t xml:space="preserve">KG 500 Außenanlagen, Stellplätze, Hof je m² (hypothetisch 384 m²)</t>
  </si>
  <si>
    <t xml:space="preserve">Annahme, HYPOTHETISCH</t>
  </si>
  <si>
    <t xml:space="preserve">Fläche aus der Hypothese Grundstück 32 × 30 m, nicht bestätigt</t>
  </si>
  <si>
    <t xml:space="preserve">kg500_fl</t>
  </si>
  <si>
    <t xml:space="preserve">Fläche Außenanlagen (hypothetisch)</t>
  </si>
  <si>
    <t xml:space="preserve">HYPOTHETISCH</t>
  </si>
  <si>
    <t xml:space="preserve">32 × 12 m Rückbereich</t>
  </si>
  <si>
    <t xml:space="preserve">kg500_terr</t>
  </si>
  <si>
    <t xml:space="preserve">Terrasse und Stahlvordach am Platz (Pauschale)</t>
  </si>
  <si>
    <t xml:space="preserve">Lage und Eigentum ungeprüft</t>
  </si>
  <si>
    <t xml:space="preserve">BAUNEBENKOSTEN (KG 700) in % von KG 300–500</t>
  </si>
  <si>
    <t xml:space="preserve">bnk_arch</t>
  </si>
  <si>
    <t xml:space="preserve">Architektur und Objektplanung (HOAI-Leistungsphasen 1–8)</t>
  </si>
  <si>
    <t xml:space="preserve">bnk_fach</t>
  </si>
  <si>
    <t xml:space="preserve">Fachplaner: Statik, TGA, Brandschutz, Energieberatung, QNG-Zertifizierung</t>
  </si>
  <si>
    <t xml:space="preserve">bnk_gen</t>
  </si>
  <si>
    <t xml:space="preserve">Genehmigungen, Gutachten, Vermessung, Bodengutachten</t>
  </si>
  <si>
    <t xml:space="preserve">bnk_son</t>
  </si>
  <si>
    <t xml:space="preserve">Bauleitung extern, Versicherungen, Sonstiges</t>
  </si>
  <si>
    <t xml:space="preserve">reserve</t>
  </si>
  <si>
    <t xml:space="preserve">Reserve für Unvorhergesehenes in % von KG 200–500</t>
  </si>
  <si>
    <t xml:space="preserve">FINANZIERUNGSKOSTEN</t>
  </si>
  <si>
    <t xml:space="preserve">bauzeit</t>
  </si>
  <si>
    <t xml:space="preserve">Bauzeit</t>
  </si>
  <si>
    <t xml:space="preserve">Monate</t>
  </si>
  <si>
    <t xml:space="preserve">Projektannahme</t>
  </si>
  <si>
    <t xml:space="preserve">abruf</t>
  </si>
  <si>
    <t xml:space="preserve">mittlere Inanspruchnahme des Kredits in der Bauzeit</t>
  </si>
  <si>
    <t xml:space="preserve">anlauf</t>
  </si>
  <si>
    <t xml:space="preserve">Vermietungsanlauf ohne Mieteinnahmen (Zinsen laufen)</t>
  </si>
  <si>
    <t xml:space="preserve">bearb</t>
  </si>
  <si>
    <t xml:space="preserve">Bearbeitung, Bereitstellung, Bewertung</t>
  </si>
  <si>
    <t xml:space="preserve">% des Kredits</t>
  </si>
  <si>
    <t xml:space="preserve">ZINSEN UND TILGUNG</t>
  </si>
  <si>
    <t xml:space="preserve">z_bank</t>
  </si>
  <si>
    <t xml:space="preserve">Zinssatz Hausbank (10 Jahre fest, gewerbliche Mischfinanzierung)</t>
  </si>
  <si>
    <t xml:space="preserve">Bauzinsen 10/2026 für 10 Jahre ca. 4,0–4,5 % (Dr. Klein 22.10.2026: 4,13 % eff.; Interhyp 4,42 %; Sparkasse 4,45 %); Aufschlag gewerblich/Mischnutzung</t>
  </si>
  <si>
    <t xml:space="preserve">z_297</t>
  </si>
  <si>
    <t xml:space="preserve">Zinssatz KfW 297/298 (Wohngebäude)</t>
  </si>
  <si>
    <t xml:space="preserve">noch zu bestätigen</t>
  </si>
  <si>
    <t xml:space="preserve">Quellen widersprüchlich: 0,6 % (März 2026), 1,96 % (01.10.2026), 3,05 % (EH 40, KfW 29.09.2026 laut Drittseite)</t>
  </si>
  <si>
    <t xml:space="preserve">z_299</t>
  </si>
  <si>
    <t xml:space="preserve">Zinssatz KfW 299 (Nichtwohngebäude)</t>
  </si>
  <si>
    <t xml:space="preserve">kein Zinssatz gefunden; Annahme Aufschlag auf 297</t>
  </si>
  <si>
    <t xml:space="preserve">tilg</t>
  </si>
  <si>
    <t xml:space="preserve">anfängliche Tilgung</t>
  </si>
  <si>
    <t xml:space="preserve">% p. a.</t>
  </si>
  <si>
    <t xml:space="preserve">Variante 1 % wird zusätzlich ausgewiesen</t>
  </si>
  <si>
    <t xml:space="preserve">MIETEN UND LEERSTAND (netto kalt, ohne Umsatzsteuer)</t>
  </si>
  <si>
    <t xml:space="preserve">m_wohn</t>
  </si>
  <si>
    <t xml:space="preserve">Wohnungen Sollmiete</t>
  </si>
  <si>
    <t xml:space="preserve">€/m² Monat</t>
  </si>
  <si>
    <t xml:space="preserve">Angebote Werlte/Emsland 2026 (Kleinanzeigen, Immowelt, Meinestadt), Mietspiegel Werlte 7,78–8,43 €/m² (ImmoScout24, miet-check, miete-aktuell); Neubau-Angebote 9,5–12,5 €/m²</t>
  </si>
  <si>
    <t xml:space="preserve">v_wohn</t>
  </si>
  <si>
    <t xml:space="preserve">Wohnungen Leerstand und Mietausfall</t>
  </si>
  <si>
    <t xml:space="preserve">m_gastro</t>
  </si>
  <si>
    <t xml:space="preserve">Gastronomie Pachtmiete</t>
  </si>
  <si>
    <t xml:space="preserve">Annahme (keine belastbare Vergleichsquelle)</t>
  </si>
  <si>
    <t xml:space="preserve">Kontrolle über Umsatzquote 8–12 % (Ratgeber, nicht regional belegt)</t>
  </si>
  <si>
    <t xml:space="preserve">v_gastro</t>
  </si>
  <si>
    <t xml:space="preserve">Gastronomie Mietausfall</t>
  </si>
  <si>
    <t xml:space="preserve">Betreiberwechsel, Anlaufzeit</t>
  </si>
  <si>
    <t xml:space="preserve">m_buero</t>
  </si>
  <si>
    <t xml:space="preserve">Büros Miete</t>
  </si>
  <si>
    <t xml:space="preserve">Angebote Werlte 9,6–12 €/m² (kleine Einheiten), Meppen 9–9,5, Sögel 6,3–7,8</t>
  </si>
  <si>
    <t xml:space="preserve">v_buero</t>
  </si>
  <si>
    <t xml:space="preserve">Büros Leerstand</t>
  </si>
  <si>
    <t xml:space="preserve">kleine Büroeinheiten in Kleinstadt, Vermietbarkeit ungeprüft</t>
  </si>
  <si>
    <t xml:space="preserve">LAUFENDE KOSTEN (nicht umlagefähig)</t>
  </si>
  <si>
    <t xml:space="preserve">ih_wohn</t>
  </si>
  <si>
    <t xml:space="preserve">Instandhaltung Wohnen</t>
  </si>
  <si>
    <t xml:space="preserve">€/m² WF Jahr</t>
  </si>
  <si>
    <t xml:space="preserve">vw_wohn</t>
  </si>
  <si>
    <t xml:space="preserve">Verwaltung Wohnen</t>
  </si>
  <si>
    <t xml:space="preserve">€/Wohnung Jahr</t>
  </si>
  <si>
    <t xml:space="preserve">nu_wohn</t>
  </si>
  <si>
    <t xml:space="preserve">sonstige nicht umlagefähige Kosten Wohnen (Leerstandskosten, Aufzug anteilig)</t>
  </si>
  <si>
    <t xml:space="preserve">ih_gew</t>
  </si>
  <si>
    <t xml:space="preserve">Instandhaltung Gewerbe</t>
  </si>
  <si>
    <t xml:space="preserve">€/m² Jahr</t>
  </si>
  <si>
    <t xml:space="preserve">vw_gew</t>
  </si>
  <si>
    <t xml:space="preserve">Verwaltung Gewerbe</t>
  </si>
  <si>
    <t xml:space="preserve">% der Miete</t>
  </si>
  <si>
    <t xml:space="preserve">nu_gew</t>
  </si>
  <si>
    <t xml:space="preserve">sonstige nicht umlagefähige Kosten Gewerbe</t>
  </si>
  <si>
    <t xml:space="preserve">FÖRDERUNG (theoretische Obergrenzen, nicht bestätigt)</t>
  </si>
  <si>
    <t xml:space="preserve">kfw297_we</t>
  </si>
  <si>
    <t xml:space="preserve">KfW 297 Kreditobergrenze je Wohneinheit (mit QNG-PLUS/PREMIUM)</t>
  </si>
  <si>
    <t xml:space="preserve">Quelle (Drittseiten, Merkblatt nicht abrufbar)</t>
  </si>
  <si>
    <t xml:space="preserve">100.000 € ohne, 150.000 € mit QNG-PLUS/-PREMIUM</t>
  </si>
  <si>
    <t xml:space="preserve">kfw299_m2</t>
  </si>
  <si>
    <t xml:space="preserve">KfW 299 Kreditobergrenze je m² (nicht zertifiziert)</t>
  </si>
  <si>
    <t xml:space="preserve">Quelle (Drittseite), Bezugsfläche ungeklärt</t>
  </si>
  <si>
    <t xml:space="preserve">2.000 €/m² mit QNG, 1.000 €/m² bei EG 55; Merkblatt 07/2026 nicht abrufbar</t>
  </si>
  <si>
    <t xml:space="preserve">nb_zusch</t>
  </si>
  <si>
    <t xml:space="preserve">NBank Mietwohnraum: Zuschuss in % der förderfähigen Kosten (Obergrenze)</t>
  </si>
  <si>
    <t xml:space="preserve">Quelle (NBank-Pressemeldung 07/2026), Höhe je Fall ungeklärt</t>
  </si>
  <si>
    <t xml:space="preserve">Obergrenze, bei niedrigem Einkommen bis 80 % Gesamtförderung</t>
  </si>
  <si>
    <t xml:space="preserve">nb_miete</t>
  </si>
  <si>
    <t xml:space="preserve">NBank gebundene Miete (Mietstufe I–III, mittlere Einkommen)</t>
  </si>
  <si>
    <t xml:space="preserve">Quelle Stand 04/2026, evtl. überholt</t>
  </si>
  <si>
    <t xml:space="preserve">Mietstufe Werlte unbekannt</t>
  </si>
  <si>
    <t xml:space="preserve">nb_cap</t>
  </si>
  <si>
    <t xml:space="preserve">NBank Kostengrenze</t>
  </si>
  <si>
    <t xml:space="preserve">€/m² WF</t>
  </si>
  <si>
    <t xml:space="preserve">Flächen- und Wohnungsübersicht (Geometrie B3, Variante K)</t>
  </si>
  <si>
    <t xml:space="preserve">Quelle: geometry/variant_B3.json. Netto = Brutto × 0,88 (Annahme). Alle Flächen hypothetisch bis zur Freigabe; Balkone und Dachterrassen nicht in der Wohnfläche.</t>
  </si>
  <si>
    <t xml:space="preserve">Nr.</t>
  </si>
  <si>
    <t xml:space="preserve">Geschoss</t>
  </si>
  <si>
    <t xml:space="preserve">Typ</t>
  </si>
  <si>
    <t xml:space="preserve">Brutto m²</t>
  </si>
  <si>
    <t xml:space="preserve">Netto m²</t>
  </si>
  <si>
    <t xml:space="preserve">Sollmiete €/Monat (realistisch)</t>
  </si>
  <si>
    <t xml:space="preserve">Außenraum</t>
  </si>
  <si>
    <t xml:space="preserve">Bemerkung</t>
  </si>
  <si>
    <t xml:space="preserve">1.01</t>
  </si>
  <si>
    <t xml:space="preserve">1. OG</t>
  </si>
  <si>
    <t xml:space="preserve">1. OG vorn, Studio</t>
  </si>
  <si>
    <t xml:space="preserve">Balkon 2,70 × 1,50 m</t>
  </si>
  <si>
    <t xml:space="preserve">1.02</t>
  </si>
  <si>
    <t xml:space="preserve">1.03</t>
  </si>
  <si>
    <t xml:space="preserve">1.04</t>
  </si>
  <si>
    <t xml:space="preserve">1.05</t>
  </si>
  <si>
    <t xml:space="preserve">1.06</t>
  </si>
  <si>
    <t xml:space="preserve">1. OG hinten, Zweizimmer</t>
  </si>
  <si>
    <t xml:space="preserve">–</t>
  </si>
  <si>
    <t xml:space="preserve">1.07</t>
  </si>
  <si>
    <t xml:space="preserve">1.08</t>
  </si>
  <si>
    <t xml:space="preserve">1.09</t>
  </si>
  <si>
    <t xml:space="preserve">3.01</t>
  </si>
  <si>
    <t xml:space="preserve">Staffel</t>
  </si>
  <si>
    <t xml:space="preserve">3. Geschoss vorn, Zweizimmer</t>
  </si>
  <si>
    <t xml:space="preserve">Umlauf 0,80 m</t>
  </si>
  <si>
    <t xml:space="preserve">3.02</t>
  </si>
  <si>
    <t xml:space="preserve">3.03</t>
  </si>
  <si>
    <t xml:space="preserve">3.04</t>
  </si>
  <si>
    <t xml:space="preserve">3.05</t>
  </si>
  <si>
    <t xml:space="preserve">3. Geschoss hinten, Zweizimmer</t>
  </si>
  <si>
    <t xml:space="preserve">Dachterrasse 20,7 m²</t>
  </si>
  <si>
    <t xml:space="preserve">3.06</t>
  </si>
  <si>
    <t xml:space="preserve">3.07</t>
  </si>
  <si>
    <t xml:space="preserve">Summe 16 Wohnungen</t>
  </si>
  <si>
    <t xml:space="preserve">Nutzungsflächen</t>
  </si>
  <si>
    <t xml:space="preserve">Bereich</t>
  </si>
  <si>
    <t xml:space="preserve">Netto / Mietfläche m²</t>
  </si>
  <si>
    <t xml:space="preserve">Gastronomie (Gastraum 280, Küche 60, Lager 27, WC 24, Personal 20, Flur 20, Anlieferung 9)</t>
  </si>
  <si>
    <t xml:space="preserve">ca. 120 Innenplätze möbliert, 44 Terrassenplätze</t>
  </si>
  <si>
    <t xml:space="preserve">Büros 1 und 2 (je 32 m² brutto)</t>
  </si>
  <si>
    <t xml:space="preserve">ohne Foyer und Büro-WC (15,6 m²)</t>
  </si>
  <si>
    <t xml:space="preserve">Büro-Foyer und Büro-WC (Alternative K)</t>
  </si>
  <si>
    <t xml:space="preserve">keine Mietfläche</t>
  </si>
  <si>
    <t xml:space="preserve">Wohnkern EG (Halle, Treppe, Flur, Aufzug, Technik)</t>
  </si>
  <si>
    <t xml:space="preserve">Erschließung Wohnen</t>
  </si>
  <si>
    <t xml:space="preserve">Wohnungen 1. OG</t>
  </si>
  <si>
    <t xml:space="preserve">inklusive Kern, Gang</t>
  </si>
  <si>
    <t xml:space="preserve">Wohnungen Staffelgeschoss</t>
  </si>
  <si>
    <t xml:space="preserve">Bruttogeschossfläche gesamt (EG 576 + 1. OG 660 + Staffel 539,06)</t>
  </si>
  <si>
    <t xml:space="preserve">Hinweis: Die Geschossflächen (Auskragung 3,00 m, Staffel 1,50 m) sind hypothetisch; Baufenster, GRZ und Abstände sind ungeklärt (C-30).</t>
  </si>
  <si>
    <t xml:space="preserve">Einnahmen und laufende Kosten (Eigenkapital 20 %, Szenarien)</t>
  </si>
  <si>
    <t xml:space="preserve">Getrennte Einnahmebereiche. Mieten netto kalt ohne Umsatzsteuer. Gastronomie als Vermietung an einen Betreiber, kein eigener Restaurantbetrieb.</t>
  </si>
  <si>
    <t xml:space="preserve">Position</t>
  </si>
  <si>
    <t xml:space="preserve">A. GASTRONOMIE</t>
  </si>
  <si>
    <t xml:space="preserve">Mietfläche m²</t>
  </si>
  <si>
    <t xml:space="preserve">Miete €/m² Monat</t>
  </si>
  <si>
    <t xml:space="preserve">Sollmiete monatlich</t>
  </si>
  <si>
    <t xml:space="preserve">Sollmiete jährlich</t>
  </si>
  <si>
    <t xml:space="preserve">Mietausfall %</t>
  </si>
  <si>
    <t xml:space="preserve">Einnahmen nach Ausfall jährlich</t>
  </si>
  <si>
    <t xml:space="preserve">B. WOHNUNGEN (16)</t>
  </si>
  <si>
    <t xml:space="preserve">Wohnfläche m²</t>
  </si>
  <si>
    <t xml:space="preserve">Leerstand und Mietausfall %</t>
  </si>
  <si>
    <t xml:space="preserve">Einnahmen nach Leerstand jährlich</t>
  </si>
  <si>
    <t xml:space="preserve">C. BÜROS (2)</t>
  </si>
  <si>
    <t xml:space="preserve">vermietbare Nettofläche m²</t>
  </si>
  <si>
    <t xml:space="preserve">Leerstand %</t>
  </si>
  <si>
    <t xml:space="preserve">GESAMT</t>
  </si>
  <si>
    <t xml:space="preserve">nicht umlagefähige Kosten Wohnen (Instandhaltung, Verwaltung, sonstige)</t>
  </si>
  <si>
    <t xml:space="preserve">Instandhaltung und sonstige Kosten Gewerbe</t>
  </si>
  <si>
    <t xml:space="preserve">laufende Kosten gesamt</t>
  </si>
  <si>
    <t xml:space="preserve">NETTO-MIETERTRAG jährlich</t>
  </si>
  <si>
    <t xml:space="preserve">Netto-Mietertrag monatlich</t>
  </si>
  <si>
    <t xml:space="preserve">Kontrolle Gastronomie: Pachtmiete / Umsatz</t>
  </si>
  <si>
    <t xml:space="preserve">angenommener Jahresumsatz des Betreibers je Innenplatz (Annahme, nicht belegt) €</t>
  </si>
  <si>
    <t xml:space="preserve">Annahme: ländlicher Restaurantbetrieb, nicht regional belegt</t>
  </si>
  <si>
    <t xml:space="preserve">Plätze innen + Terrasse (möbliert normal 120 + 44)</t>
  </si>
  <si>
    <t xml:space="preserve">Pacht in % vom Umsatz (Richtwert Branche 8–12 %, Ratgeber)</t>
  </si>
  <si>
    <t xml:space="preserve">Kostenschätzung nach DIN 276 (Eigenkapital 20 %, Szenarien)</t>
  </si>
  <si>
    <t xml:space="preserve">Preise brutto inkl. 19 % MwSt, Vorsteuerabzug nicht angesetzt. Fehlende Kostendaten sind Annahmen (Blatt Annahmen). Ohne Bodengutachten und Lageplan.</t>
  </si>
  <si>
    <t xml:space="preserve">Kostengruppe</t>
  </si>
  <si>
    <t xml:space="preserve">KG 100 Grundstück (960 m² × 230 €/m²)</t>
  </si>
  <si>
    <t xml:space="preserve">Erwerbsnebenkosten (Grunderwerbsteuer 5 %, Notar und Grundbuch 2 %)</t>
  </si>
  <si>
    <t xml:space="preserve">KG 200 Herrichten und Erschließen</t>
  </si>
  <si>
    <t xml:space="preserve">Pauschale, Grundstückszustand unbekannt</t>
  </si>
  <si>
    <t xml:space="preserve">KG 300+400 Bauwerk (Bau- und Technik) inkl. Effizienzhaus-40-Aufschlag</t>
  </si>
  <si>
    <t xml:space="preserve">BGF 1.775 m² × €/m²</t>
  </si>
  <si>
    <t xml:space="preserve">Gewerbe-Ausbau durch Vermieter (Anschlüsse, Abluft, Fettabscheider)</t>
  </si>
  <si>
    <t xml:space="preserve">Betreiberküche und Mieterausbau durch Mieter</t>
  </si>
  <si>
    <t xml:space="preserve">KG 500 Außenanlagen, Stellplätze, Terrasse mit Vordach</t>
  </si>
  <si>
    <t xml:space="preserve">HYPOTHETISCH (32 × 30 m)</t>
  </si>
  <si>
    <t xml:space="preserve">KG 700 Architektur und Objektplanung</t>
  </si>
  <si>
    <t xml:space="preserve">KG 700 Fachplaner: Statik, TGA, Brandschutz, Energieberatung, QNG</t>
  </si>
  <si>
    <t xml:space="preserve">KG 700 Genehmigungen, Gutachten, Vermessung</t>
  </si>
  <si>
    <t xml:space="preserve">KG 700 Bauleitung, Versicherungen, Sonstiges</t>
  </si>
  <si>
    <t xml:space="preserve">Reserve</t>
  </si>
  <si>
    <t xml:space="preserve">Zwischensumme ohne Finanzierungskosten</t>
  </si>
  <si>
    <t xml:space="preserve">Finanzierungskosten (Bauzeitzinsen, Anlaufzinsen, Bereitstellung)</t>
  </si>
  <si>
    <t xml:space="preserve">auf Fremdkapital mit Hausbankzins</t>
  </si>
  <si>
    <t xml:space="preserve">GESAMTKOSTEN</t>
  </si>
  <si>
    <t xml:space="preserve">Gesamtkosten je m² BGF</t>
  </si>
  <si>
    <t xml:space="preserve">Gesamtkosten je m² Nutzfläche (Wohnen + Gewerbe netto)</t>
  </si>
  <si>
    <t xml:space="preserve">Nicht enthalten: Mieterausbau, Küche und Inventar des Betreibers; KG 600; Umsatzsteuer-Option bei Gewerbe (Vorsteuer); Stellplatz-Ablöse; Fördermittel.</t>
  </si>
  <si>
    <t xml:space="preserve">Finanzierung bei unterschiedlichen Eigenkapitalquoten (ohne Förderung)</t>
  </si>
  <si>
    <t xml:space="preserve">Zinsen und Tilgung im Jahr 1; Hausbank 10 Jahre fest. Eigenkapital = Anteil der Gesamtkosten inkl. Finanzierungskosten.</t>
  </si>
  <si>
    <t xml:space="preserve">Größe</t>
  </si>
  <si>
    <t xml:space="preserve">V 0 %</t>
  </si>
  <si>
    <t xml:space="preserve">V 10 %</t>
  </si>
  <si>
    <t xml:space="preserve">V 20 %</t>
  </si>
  <si>
    <t xml:space="preserve">V 30 %</t>
  </si>
  <si>
    <t xml:space="preserve">R 0 %</t>
  </si>
  <si>
    <t xml:space="preserve">R 10 %</t>
  </si>
  <si>
    <t xml:space="preserve">R 20 %</t>
  </si>
  <si>
    <t xml:space="preserve">R 30 %</t>
  </si>
  <si>
    <t xml:space="preserve">G 0 %</t>
  </si>
  <si>
    <t xml:space="preserve">G 10 %</t>
  </si>
  <si>
    <t xml:space="preserve">G 20 %</t>
  </si>
  <si>
    <t xml:space="preserve">G 30 %</t>
  </si>
  <si>
    <t xml:space="preserve">Zinssatz Hausbank %</t>
  </si>
  <si>
    <t xml:space="preserve">anfängliche Tilgung %</t>
  </si>
  <si>
    <t xml:space="preserve">Kreditrate monatlich</t>
  </si>
  <si>
    <t xml:space="preserve">Cashflow nach Kapitaldienst monatlich</t>
  </si>
  <si>
    <t xml:space="preserve">Kapitaldienst bei 1 % statt 2 % Tilgung (R, EK 20 %)</t>
  </si>
  <si>
    <t xml:space="preserve">DSCR</t>
  </si>
  <si>
    <t xml:space="preserve">Fremdkapital, das bei DSCR 1,2 tragbar wäre (R, EK 20 %)</t>
  </si>
  <si>
    <t xml:space="preserve">nötiges Eigenkapital</t>
  </si>
  <si>
    <t xml:space="preserve">Quote</t>
  </si>
  <si>
    <t xml:space="preserve">Break-even Wohnmiete DSCR 1,0 / 1,2 (R, EK 20 %) €/m²</t>
  </si>
  <si>
    <t xml:space="preserve">Break-even Faktor aller Mieten DSCR 1,0 / 1,2 (R, EK 20 %)</t>
  </si>
  <si>
    <t xml:space="preserve">Sensitivität (realistisches Szenario, Eigenkapital 20 %)</t>
  </si>
  <si>
    <t xml:space="preserve">Jede Spalte ist ein voller Rechenfall.</t>
  </si>
  <si>
    <t xml:space="preserve">R Baukosten +10 %</t>
  </si>
  <si>
    <t xml:space="preserve">R Baukosten +20 %</t>
  </si>
  <si>
    <t xml:space="preserve">R Zins +1 pp</t>
  </si>
  <si>
    <t xml:space="preserve">R Zins +2 pp</t>
  </si>
  <si>
    <t xml:space="preserve">R Leerstand +5 pp</t>
  </si>
  <si>
    <t xml:space="preserve">R Leerstand +10 pp</t>
  </si>
  <si>
    <t xml:space="preserve">R Miete −10 %</t>
  </si>
  <si>
    <t xml:space="preserve">R 20 %, Tilgung 1 %</t>
  </si>
  <si>
    <t xml:space="preserve">Cashflow jährlich</t>
  </si>
  <si>
    <t xml:space="preserve">Break-even Wohnmiete DSCR 1,0 €/m²</t>
  </si>
  <si>
    <t xml:space="preserve">Bei allen Fällen liegt der Deckungsgrad unter 1,0: Die Aussage hängt nicht an einzelnen Annahmen.</t>
  </si>
  <si>
    <t xml:space="preserve">Förderung: theoretische Kredithöhe und Einfluss auf die Finanzierung (realistisch, Eigenkapital 20 %)</t>
  </si>
  <si>
    <t xml:space="preserve">Unterscheidung: theoretisch möglich / fachlich plausibel / bestätigte Zusage (keine). Konditionen sind zeitabhängig; Zinssätze noch zu bestätigen. Abruf der Quellen 22.10.2026.</t>
  </si>
  <si>
    <t xml:space="preserve">Programm</t>
  </si>
  <si>
    <t xml:space="preserve">theoretisch möglich</t>
  </si>
  <si>
    <t xml:space="preserve">fachlich plausibel (Einschätzung)</t>
  </si>
  <si>
    <t xml:space="preserve">bestätigte Zusage</t>
  </si>
  <si>
    <t xml:space="preserve">theoretische Kredit-/Zuschusshöhe</t>
  </si>
  <si>
    <t xml:space="preserve">Bedingungen, Hinweise, Kombinationsausschluss</t>
  </si>
  <si>
    <t xml:space="preserve">KfW 297/298 Klimafreundlicher Neubau Wohngebäude</t>
  </si>
  <si>
    <t xml:space="preserve">ja (Wohnanteil ca. 72 % der BGF)</t>
  </si>
  <si>
    <t xml:space="preserve">plausibel, wenn Effizienzhaus 40 bzw. 55 mit QNG erreichbar; Misch-Nutzung zu prüfen</t>
  </si>
  <si>
    <t xml:space="preserve">keine</t>
  </si>
  <si>
    <t xml:space="preserve">bis 100.000 € je Wohneinheit, bis 150.000 € mit QNG-PLUS/-PREMIUM (16 WE: bis 2,4 Mio €); reine Zinsverbilligung ohne Tilgungszuschuss; Laufzeit bis 35 Jahre, Zinsbindung bis 10 Jahre; Effizienzhaus-55-Stufe befristet bis 31.12.2026 und mit begrenzten Bundesmitteln; Antrag vor Baubeginn; Zinssatz noch zu bestätigen</t>
  </si>
  <si>
    <t xml:space="preserve">KfW 296 Klimafreundlicher Neubau im Niedrigpreissegment</t>
  </si>
  <si>
    <t xml:space="preserve">nur wenn alle Programmkriterien erfüllt</t>
  </si>
  <si>
    <t xml:space="preserve">unwahrscheinlich: Kostengrenzen, Wohnflächenoptimierung und Lebenszykluskriterien, Gewerbeanteil und Dachterrassen nicht geprüft</t>
  </si>
  <si>
    <t xml:space="preserve">bis 100.000 € je Wohneinheit (16 WE: 1,6 Mio €)</t>
  </si>
  <si>
    <t xml:space="preserve">mindestens Effizienzhaus 55, Treibhausgasgrenze, keine fossile Wärme, Wohnflächenoptimierung nach WoFlV; nicht mit 297/298/299 für dieselbe Einheit kombinierbar; Merkblatt 06/2026 nicht abgerufen</t>
  </si>
  <si>
    <t xml:space="preserve">KfW 299 Klimafreundlicher Neubau Nichtwohngebäude (Gewerbeteil)</t>
  </si>
  <si>
    <t xml:space="preserve">ja für Gastronomie und Büros (Nichtwohnanteil ca. 28 %)</t>
  </si>
  <si>
    <t xml:space="preserve">unklar: Bezugsfläche, Mischnutzung und Abgrenzung zum Wohnteil sind zu klären</t>
  </si>
  <si>
    <t xml:space="preserve">laut Drittseiten bis 1.500 €/m² (2.000 mit QNG, 1.000 bei Effizienzgebäude 55); Merkblatt 07/2026 (ab 30.07.2026) nicht abrufbar; 10 Jahre zweckentsprechende Nutzung; Antrag vor Baubeginn; Zinssatz nicht gefunden</t>
  </si>
  <si>
    <t xml:space="preserve">NBank Mietwohnraumförderung Neubau (Niedersachsen, seit 01.07.2026)</t>
  </si>
  <si>
    <t xml:space="preserve">ja für den Wohnteil (gebundene Mieten)</t>
  </si>
  <si>
    <t xml:space="preserve">nicht plausibel mit den Marktmieten: Mietbindung 35 Jahre, Mietstufe Werlte unbekannt</t>
  </si>
  <si>
    <t xml:space="preserve">Zuschuss bis 40 % der förderfähigen Kosten, bis 80 % Gesamtförderung bei niedrigen Einkommen (Pressemeldung); Obergrenzen je Wohnung nicht abgerufen; Miete 6,30–7,80 €/m² (Stand 04/2026), Effizienzhaus 40, mindestens 3 Wohnungen, Antrag vor Maßnahmenbeginn</t>
  </si>
  <si>
    <t xml:space="preserve">Kommunale Programme Werlte / Samtgemeinde Werlte</t>
  </si>
  <si>
    <t xml:space="preserve">nicht ermittelt</t>
  </si>
  <si>
    <t xml:space="preserve">nicht beurteilbar</t>
  </si>
  <si>
    <t xml:space="preserve">bei der Stadt erfragen</t>
  </si>
  <si>
    <t xml:space="preserve">Einfluss auf die Finanzierung (theoretisch, nicht zugesagt)</t>
  </si>
  <si>
    <t xml:space="preserve">ohne Förderung</t>
  </si>
  <si>
    <t xml:space="preserve">mit KfW 297 + 299 (theoretisch)</t>
  </si>
  <si>
    <t xml:space="preserve">mit NBank-Zuschuss (theoretisch)</t>
  </si>
  <si>
    <t xml:space="preserve">davon KfW</t>
  </si>
  <si>
    <t xml:space="preserve">NBank: gebundene Miete 7,80 €/m² senkt den Ertrag</t>
  </si>
  <si>
    <t xml:space="preserve">Zinssatz KfW 297 / 299 (Annahme realistisch, noch zu bestätigen)</t>
  </si>
  <si>
    <t xml:space="preserve">Bewertung: Auch mit den theoretischen Höchstbeträgen bleibt der Deckungsgrad deutlich unter 1,0. Die Finanzierung wird durch Förderung allein nicht tragfähig; Förderung ist keine zugesagte Größe.</t>
  </si>
  <si>
    <t xml:space="preserve">Quellen und Abrufdatum (22.10.2026)</t>
  </si>
  <si>
    <t xml:space="preserve">Aus der Websuche; offizielle Seiten von KfW und NBank waren aus der Arbeitsumgebung nicht direkt abrufbar (Netzwerksperre), Merkblätter wurden nicht im Volltext gelesen.</t>
  </si>
  <si>
    <t xml:space="preserve">Thema</t>
  </si>
  <si>
    <t xml:space="preserve">Quelle</t>
  </si>
  <si>
    <t xml:space="preserve">Aussage und Vorbehalt</t>
  </si>
  <si>
    <t xml:space="preserve">KfW 297/298</t>
  </si>
  <si>
    <t xml:space="preserve">https://baukostenplan.de/ratgeber/kfw-297-298-klimafreundlicher-neubau-2026; https://baumentor.de/klimafreundlicher-neubau-kfw-programm-neubaufoerderung/; https://hausbaujournal.com/hausbau-planen/kfw-297-298-klimafreundlicher-neubau/</t>
  </si>
  <si>
    <t xml:space="preserve">100.000 € je WE, 150.000 € mit QNG-PLUS/-PREMIUM; Zinsangaben widersprüchlich (0,6 % März 2026; 1,96 % laut Quelle vom 01.10.2026; 3,05 % EH 40 laut Drittseite, KfW 29.09.2026); Effizienzhaus-55-Stufe bis 31.12.2026. Zinsen noch zu bestätigen.</t>
  </si>
  <si>
    <t xml:space="preserve">KfW 296</t>
  </si>
  <si>
    <t xml:space="preserve">https://www.kfw.de/PDF/Download-Center/F%C3%B6rderprogramme-(Inlandsf%C3%B6rderung)/PDF-Dokumente/6000005195_M_296.pdf; https://baukostenplan.de/ratgeber/kfw-296-klimafreundlicher-neubau-niedrigpreissegment</t>
  </si>
  <si>
    <t xml:space="preserve">bis 100.000 € je WE, mindestens EH 55, Wohnflächenoptimierung, nicht kombinierbar mit 297/298/299 je Einheit. Merkblatt nicht im Volltext gelesen.</t>
  </si>
  <si>
    <t xml:space="preserve">KfW 299</t>
  </si>
  <si>
    <t xml:space="preserve">https://www.kfw.de/PDF/Download-Center/F%C3%B6rderprogramme-(Inlandsf%C3%B6rderung)/PDF-Dokumente/6000005052_M_299.pdf; https://www.fensterversand.com/foerderung/kfw/299.php</t>
  </si>
  <si>
    <t xml:space="preserve">Höchstbeträge je m² laut Drittseite 1.000/1.500/2.000 €; Merkblatt Fassung 07/2026; Zinssatz nicht gefunden.</t>
  </si>
  <si>
    <t xml:space="preserve">NBank Wohnraumförderung</t>
  </si>
  <si>
    <t xml:space="preserve">https://www.nbank.de/Service/Presse/Niedersachsen-stellt-soziale-Wohnraumf%C3%B6rderung-neu-auf/; https://www.nbank.de/medien/nb-media/Downloads/Programminformation/Produktinformationen/Produktinformation-Energetisch-hochwertiger-Mietwohnungsneubau-in-Mehrfamilienh%C3%A4usern.pdf</t>
  </si>
  <si>
    <t xml:space="preserve">Neufassung seit 01.07.2026, Zuschuss bis 40 % der förderfähigen Kosten; Bindung 35 Jahre; Mieten und Kostengrenzen Stand 04/2026 evtl. überholt.</t>
  </si>
  <si>
    <t xml:space="preserve">Wohnungsmieten Werlte/Emsland</t>
  </si>
  <si>
    <t xml:space="preserve">https://www.kleinanzeigen.de/s-werlte-/2-zimmer-wohnung/k0l13476; https://www.immowelt.de/suche/mieten/wohnung/niedersachsen/werlte-49757/ad08de1969; https://www.immobilienscout24.de/immobilienpreise/niedersachsen/emsland-kreis/mietspiegel; https://www.miet-check.de/mietspiegel/kreis/emsland/; https://www.miete-aktuell.de/mietspiegel/Werlte/Werlte/</t>
  </si>
  <si>
    <t xml:space="preserve">Angebote Neubau 9,5–12,5 €/m²; Durchschnitt Werlte 7,78–8,43 €/m²; Stichprobe klein, Angebotsmieten.</t>
  </si>
  <si>
    <t xml:space="preserve">Büromieten</t>
  </si>
  <si>
    <t xml:space="preserve">https://www.immowelt.de/suche/mieten/praxis-bueros/niedersachsen/werlte-49757/ad08de1969; https://www.immobilienscout24.de/gewerbe-flaechen/de/niedersachsen/emsland-kreis/buero-mieten/</t>
  </si>
  <si>
    <t xml:space="preserve">Werlte 9,6–12 €/m² (kleine Einheiten), Meppen 9–9,5, Sögel 6,3–7,8; Angebotspreise.</t>
  </si>
  <si>
    <t xml:space="preserve">Gastronomie-Pacht</t>
  </si>
  <si>
    <t xml:space="preserve">https://gastro-master.de/de/blog/pachtkalkulation-restaurant-berechnen; https://kanzlei-herfurtner.de/gewerbemiete-umsatzmiete-mindestmiete/</t>
  </si>
  <si>
    <t xml:space="preserve">Mietquote 8–12 % vom Nettoumsatz als Richtwert (Ratgeber); keine regionalen Gastro-Flächenmieten gefunden.</t>
  </si>
  <si>
    <t xml:space="preserve">Baukosten</t>
  </si>
  <si>
    <t xml:space="preserve">https://baukostenplan.de/haustypen/mehrfamilienhaus; https://baukostenplan.de/baukosten/niedersachsen</t>
  </si>
  <si>
    <t xml:space="preserve">MFH ca. 2.500–3.500 €/m² Wohnfläche (Ratgeber, nicht BKI); BKI-Regionalfaktor Niedersachsen nicht geprüft.</t>
  </si>
  <si>
    <t xml:space="preserve">Zinsen</t>
  </si>
  <si>
    <t xml:space="preserve">https://www.baufi24.de/presse/pressemitteilungen/zinskommentar-102026/; https://www.sparkasse.de/pk/ratgeber/wohnen/immobilie-erwerben/bauzinsen.html; https://www.interhyp.de/zinsen/</t>
  </si>
  <si>
    <t xml:space="preserve">10 Jahre fest Oktober 2026 ca. 4,0–4,5 %; Durchschnitt Baufi24 September 4,16 %.</t>
  </si>
  <si>
    <t xml:space="preserve">Rechenkern</t>
  </si>
  <si>
    <t xml:space="preserve">Jede Spalte ist ein vollständiger Rechenfall. Parameter kommen aus Annahmen (Szenario-Nr. 1 vorsichtig, 2 realistisch, 3 günstig); Zeilen 5–11 sind Fall-Einstellungen.</t>
  </si>
  <si>
    <t xml:space="preserve">Szenario-Nr.</t>
  </si>
  <si>
    <t xml:space="preserve">Eigenkapitalquote</t>
  </si>
  <si>
    <t xml:space="preserve">Faktor Baukosten</t>
  </si>
  <si>
    <t xml:space="preserve">Zinszuschlag Hausbank</t>
  </si>
  <si>
    <t xml:space="preserve">pp</t>
  </si>
  <si>
    <t xml:space="preserve">Leerstandszuschlag</t>
  </si>
  <si>
    <t xml:space="preserve">Faktor Mieten</t>
  </si>
  <si>
    <t xml:space="preserve">Tilgung Override (leer = Annahme)</t>
  </si>
  <si>
    <t xml:space="preserve">Grundstück</t>
  </si>
  <si>
    <t xml:space="preserve">Erwerbsnebenkosten (Grunderwerbsteuer, Notar)</t>
  </si>
  <si>
    <t xml:space="preserve">KG 100 Grundstück</t>
  </si>
  <si>
    <t xml:space="preserve">Bruttogrundfläche gesamt</t>
  </si>
  <si>
    <t xml:space="preserve">KG 300+400 Bauwerk inkl. EH-40-Aufschlag</t>
  </si>
  <si>
    <t xml:space="preserve">Gewerbe-Ausbau durch Vermieter</t>
  </si>
  <si>
    <t xml:space="preserve">KG 500 Außenanlagen, Stellplätze, Terrasse</t>
  </si>
  <si>
    <t xml:space="preserve">Summe KG 300–500</t>
  </si>
  <si>
    <t xml:space="preserve">KG 700 Fachplaner (Statik, TGA, Brandschutz, Energie, QNG)</t>
  </si>
  <si>
    <t xml:space="preserve">Summe KG 700 Baunebenkosten</t>
  </si>
  <si>
    <t xml:space="preserve">Kosten ohne Finanzierungskosten</t>
  </si>
  <si>
    <t xml:space="preserve">Zinssatz Hausbank</t>
  </si>
  <si>
    <t xml:space="preserve">Finanzierungskostensatz (Bauzeit, Anlauf, Bearbeitung) je € Kredit</t>
  </si>
  <si>
    <t xml:space="preserve">GESAMTKOSTEN inkl. Finanzierungskosten</t>
  </si>
  <si>
    <t xml:space="preserve">davon Finanzierungskosten</t>
  </si>
  <si>
    <t xml:space="preserve">Zinsen Jahr 1</t>
  </si>
  <si>
    <t xml:space="preserve">Tilgung Jahr 1</t>
  </si>
  <si>
    <t xml:space="preserve">Sollmiete Wohnen jährlich</t>
  </si>
  <si>
    <t xml:space="preserve">Sollmiete Gastronomie jährlich</t>
  </si>
  <si>
    <t xml:space="preserve">Sollmiete Büros jährlich</t>
  </si>
  <si>
    <t xml:space="preserve">Sollmiete gesamt jährlich</t>
  </si>
  <si>
    <t xml:space="preserve">Mieteinnahmen Wohnen nach Leerstand</t>
  </si>
  <si>
    <t xml:space="preserve">Mieteinnahmen Gastronomie nach Ausfall</t>
  </si>
  <si>
    <t xml:space="preserve">Mieteinnahmen Büros nach Leerstand</t>
  </si>
  <si>
    <t xml:space="preserve">Mieteinnahmen gesamt nach Leerstand</t>
  </si>
  <si>
    <t xml:space="preserve">nicht umlagefähige Kosten Wohnen</t>
  </si>
  <si>
    <t xml:space="preserve">NETTO-MIETERTRAG (vor Kapitaldienst)</t>
  </si>
  <si>
    <t xml:space="preserve">KAPITALDIENSTDECKUNGSGRAD</t>
  </si>
  <si>
    <t xml:space="preserve">x</t>
  </si>
  <si>
    <t xml:space="preserve">Nettoanfangsrendite auf Gesamtkosten</t>
  </si>
  <si>
    <t xml:space="preserve">Break-even Wohnmiete für DSCR 1,0 (übrige Mieten unverändert)</t>
  </si>
  <si>
    <t xml:space="preserve">Break-even Wohnmiete für DSCR 1,2</t>
  </si>
  <si>
    <t xml:space="preserve">Break-even Mietfaktor (alle Mieten) für DSCR 1,0</t>
  </si>
  <si>
    <t xml:space="preserve">Break-even Mietfaktor (alle Mieten) für DSCR 1,2</t>
  </si>
  <si>
    <t xml:space="preserve">Fremdkapital, das bei DSCR 1,2 tragbar wäre</t>
  </si>
  <si>
    <t xml:space="preserve">dafür nötige Eigenkapitalquote</t>
  </si>
  <si>
    <t xml:space="preserve">dafür nötiges Eigenkapital</t>
  </si>
  <si>
    <t xml:space="preserve">Wohnanteil der Bruttogeschossfläche (Wohnen + EG-Kern)</t>
  </si>
  <si>
    <t xml:space="preserve">KfW 297/298: theoretischer Kredit</t>
  </si>
  <si>
    <t xml:space="preserve">KfW 299: theoretischer Kredit</t>
  </si>
  <si>
    <t xml:space="preserve">Hausbank-Anteil</t>
  </si>
  <si>
    <t xml:space="preserve">Kapitaldienst mit KfW (theoretisch)</t>
  </si>
  <si>
    <t xml:space="preserve">DSCR mit KfW (theoretisch, nicht bestätigt)</t>
  </si>
  <si>
    <t xml:space="preserve">Cashflow mit KfW jährlich</t>
  </si>
  <si>
    <t xml:space="preserve">NBank-Zuschuss (Obergrenze 40 %, nicht zugesagt)</t>
  </si>
  <si>
    <t xml:space="preserve">Fremdkapital nach Zuschuss</t>
  </si>
  <si>
    <t xml:space="preserve">Netto-Mietertrag bei gebundener Miete</t>
  </si>
  <si>
    <t xml:space="preserve">Kapitaldienst nach Zuschuss</t>
  </si>
  <si>
    <t xml:space="preserve">DSCR mit NBank-Zuschuss (theoretisch)</t>
  </si>
  <si>
    <t xml:space="preserve">Plausibilitäts- und Konsistenzprüfung</t>
  </si>
  <si>
    <t xml:space="preserve">Alle Prüfungen müssen WAHR sein.</t>
  </si>
  <si>
    <t xml:space="preserve">Prüfung</t>
  </si>
  <si>
    <t xml:space="preserve">Wert A</t>
  </si>
  <si>
    <t xml:space="preserve">Wert B</t>
  </si>
  <si>
    <t xml:space="preserve">OK</t>
  </si>
  <si>
    <t xml:space="preserve">Gesamtkosten = Σ Kostengruppen (R 20 %)</t>
  </si>
  <si>
    <t xml:space="preserve">Eigenkapital + Fremdkapital = Gesamtkosten (R 20 %)</t>
  </si>
  <si>
    <t xml:space="preserve">Wohnfläche Flächenblatt = Annahme</t>
  </si>
  <si>
    <t xml:space="preserve">Kapitaldienst = Zinsen + Tilgung (R 20 %)</t>
  </si>
  <si>
    <t xml:space="preserve">Netto-Mietertrag = Einnahmen − Kosten (R 20 %)</t>
  </si>
  <si>
    <t xml:space="preserve">Break-even Wohnmiete liefert DSCR 1,0 (R 20 %)</t>
  </si>
  <si>
    <t xml:space="preserve">Alle Prüfungen bestanden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</si>
</sst>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&quot; €&quot;;\-#,##0&quot; €&quot;;\–"/>
    <numFmt numFmtId="166" formatCode="0.00"/>
    <numFmt numFmtId="167" formatCode="0.0%"/>
    <numFmt numFmtId="168" formatCode="General"/>
    <numFmt numFmtId="169" formatCode="#,##0"/>
    <numFmt numFmtId="170" formatCode="0.0"/>
    <numFmt numFmtId="171" formatCode="0%"/>
    <numFmt numFmtId="172" formatCode="#,##0.0&quot; m²&quot;"/>
    <numFmt numFmtId="173" formatCode="0.0000"/>
    <numFmt numFmtId="174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4A3E"/>
      <name val="Arial"/>
      <family val="0"/>
      <charset val="1"/>
    </font>
    <font>
      <sz val="10"/>
      <color rgb="FF5B67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B677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4A3E"/>
        <bgColor rgb="FF333300"/>
      </patternFill>
    </fill>
    <fill>
      <patternFill patternType="solid">
        <fgColor rgb="FFFFF2CC"/>
        <bgColor rgb="FFE3E8E5"/>
      </patternFill>
    </fill>
    <fill>
      <patternFill patternType="solid">
        <fgColor rgb="FFF8D7D3"/>
        <bgColor rgb="FFE3E8E5"/>
      </patternFill>
    </fill>
    <fill>
      <patternFill patternType="solid">
        <fgColor rgb="FFE3E8E5"/>
        <bgColor rgb="FFF8D7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8E5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Rechenkern!C31</f>
        <v>8411875.38215542</v>
      </c>
      <c r="C5" s="5" t="n">
        <f aca="false">Rechenkern!D31</f>
        <v>6641738.67630058</v>
      </c>
      <c r="D5" s="5" t="n">
        <f aca="false">Rechenkern!E31</f>
        <v>5524198.99055331</v>
      </c>
    </row>
    <row r="6" customFormat="false" ht="15" hidden="false" customHeight="false" outlineLevel="0" collapsed="false">
      <c r="A6" s="6" t="s">
        <v>8</v>
      </c>
      <c r="B6" s="7" t="n">
        <f aca="false">Rechenkern!C34</f>
        <v>1682375.07643108</v>
      </c>
      <c r="C6" s="7" t="n">
        <f aca="false">Rechenkern!D34</f>
        <v>1328347.73526012</v>
      </c>
      <c r="D6" s="7" t="n">
        <f aca="false">Rechenkern!E34</f>
        <v>1104839.79811066</v>
      </c>
    </row>
    <row r="7" customFormat="false" ht="15" hidden="false" customHeight="false" outlineLevel="0" collapsed="false">
      <c r="A7" s="6" t="s">
        <v>9</v>
      </c>
      <c r="B7" s="7" t="n">
        <f aca="false">Rechenkern!C33</f>
        <v>6729500.30572434</v>
      </c>
      <c r="C7" s="7" t="n">
        <f aca="false">Rechenkern!D33</f>
        <v>5313390.94104046</v>
      </c>
      <c r="D7" s="7" t="n">
        <f aca="false">Rechenkern!E33</f>
        <v>4419359.19244265</v>
      </c>
    </row>
    <row r="8" customFormat="false" ht="15" hidden="false" customHeight="false" outlineLevel="0" collapsed="false">
      <c r="A8" s="6" t="s">
        <v>10</v>
      </c>
      <c r="B8" s="7" t="n">
        <f aca="false">Rechenkern!C39</f>
        <v>27478.792915041</v>
      </c>
      <c r="C8" s="7" t="n">
        <f aca="false">Rechenkern!D39</f>
        <v>19925.2160289017</v>
      </c>
      <c r="D8" s="7" t="n">
        <f aca="false">Rechenkern!E39</f>
        <v>15099.4772408457</v>
      </c>
    </row>
    <row r="9" customFormat="false" ht="15" hidden="false" customHeight="false" outlineLevel="0" collapsed="false">
      <c r="A9" s="6" t="s">
        <v>11</v>
      </c>
      <c r="B9" s="7" t="n">
        <f aca="false">Rechenkern!C38</f>
        <v>38694.6267579149</v>
      </c>
      <c r="C9" s="7" t="n">
        <f aca="false">Rechenkern!D38</f>
        <v>28780.8675973025</v>
      </c>
      <c r="D9" s="7" t="n">
        <f aca="false">Rechenkern!E38</f>
        <v>22465.0758949168</v>
      </c>
    </row>
    <row r="10" customFormat="false" ht="15" hidden="false" customHeight="false" outlineLevel="0" collapsed="false">
      <c r="A10" s="6" t="s">
        <v>12</v>
      </c>
      <c r="B10" s="7" t="n">
        <f aca="false">Rechenkern!C37</f>
        <v>464335.521094979</v>
      </c>
      <c r="C10" s="7" t="n">
        <f aca="false">Rechenkern!D37</f>
        <v>345370.41116763</v>
      </c>
      <c r="D10" s="7" t="n">
        <f aca="false">Rechenkern!E37</f>
        <v>269580.910739001</v>
      </c>
    </row>
    <row r="11" customFormat="false" ht="15" hidden="false" customHeight="false" outlineLevel="0" collapsed="false">
      <c r="A11" s="6" t="s">
        <v>13</v>
      </c>
      <c r="B11" s="7" t="n">
        <f aca="false">Rechenkern!C47</f>
        <v>136035.0912</v>
      </c>
      <c r="C11" s="7" t="n">
        <f aca="false">Rechenkern!D47</f>
        <v>159732.5229</v>
      </c>
      <c r="D11" s="7" t="n">
        <f aca="false">Rechenkern!E47</f>
        <v>182975.0793</v>
      </c>
    </row>
    <row r="12" customFormat="false" ht="15" hidden="false" customHeight="false" outlineLevel="0" collapsed="false">
      <c r="A12" s="6" t="s">
        <v>14</v>
      </c>
      <c r="B12" s="7" t="n">
        <f aca="false">Rechenkern!C51</f>
        <v>28701.9656</v>
      </c>
      <c r="C12" s="7" t="n">
        <f aca="false">Rechenkern!D51</f>
        <v>22886.5144</v>
      </c>
      <c r="D12" s="7" t="n">
        <f aca="false">Rechenkern!E51</f>
        <v>19386.808</v>
      </c>
    </row>
    <row r="13" customFormat="false" ht="15" hidden="false" customHeight="false" outlineLevel="0" collapsed="false">
      <c r="A13" s="4" t="s">
        <v>15</v>
      </c>
      <c r="B13" s="5" t="n">
        <f aca="false">Rechenkern!C52</f>
        <v>107333.1256</v>
      </c>
      <c r="C13" s="5" t="n">
        <f aca="false">Rechenkern!D52</f>
        <v>136846.0085</v>
      </c>
      <c r="D13" s="5" t="n">
        <f aca="false">Rechenkern!E52</f>
        <v>163588.2713</v>
      </c>
    </row>
    <row r="14" customFormat="false" ht="15" hidden="false" customHeight="false" outlineLevel="0" collapsed="false">
      <c r="A14" s="6" t="s">
        <v>16</v>
      </c>
      <c r="B14" s="7" t="n">
        <f aca="false">Rechenkern!C53</f>
        <v>-357002.395494979</v>
      </c>
      <c r="C14" s="7" t="n">
        <f aca="false">Rechenkern!D53</f>
        <v>-208524.40266763</v>
      </c>
      <c r="D14" s="7" t="n">
        <f aca="false">Rechenkern!E53</f>
        <v>-105992.639439001</v>
      </c>
    </row>
    <row r="15" customFormat="false" ht="15" hidden="false" customHeight="false" outlineLevel="0" collapsed="false">
      <c r="A15" s="4" t="s">
        <v>17</v>
      </c>
      <c r="B15" s="8" t="n">
        <f aca="false">Rechenkern!C55</f>
        <v>0.231154242404051</v>
      </c>
      <c r="C15" s="8" t="n">
        <f aca="false">Rechenkern!D55</f>
        <v>0.396229682900021</v>
      </c>
      <c r="D15" s="8" t="n">
        <f aca="false">Rechenkern!E55</f>
        <v>0.606824388461171</v>
      </c>
    </row>
    <row r="16" customFormat="false" ht="15" hidden="false" customHeight="false" outlineLevel="0" collapsed="false">
      <c r="A16" s="6" t="s">
        <v>18</v>
      </c>
      <c r="B16" s="9" t="n">
        <f aca="false">Rechenkern!C56</f>
        <v>0.0127597141807036</v>
      </c>
      <c r="C16" s="9" t="n">
        <f aca="false">Rechenkern!D56</f>
        <v>0.0206039435108011</v>
      </c>
      <c r="D16" s="9" t="n">
        <f aca="false">Rechenkern!E56</f>
        <v>0.0296130301569051</v>
      </c>
    </row>
    <row r="17" customFormat="false" ht="15" hidden="false" customHeight="false" outlineLevel="0" collapsed="false">
      <c r="A17" s="6" t="s">
        <v>19</v>
      </c>
      <c r="B17" s="10" t="n">
        <f aca="false">Rechenkern!C57</f>
        <v>46.1339901358338</v>
      </c>
      <c r="C17" s="10" t="n">
        <f aca="false">Rechenkern!D57</f>
        <v>31.5686445906882</v>
      </c>
      <c r="D17" s="10" t="n">
        <f aca="false">Rechenkern!E57</f>
        <v>22.1004378363861</v>
      </c>
    </row>
    <row r="18" customFormat="false" ht="15" hidden="false" customHeight="false" outlineLevel="0" collapsed="false">
      <c r="A18" s="6" t="s">
        <v>20</v>
      </c>
      <c r="B18" s="10" t="n">
        <f aca="false">Rechenkern!C59</f>
        <v>3.66189849949221</v>
      </c>
      <c r="C18" s="10" t="n">
        <f aca="false">Rechenkern!D59</f>
        <v>2.32014309972856</v>
      </c>
      <c r="D18" s="10" t="n">
        <f aca="false">Rechenkern!E59</f>
        <v>1.58490421102683</v>
      </c>
    </row>
    <row r="19" customFormat="false" ht="15" hidden="false" customHeight="false" outlineLevel="0" collapsed="false">
      <c r="A19" s="6" t="s">
        <v>21</v>
      </c>
      <c r="B19" s="7" t="n">
        <f aca="false">Rechenkern!C63</f>
        <v>6695187.24036353</v>
      </c>
      <c r="C19" s="7" t="n">
        <f aca="false">Rechenkern!D63</f>
        <v>4671541.02697837</v>
      </c>
      <c r="D19" s="7" t="n">
        <f aca="false">Rechenkern!E63</f>
        <v>3189170.45926513</v>
      </c>
    </row>
    <row r="20" customFormat="false" ht="15" hidden="false" customHeight="false" outlineLevel="0" collapsed="false">
      <c r="A20" s="6" t="s">
        <v>22</v>
      </c>
      <c r="B20" s="10" t="n">
        <f aca="false">Rechenkern!C69</f>
        <v>0.253637368537463</v>
      </c>
      <c r="C20" s="10" t="n">
        <f aca="false">Rechenkern!D69</f>
        <v>0.454555732863196</v>
      </c>
      <c r="D20" s="10" t="n">
        <f aca="false">Rechenkern!E69</f>
        <v>0.787084076558093</v>
      </c>
    </row>
    <row r="21" customFormat="false" ht="15" hidden="false" customHeight="false" outlineLevel="0" collapsed="false">
      <c r="A21" s="4" t="s">
        <v>23</v>
      </c>
      <c r="B21" s="11" t="str">
        <f aca="false">IF(B15&gt;=1.2,"tragfähig",IF(B15&gt;=1,"knapp","NICHT tragfähig"))</f>
        <v>NICHT tragfähig</v>
      </c>
      <c r="C21" s="11" t="str">
        <f aca="false">IF(C15&gt;=1.2,"tragfähig",IF(C15&gt;=1,"knapp","NICHT tragfähig"))</f>
        <v>NICHT tragfähig</v>
      </c>
      <c r="D21" s="11" t="str">
        <f aca="false">IF(D15&gt;=1.2,"tragfähig",IF(D15&gt;=1,"knapp","NICHT tragfähig"))</f>
        <v>NICHT tragfähig</v>
      </c>
      <c r="E21" s="12" t="s">
        <v>24</v>
      </c>
    </row>
    <row r="23" customFormat="false" ht="15" hidden="false" customHeight="false" outlineLevel="0" collapsed="false">
      <c r="A23" s="13" t="s">
        <v>25</v>
      </c>
      <c r="B23" s="14" t="b">
        <f aca="false">Prüfung!D12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6" min="4" style="0" width="13"/>
    <col collapsed="false" customWidth="true" hidden="false" outlineLevel="0" max="7" min="7" style="0" width="38"/>
    <col collapsed="false" customWidth="true" hidden="false" outlineLevel="0" max="8" min="8" style="0" width="90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3"/>
      <c r="B4" s="3" t="s">
        <v>28</v>
      </c>
      <c r="C4" s="3" t="s">
        <v>29</v>
      </c>
      <c r="D4" s="3" t="s">
        <v>3</v>
      </c>
      <c r="E4" s="3" t="s">
        <v>4</v>
      </c>
      <c r="F4" s="3" t="s">
        <v>5</v>
      </c>
      <c r="G4" s="3" t="s">
        <v>30</v>
      </c>
      <c r="H4" s="3" t="s">
        <v>31</v>
      </c>
    </row>
    <row r="5" customFormat="false" ht="15" hidden="false" customHeight="false" outlineLevel="0" collapsed="false">
      <c r="A5" s="15"/>
      <c r="B5" s="16" t="s">
        <v>32</v>
      </c>
      <c r="C5" s="15"/>
      <c r="D5" s="15"/>
      <c r="E5" s="15"/>
      <c r="F5" s="15"/>
      <c r="G5" s="15"/>
      <c r="H5" s="15"/>
    </row>
    <row r="6" customFormat="false" ht="15" hidden="false" customHeight="false" outlineLevel="0" collapsed="false">
      <c r="A6" s="12" t="s">
        <v>33</v>
      </c>
      <c r="B6" s="17" t="s">
        <v>34</v>
      </c>
      <c r="C6" s="6" t="s">
        <v>35</v>
      </c>
      <c r="D6" s="18" t="n">
        <v>576</v>
      </c>
      <c r="E6" s="18" t="n">
        <v>576</v>
      </c>
      <c r="F6" s="18" t="n">
        <v>576</v>
      </c>
      <c r="G6" s="19" t="s">
        <v>36</v>
      </c>
      <c r="H6" s="19" t="s">
        <v>37</v>
      </c>
    </row>
    <row r="7" customFormat="false" ht="15" hidden="false" customHeight="false" outlineLevel="0" collapsed="false">
      <c r="A7" s="12" t="s">
        <v>38</v>
      </c>
      <c r="B7" s="17" t="s">
        <v>39</v>
      </c>
      <c r="C7" s="6" t="s">
        <v>35</v>
      </c>
      <c r="D7" s="18" t="n">
        <v>660</v>
      </c>
      <c r="E7" s="18" t="n">
        <v>660</v>
      </c>
      <c r="F7" s="18" t="n">
        <v>660</v>
      </c>
      <c r="G7" s="19" t="s">
        <v>36</v>
      </c>
      <c r="H7" s="19" t="s">
        <v>37</v>
      </c>
    </row>
    <row r="8" customFormat="false" ht="15" hidden="false" customHeight="false" outlineLevel="0" collapsed="false">
      <c r="A8" s="12" t="s">
        <v>40</v>
      </c>
      <c r="B8" s="17" t="s">
        <v>41</v>
      </c>
      <c r="C8" s="6" t="s">
        <v>35</v>
      </c>
      <c r="D8" s="18" t="n">
        <v>539.06</v>
      </c>
      <c r="E8" s="18" t="n">
        <v>539.06</v>
      </c>
      <c r="F8" s="18" t="n">
        <v>539.06</v>
      </c>
      <c r="G8" s="19" t="s">
        <v>36</v>
      </c>
      <c r="H8" s="19" t="s">
        <v>37</v>
      </c>
    </row>
    <row r="9" customFormat="false" ht="15" hidden="false" customHeight="false" outlineLevel="0" collapsed="false">
      <c r="A9" s="12" t="s">
        <v>42</v>
      </c>
      <c r="B9" s="17" t="s">
        <v>43</v>
      </c>
      <c r="C9" s="6" t="s">
        <v>35</v>
      </c>
      <c r="D9" s="18" t="n">
        <v>845.93</v>
      </c>
      <c r="E9" s="18" t="n">
        <v>845.93</v>
      </c>
      <c r="F9" s="18" t="n">
        <v>845.93</v>
      </c>
      <c r="G9" s="19" t="s">
        <v>44</v>
      </c>
      <c r="H9" s="19" t="s">
        <v>45</v>
      </c>
    </row>
    <row r="10" customFormat="false" ht="15" hidden="false" customHeight="false" outlineLevel="0" collapsed="false">
      <c r="A10" s="12" t="s">
        <v>46</v>
      </c>
      <c r="B10" s="17" t="s">
        <v>47</v>
      </c>
      <c r="C10" s="6" t="s">
        <v>48</v>
      </c>
      <c r="D10" s="18" t="n">
        <v>16</v>
      </c>
      <c r="E10" s="18" t="n">
        <v>16</v>
      </c>
      <c r="F10" s="18" t="n">
        <v>16</v>
      </c>
      <c r="G10" s="19" t="s">
        <v>36</v>
      </c>
      <c r="H10" s="19"/>
    </row>
    <row r="11" customFormat="false" ht="23.85" hidden="false" customHeight="false" outlineLevel="0" collapsed="false">
      <c r="A11" s="12" t="s">
        <v>49</v>
      </c>
      <c r="B11" s="17" t="s">
        <v>50</v>
      </c>
      <c r="C11" s="6" t="s">
        <v>35</v>
      </c>
      <c r="D11" s="18" t="n">
        <v>440</v>
      </c>
      <c r="E11" s="18" t="n">
        <v>440</v>
      </c>
      <c r="F11" s="18" t="n">
        <v>440</v>
      </c>
      <c r="G11" s="19" t="s">
        <v>36</v>
      </c>
      <c r="H11" s="19" t="s">
        <v>51</v>
      </c>
    </row>
    <row r="12" customFormat="false" ht="15" hidden="false" customHeight="false" outlineLevel="0" collapsed="false">
      <c r="A12" s="12" t="s">
        <v>52</v>
      </c>
      <c r="B12" s="17" t="s">
        <v>53</v>
      </c>
      <c r="C12" s="6" t="s">
        <v>35</v>
      </c>
      <c r="D12" s="20" t="n">
        <v>56.32</v>
      </c>
      <c r="E12" s="20" t="n">
        <v>56.32</v>
      </c>
      <c r="F12" s="20" t="n">
        <v>56.32</v>
      </c>
      <c r="G12" s="19" t="s">
        <v>36</v>
      </c>
      <c r="H12" s="19" t="s">
        <v>54</v>
      </c>
    </row>
    <row r="13" customFormat="false" ht="15" hidden="false" customHeight="false" outlineLevel="0" collapsed="false">
      <c r="A13" s="12" t="s">
        <v>55</v>
      </c>
      <c r="B13" s="17" t="s">
        <v>56</v>
      </c>
      <c r="C13" s="6" t="s">
        <v>35</v>
      </c>
      <c r="D13" s="18" t="n">
        <v>504</v>
      </c>
      <c r="E13" s="18" t="n">
        <v>504</v>
      </c>
      <c r="F13" s="18" t="n">
        <v>504</v>
      </c>
      <c r="G13" s="19" t="s">
        <v>36</v>
      </c>
      <c r="H13" s="19"/>
    </row>
    <row r="14" customFormat="false" ht="15" hidden="false" customHeight="false" outlineLevel="0" collapsed="false">
      <c r="A14" s="15"/>
      <c r="B14" s="16" t="s">
        <v>57</v>
      </c>
      <c r="C14" s="15"/>
      <c r="D14" s="15"/>
      <c r="E14" s="15"/>
      <c r="F14" s="15"/>
      <c r="G14" s="15"/>
      <c r="H14" s="15"/>
    </row>
    <row r="15" customFormat="false" ht="15" hidden="false" customHeight="false" outlineLevel="0" collapsed="false">
      <c r="A15" s="12" t="s">
        <v>58</v>
      </c>
      <c r="B15" s="17" t="s">
        <v>59</v>
      </c>
      <c r="C15" s="6" t="s">
        <v>35</v>
      </c>
      <c r="D15" s="18" t="n">
        <v>960</v>
      </c>
      <c r="E15" s="18" t="n">
        <v>960</v>
      </c>
      <c r="F15" s="18" t="n">
        <v>960</v>
      </c>
      <c r="G15" s="19" t="s">
        <v>60</v>
      </c>
      <c r="H15" s="19" t="s">
        <v>61</v>
      </c>
    </row>
    <row r="16" customFormat="false" ht="15" hidden="false" customHeight="false" outlineLevel="0" collapsed="false">
      <c r="A16" s="12" t="s">
        <v>62</v>
      </c>
      <c r="B16" s="17" t="s">
        <v>63</v>
      </c>
      <c r="C16" s="6" t="s">
        <v>64</v>
      </c>
      <c r="D16" s="18" t="n">
        <v>230</v>
      </c>
      <c r="E16" s="18" t="n">
        <v>230</v>
      </c>
      <c r="F16" s="18" t="n">
        <v>230</v>
      </c>
      <c r="G16" s="19" t="s">
        <v>60</v>
      </c>
      <c r="H16" s="19" t="s">
        <v>61</v>
      </c>
    </row>
    <row r="17" customFormat="false" ht="15" hidden="false" customHeight="false" outlineLevel="0" collapsed="false">
      <c r="A17" s="12" t="s">
        <v>65</v>
      </c>
      <c r="B17" s="17" t="s">
        <v>66</v>
      </c>
      <c r="C17" s="6" t="s">
        <v>67</v>
      </c>
      <c r="D17" s="20" t="n">
        <v>5</v>
      </c>
      <c r="E17" s="20" t="n">
        <v>5</v>
      </c>
      <c r="F17" s="20" t="n">
        <v>5</v>
      </c>
      <c r="G17" s="19" t="s">
        <v>68</v>
      </c>
      <c r="H17" s="19"/>
    </row>
    <row r="18" customFormat="false" ht="15" hidden="false" customHeight="false" outlineLevel="0" collapsed="false">
      <c r="A18" s="12" t="s">
        <v>69</v>
      </c>
      <c r="B18" s="17" t="s">
        <v>70</v>
      </c>
      <c r="C18" s="6" t="s">
        <v>67</v>
      </c>
      <c r="D18" s="20" t="n">
        <v>2</v>
      </c>
      <c r="E18" s="20" t="n">
        <v>2</v>
      </c>
      <c r="F18" s="20" t="n">
        <v>2</v>
      </c>
      <c r="G18" s="19" t="s">
        <v>71</v>
      </c>
      <c r="H18" s="19" t="s">
        <v>72</v>
      </c>
    </row>
    <row r="19" customFormat="false" ht="15" hidden="false" customHeight="false" outlineLevel="0" collapsed="false">
      <c r="A19" s="15"/>
      <c r="B19" s="16" t="s">
        <v>73</v>
      </c>
      <c r="C19" s="15"/>
      <c r="D19" s="15"/>
      <c r="E19" s="15"/>
      <c r="F19" s="15"/>
      <c r="G19" s="15"/>
      <c r="H19" s="15"/>
    </row>
    <row r="20" customFormat="false" ht="15" hidden="false" customHeight="false" outlineLevel="0" collapsed="false">
      <c r="A20" s="12" t="s">
        <v>74</v>
      </c>
      <c r="B20" s="17" t="s">
        <v>75</v>
      </c>
      <c r="C20" s="6" t="s">
        <v>76</v>
      </c>
      <c r="D20" s="18" t="n">
        <v>60000</v>
      </c>
      <c r="E20" s="18" t="n">
        <v>40000</v>
      </c>
      <c r="F20" s="18" t="n">
        <v>25000</v>
      </c>
      <c r="G20" s="19" t="s">
        <v>77</v>
      </c>
      <c r="H20" s="19" t="s">
        <v>78</v>
      </c>
    </row>
    <row r="21" customFormat="false" ht="22.35" hidden="false" customHeight="false" outlineLevel="0" collapsed="false">
      <c r="A21" s="12" t="s">
        <v>79</v>
      </c>
      <c r="B21" s="17" t="s">
        <v>80</v>
      </c>
      <c r="C21" s="6" t="s">
        <v>64</v>
      </c>
      <c r="D21" s="18" t="n">
        <v>3000</v>
      </c>
      <c r="E21" s="18" t="n">
        <v>2500</v>
      </c>
      <c r="F21" s="18" t="n">
        <v>2200</v>
      </c>
      <c r="G21" s="19" t="s">
        <v>71</v>
      </c>
      <c r="H21" s="19" t="s">
        <v>81</v>
      </c>
    </row>
    <row r="22" customFormat="false" ht="15" hidden="false" customHeight="false" outlineLevel="0" collapsed="false">
      <c r="A22" s="12" t="s">
        <v>82</v>
      </c>
      <c r="B22" s="17" t="s">
        <v>83</v>
      </c>
      <c r="C22" s="6" t="s">
        <v>67</v>
      </c>
      <c r="D22" s="20" t="n">
        <v>4</v>
      </c>
      <c r="E22" s="20" t="n">
        <v>3</v>
      </c>
      <c r="F22" s="20" t="n">
        <v>2</v>
      </c>
      <c r="G22" s="19" t="s">
        <v>71</v>
      </c>
      <c r="H22" s="19" t="s">
        <v>84</v>
      </c>
    </row>
    <row r="23" customFormat="false" ht="23.85" hidden="false" customHeight="false" outlineLevel="0" collapsed="false">
      <c r="A23" s="12" t="s">
        <v>85</v>
      </c>
      <c r="B23" s="17" t="s">
        <v>86</v>
      </c>
      <c r="C23" s="6" t="s">
        <v>87</v>
      </c>
      <c r="D23" s="18" t="n">
        <v>300</v>
      </c>
      <c r="E23" s="18" t="n">
        <v>250</v>
      </c>
      <c r="F23" s="18" t="n">
        <v>200</v>
      </c>
      <c r="G23" s="19" t="s">
        <v>71</v>
      </c>
      <c r="H23" s="19" t="s">
        <v>88</v>
      </c>
    </row>
    <row r="24" customFormat="false" ht="15" hidden="false" customHeight="false" outlineLevel="0" collapsed="false">
      <c r="A24" s="12" t="s">
        <v>89</v>
      </c>
      <c r="B24" s="17" t="s">
        <v>90</v>
      </c>
      <c r="C24" s="6" t="s">
        <v>64</v>
      </c>
      <c r="D24" s="18" t="n">
        <v>200</v>
      </c>
      <c r="E24" s="18" t="n">
        <v>160</v>
      </c>
      <c r="F24" s="18" t="n">
        <v>130</v>
      </c>
      <c r="G24" s="19" t="s">
        <v>91</v>
      </c>
      <c r="H24" s="19" t="s">
        <v>92</v>
      </c>
    </row>
    <row r="25" customFormat="false" ht="15" hidden="false" customHeight="false" outlineLevel="0" collapsed="false">
      <c r="A25" s="12" t="s">
        <v>93</v>
      </c>
      <c r="B25" s="17" t="s">
        <v>94</v>
      </c>
      <c r="C25" s="6" t="s">
        <v>35</v>
      </c>
      <c r="D25" s="18" t="n">
        <v>384</v>
      </c>
      <c r="E25" s="18" t="n">
        <v>384</v>
      </c>
      <c r="F25" s="18" t="n">
        <v>384</v>
      </c>
      <c r="G25" s="19" t="s">
        <v>95</v>
      </c>
      <c r="H25" s="19" t="s">
        <v>96</v>
      </c>
    </row>
    <row r="26" customFormat="false" ht="15" hidden="false" customHeight="false" outlineLevel="0" collapsed="false">
      <c r="A26" s="12" t="s">
        <v>97</v>
      </c>
      <c r="B26" s="17" t="s">
        <v>98</v>
      </c>
      <c r="C26" s="6" t="s">
        <v>76</v>
      </c>
      <c r="D26" s="18" t="n">
        <v>50000</v>
      </c>
      <c r="E26" s="18" t="n">
        <v>40000</v>
      </c>
      <c r="F26" s="18" t="n">
        <v>30000</v>
      </c>
      <c r="G26" s="19" t="s">
        <v>71</v>
      </c>
      <c r="H26" s="19" t="s">
        <v>99</v>
      </c>
    </row>
    <row r="27" customFormat="false" ht="15" hidden="false" customHeight="false" outlineLevel="0" collapsed="false">
      <c r="A27" s="15"/>
      <c r="B27" s="16" t="s">
        <v>100</v>
      </c>
      <c r="C27" s="15"/>
      <c r="D27" s="15"/>
      <c r="E27" s="15"/>
      <c r="F27" s="15"/>
      <c r="G27" s="15"/>
      <c r="H27" s="15"/>
    </row>
    <row r="28" customFormat="false" ht="15" hidden="false" customHeight="false" outlineLevel="0" collapsed="false">
      <c r="A28" s="12" t="s">
        <v>101</v>
      </c>
      <c r="B28" s="17" t="s">
        <v>102</v>
      </c>
      <c r="C28" s="6" t="s">
        <v>67</v>
      </c>
      <c r="D28" s="20" t="n">
        <v>13</v>
      </c>
      <c r="E28" s="20" t="n">
        <v>12</v>
      </c>
      <c r="F28" s="20" t="n">
        <v>11</v>
      </c>
      <c r="G28" s="19" t="s">
        <v>71</v>
      </c>
      <c r="H28" s="19"/>
    </row>
    <row r="29" customFormat="false" ht="15" hidden="false" customHeight="false" outlineLevel="0" collapsed="false">
      <c r="A29" s="12" t="s">
        <v>103</v>
      </c>
      <c r="B29" s="17" t="s">
        <v>104</v>
      </c>
      <c r="C29" s="6" t="s">
        <v>67</v>
      </c>
      <c r="D29" s="20" t="n">
        <v>6.5</v>
      </c>
      <c r="E29" s="20" t="n">
        <v>5.5</v>
      </c>
      <c r="F29" s="20" t="n">
        <v>4.5</v>
      </c>
      <c r="G29" s="19" t="s">
        <v>71</v>
      </c>
      <c r="H29" s="19"/>
    </row>
    <row r="30" customFormat="false" ht="15" hidden="false" customHeight="false" outlineLevel="0" collapsed="false">
      <c r="A30" s="12" t="s">
        <v>105</v>
      </c>
      <c r="B30" s="17" t="s">
        <v>106</v>
      </c>
      <c r="C30" s="6" t="s">
        <v>67</v>
      </c>
      <c r="D30" s="20" t="n">
        <v>1.5</v>
      </c>
      <c r="E30" s="20" t="n">
        <v>1.2</v>
      </c>
      <c r="F30" s="20" t="n">
        <v>1</v>
      </c>
      <c r="G30" s="19" t="s">
        <v>71</v>
      </c>
      <c r="H30" s="19"/>
    </row>
    <row r="31" customFormat="false" ht="15" hidden="false" customHeight="false" outlineLevel="0" collapsed="false">
      <c r="A31" s="12" t="s">
        <v>107</v>
      </c>
      <c r="B31" s="17" t="s">
        <v>108</v>
      </c>
      <c r="C31" s="6" t="s">
        <v>67</v>
      </c>
      <c r="D31" s="20" t="n">
        <v>1.5</v>
      </c>
      <c r="E31" s="20" t="n">
        <v>1.2</v>
      </c>
      <c r="F31" s="20" t="n">
        <v>1</v>
      </c>
      <c r="G31" s="19" t="s">
        <v>71</v>
      </c>
      <c r="H31" s="19"/>
    </row>
    <row r="32" customFormat="false" ht="15" hidden="false" customHeight="false" outlineLevel="0" collapsed="false">
      <c r="A32" s="12" t="s">
        <v>109</v>
      </c>
      <c r="B32" s="17" t="s">
        <v>110</v>
      </c>
      <c r="C32" s="6" t="s">
        <v>67</v>
      </c>
      <c r="D32" s="20" t="n">
        <v>8</v>
      </c>
      <c r="E32" s="20" t="n">
        <v>6</v>
      </c>
      <c r="F32" s="20" t="n">
        <v>4</v>
      </c>
      <c r="G32" s="19" t="s">
        <v>71</v>
      </c>
      <c r="H32" s="19"/>
    </row>
    <row r="33" customFormat="false" ht="15" hidden="false" customHeight="false" outlineLevel="0" collapsed="false">
      <c r="A33" s="15"/>
      <c r="B33" s="16" t="s">
        <v>111</v>
      </c>
      <c r="C33" s="15"/>
      <c r="D33" s="15"/>
      <c r="E33" s="15"/>
      <c r="F33" s="15"/>
      <c r="G33" s="15"/>
      <c r="H33" s="15"/>
    </row>
    <row r="34" customFormat="false" ht="15" hidden="false" customHeight="false" outlineLevel="0" collapsed="false">
      <c r="A34" s="12" t="s">
        <v>112</v>
      </c>
      <c r="B34" s="17" t="s">
        <v>113</v>
      </c>
      <c r="C34" s="6" t="s">
        <v>114</v>
      </c>
      <c r="D34" s="18" t="n">
        <v>15</v>
      </c>
      <c r="E34" s="18" t="n">
        <v>15</v>
      </c>
      <c r="F34" s="18" t="n">
        <v>15</v>
      </c>
      <c r="G34" s="19" t="s">
        <v>115</v>
      </c>
      <c r="H34" s="19"/>
    </row>
    <row r="35" customFormat="false" ht="15" hidden="false" customHeight="false" outlineLevel="0" collapsed="false">
      <c r="A35" s="12" t="s">
        <v>116</v>
      </c>
      <c r="B35" s="17" t="s">
        <v>117</v>
      </c>
      <c r="C35" s="6" t="s">
        <v>67</v>
      </c>
      <c r="D35" s="20" t="n">
        <v>50</v>
      </c>
      <c r="E35" s="20" t="n">
        <v>50</v>
      </c>
      <c r="F35" s="20" t="n">
        <v>50</v>
      </c>
      <c r="G35" s="19" t="s">
        <v>71</v>
      </c>
      <c r="H35" s="19"/>
    </row>
    <row r="36" customFormat="false" ht="15" hidden="false" customHeight="false" outlineLevel="0" collapsed="false">
      <c r="A36" s="12" t="s">
        <v>118</v>
      </c>
      <c r="B36" s="17" t="s">
        <v>119</v>
      </c>
      <c r="C36" s="6" t="s">
        <v>114</v>
      </c>
      <c r="D36" s="18" t="n">
        <v>9</v>
      </c>
      <c r="E36" s="18" t="n">
        <v>6</v>
      </c>
      <c r="F36" s="18" t="n">
        <v>3</v>
      </c>
      <c r="G36" s="19" t="s">
        <v>71</v>
      </c>
      <c r="H36" s="19"/>
    </row>
    <row r="37" customFormat="false" ht="15" hidden="false" customHeight="false" outlineLevel="0" collapsed="false">
      <c r="A37" s="12" t="s">
        <v>120</v>
      </c>
      <c r="B37" s="17" t="s">
        <v>121</v>
      </c>
      <c r="C37" s="6" t="s">
        <v>122</v>
      </c>
      <c r="D37" s="20" t="n">
        <v>1</v>
      </c>
      <c r="E37" s="20" t="n">
        <v>1</v>
      </c>
      <c r="F37" s="20" t="n">
        <v>1</v>
      </c>
      <c r="G37" s="19" t="s">
        <v>71</v>
      </c>
      <c r="H37" s="19"/>
    </row>
    <row r="38" customFormat="false" ht="15" hidden="false" customHeight="false" outlineLevel="0" collapsed="false">
      <c r="A38" s="15"/>
      <c r="B38" s="16" t="s">
        <v>123</v>
      </c>
      <c r="C38" s="15"/>
      <c r="D38" s="15"/>
      <c r="E38" s="15"/>
      <c r="F38" s="15"/>
      <c r="G38" s="15"/>
      <c r="H38" s="15"/>
    </row>
    <row r="39" customFormat="false" ht="22.35" hidden="false" customHeight="false" outlineLevel="0" collapsed="false">
      <c r="A39" s="12" t="s">
        <v>124</v>
      </c>
      <c r="B39" s="17" t="s">
        <v>125</v>
      </c>
      <c r="C39" s="6" t="s">
        <v>67</v>
      </c>
      <c r="D39" s="20" t="n">
        <v>4.9</v>
      </c>
      <c r="E39" s="20" t="n">
        <v>4.5</v>
      </c>
      <c r="F39" s="20" t="n">
        <v>4.1</v>
      </c>
      <c r="G39" s="19" t="s">
        <v>71</v>
      </c>
      <c r="H39" s="19" t="s">
        <v>126</v>
      </c>
    </row>
    <row r="40" customFormat="false" ht="15" hidden="false" customHeight="false" outlineLevel="0" collapsed="false">
      <c r="A40" s="12" t="s">
        <v>127</v>
      </c>
      <c r="B40" s="17" t="s">
        <v>128</v>
      </c>
      <c r="C40" s="6" t="s">
        <v>67</v>
      </c>
      <c r="D40" s="20" t="n">
        <v>3.5</v>
      </c>
      <c r="E40" s="20" t="n">
        <v>3</v>
      </c>
      <c r="F40" s="20" t="n">
        <v>2</v>
      </c>
      <c r="G40" s="19" t="s">
        <v>129</v>
      </c>
      <c r="H40" s="19" t="s">
        <v>130</v>
      </c>
    </row>
    <row r="41" customFormat="false" ht="15" hidden="false" customHeight="false" outlineLevel="0" collapsed="false">
      <c r="A41" s="12" t="s">
        <v>131</v>
      </c>
      <c r="B41" s="17" t="s">
        <v>132</v>
      </c>
      <c r="C41" s="6" t="s">
        <v>67</v>
      </c>
      <c r="D41" s="20" t="n">
        <v>3.9</v>
      </c>
      <c r="E41" s="20" t="n">
        <v>3.4</v>
      </c>
      <c r="F41" s="20" t="n">
        <v>2.6</v>
      </c>
      <c r="G41" s="19" t="s">
        <v>129</v>
      </c>
      <c r="H41" s="19" t="s">
        <v>133</v>
      </c>
    </row>
    <row r="42" customFormat="false" ht="15" hidden="false" customHeight="false" outlineLevel="0" collapsed="false">
      <c r="A42" s="12" t="s">
        <v>134</v>
      </c>
      <c r="B42" s="17" t="s">
        <v>135</v>
      </c>
      <c r="C42" s="6" t="s">
        <v>136</v>
      </c>
      <c r="D42" s="20" t="n">
        <v>2</v>
      </c>
      <c r="E42" s="20" t="n">
        <v>2</v>
      </c>
      <c r="F42" s="20" t="n">
        <v>2</v>
      </c>
      <c r="G42" s="19" t="s">
        <v>71</v>
      </c>
      <c r="H42" s="19" t="s">
        <v>137</v>
      </c>
    </row>
    <row r="43" customFormat="false" ht="15" hidden="false" customHeight="false" outlineLevel="0" collapsed="false">
      <c r="A43" s="15"/>
      <c r="B43" s="16" t="s">
        <v>138</v>
      </c>
      <c r="C43" s="15"/>
      <c r="D43" s="15"/>
      <c r="E43" s="15"/>
      <c r="F43" s="15"/>
      <c r="G43" s="15"/>
      <c r="H43" s="15"/>
    </row>
    <row r="44" customFormat="false" ht="22.35" hidden="false" customHeight="false" outlineLevel="0" collapsed="false">
      <c r="A44" s="12" t="s">
        <v>139</v>
      </c>
      <c r="B44" s="17" t="s">
        <v>140</v>
      </c>
      <c r="C44" s="6" t="s">
        <v>141</v>
      </c>
      <c r="D44" s="20" t="n">
        <v>9.5</v>
      </c>
      <c r="E44" s="20" t="n">
        <v>10.5</v>
      </c>
      <c r="F44" s="20" t="n">
        <v>11.5</v>
      </c>
      <c r="G44" s="19" t="s">
        <v>71</v>
      </c>
      <c r="H44" s="19" t="s">
        <v>142</v>
      </c>
    </row>
    <row r="45" customFormat="false" ht="15" hidden="false" customHeight="false" outlineLevel="0" collapsed="false">
      <c r="A45" s="12" t="s">
        <v>143</v>
      </c>
      <c r="B45" s="17" t="s">
        <v>144</v>
      </c>
      <c r="C45" s="6" t="s">
        <v>67</v>
      </c>
      <c r="D45" s="20" t="n">
        <v>4</v>
      </c>
      <c r="E45" s="20" t="n">
        <v>2.5</v>
      </c>
      <c r="F45" s="20" t="n">
        <v>1.5</v>
      </c>
      <c r="G45" s="19" t="s">
        <v>71</v>
      </c>
      <c r="H45" s="19"/>
    </row>
    <row r="46" customFormat="false" ht="15" hidden="false" customHeight="false" outlineLevel="0" collapsed="false">
      <c r="A46" s="12" t="s">
        <v>145</v>
      </c>
      <c r="B46" s="17" t="s">
        <v>146</v>
      </c>
      <c r="C46" s="6" t="s">
        <v>141</v>
      </c>
      <c r="D46" s="20" t="n">
        <v>8</v>
      </c>
      <c r="E46" s="20" t="n">
        <v>10</v>
      </c>
      <c r="F46" s="20" t="n">
        <v>12</v>
      </c>
      <c r="G46" s="19" t="s">
        <v>147</v>
      </c>
      <c r="H46" s="19" t="s">
        <v>148</v>
      </c>
    </row>
    <row r="47" customFormat="false" ht="15" hidden="false" customHeight="false" outlineLevel="0" collapsed="false">
      <c r="A47" s="12" t="s">
        <v>149</v>
      </c>
      <c r="B47" s="17" t="s">
        <v>150</v>
      </c>
      <c r="C47" s="6" t="s">
        <v>67</v>
      </c>
      <c r="D47" s="20" t="n">
        <v>8</v>
      </c>
      <c r="E47" s="20" t="n">
        <v>5</v>
      </c>
      <c r="F47" s="20" t="n">
        <v>3</v>
      </c>
      <c r="G47" s="19" t="s">
        <v>71</v>
      </c>
      <c r="H47" s="19" t="s">
        <v>151</v>
      </c>
    </row>
    <row r="48" customFormat="false" ht="15" hidden="false" customHeight="false" outlineLevel="0" collapsed="false">
      <c r="A48" s="12" t="s">
        <v>152</v>
      </c>
      <c r="B48" s="17" t="s">
        <v>153</v>
      </c>
      <c r="C48" s="6" t="s">
        <v>141</v>
      </c>
      <c r="D48" s="20" t="n">
        <v>8.5</v>
      </c>
      <c r="E48" s="20" t="n">
        <v>9.5</v>
      </c>
      <c r="F48" s="20" t="n">
        <v>10.5</v>
      </c>
      <c r="G48" s="19" t="s">
        <v>71</v>
      </c>
      <c r="H48" s="19" t="s">
        <v>154</v>
      </c>
    </row>
    <row r="49" customFormat="false" ht="15" hidden="false" customHeight="false" outlineLevel="0" collapsed="false">
      <c r="A49" s="12" t="s">
        <v>155</v>
      </c>
      <c r="B49" s="17" t="s">
        <v>156</v>
      </c>
      <c r="C49" s="6" t="s">
        <v>67</v>
      </c>
      <c r="D49" s="20" t="n">
        <v>20</v>
      </c>
      <c r="E49" s="20" t="n">
        <v>12</v>
      </c>
      <c r="F49" s="20" t="n">
        <v>8</v>
      </c>
      <c r="G49" s="19" t="s">
        <v>71</v>
      </c>
      <c r="H49" s="19" t="s">
        <v>157</v>
      </c>
    </row>
    <row r="50" customFormat="false" ht="15" hidden="false" customHeight="false" outlineLevel="0" collapsed="false">
      <c r="A50" s="15"/>
      <c r="B50" s="16" t="s">
        <v>158</v>
      </c>
      <c r="C50" s="15"/>
      <c r="D50" s="15"/>
      <c r="E50" s="15"/>
      <c r="F50" s="15"/>
      <c r="G50" s="15"/>
      <c r="H50" s="15"/>
    </row>
    <row r="51" customFormat="false" ht="15" hidden="false" customHeight="false" outlineLevel="0" collapsed="false">
      <c r="A51" s="12" t="s">
        <v>159</v>
      </c>
      <c r="B51" s="17" t="s">
        <v>160</v>
      </c>
      <c r="C51" s="6" t="s">
        <v>161</v>
      </c>
      <c r="D51" s="20" t="n">
        <v>12</v>
      </c>
      <c r="E51" s="20" t="n">
        <v>10</v>
      </c>
      <c r="F51" s="20" t="n">
        <v>9</v>
      </c>
      <c r="G51" s="19" t="s">
        <v>71</v>
      </c>
      <c r="H51" s="19"/>
    </row>
    <row r="52" customFormat="false" ht="15" hidden="false" customHeight="false" outlineLevel="0" collapsed="false">
      <c r="A52" s="12" t="s">
        <v>162</v>
      </c>
      <c r="B52" s="17" t="s">
        <v>163</v>
      </c>
      <c r="C52" s="6" t="s">
        <v>164</v>
      </c>
      <c r="D52" s="18" t="n">
        <v>350</v>
      </c>
      <c r="E52" s="18" t="n">
        <v>300</v>
      </c>
      <c r="F52" s="18" t="n">
        <v>250</v>
      </c>
      <c r="G52" s="19" t="s">
        <v>71</v>
      </c>
      <c r="H52" s="19"/>
    </row>
    <row r="53" customFormat="false" ht="23.85" hidden="false" customHeight="false" outlineLevel="0" collapsed="false">
      <c r="A53" s="12" t="s">
        <v>165</v>
      </c>
      <c r="B53" s="17" t="s">
        <v>166</v>
      </c>
      <c r="C53" s="6" t="s">
        <v>161</v>
      </c>
      <c r="D53" s="20" t="n">
        <v>6</v>
      </c>
      <c r="E53" s="20" t="n">
        <v>4</v>
      </c>
      <c r="F53" s="20" t="n">
        <v>3</v>
      </c>
      <c r="G53" s="19" t="s">
        <v>71</v>
      </c>
      <c r="H53" s="19"/>
    </row>
    <row r="54" customFormat="false" ht="15" hidden="false" customHeight="false" outlineLevel="0" collapsed="false">
      <c r="A54" s="12" t="s">
        <v>167</v>
      </c>
      <c r="B54" s="17" t="s">
        <v>168</v>
      </c>
      <c r="C54" s="6" t="s">
        <v>169</v>
      </c>
      <c r="D54" s="20" t="n">
        <v>8</v>
      </c>
      <c r="E54" s="20" t="n">
        <v>6</v>
      </c>
      <c r="F54" s="20" t="n">
        <v>5</v>
      </c>
      <c r="G54" s="19" t="s">
        <v>71</v>
      </c>
      <c r="H54" s="19"/>
    </row>
    <row r="55" customFormat="false" ht="15" hidden="false" customHeight="false" outlineLevel="0" collapsed="false">
      <c r="A55" s="12" t="s">
        <v>170</v>
      </c>
      <c r="B55" s="17" t="s">
        <v>171</v>
      </c>
      <c r="C55" s="6" t="s">
        <v>172</v>
      </c>
      <c r="D55" s="20" t="n">
        <v>4</v>
      </c>
      <c r="E55" s="20" t="n">
        <v>3</v>
      </c>
      <c r="F55" s="20" t="n">
        <v>2.5</v>
      </c>
      <c r="G55" s="19" t="s">
        <v>71</v>
      </c>
      <c r="H55" s="19"/>
    </row>
    <row r="56" customFormat="false" ht="15" hidden="false" customHeight="false" outlineLevel="0" collapsed="false">
      <c r="A56" s="12" t="s">
        <v>173</v>
      </c>
      <c r="B56" s="17" t="s">
        <v>174</v>
      </c>
      <c r="C56" s="6" t="s">
        <v>169</v>
      </c>
      <c r="D56" s="20" t="n">
        <v>4</v>
      </c>
      <c r="E56" s="20" t="n">
        <v>3</v>
      </c>
      <c r="F56" s="20" t="n">
        <v>2</v>
      </c>
      <c r="G56" s="19" t="s">
        <v>71</v>
      </c>
      <c r="H56" s="19"/>
    </row>
    <row r="57" customFormat="false" ht="15" hidden="false" customHeight="false" outlineLevel="0" collapsed="false">
      <c r="A57" s="15"/>
      <c r="B57" s="16" t="s">
        <v>175</v>
      </c>
      <c r="C57" s="15"/>
      <c r="D57" s="15"/>
      <c r="E57" s="15"/>
      <c r="F57" s="15"/>
      <c r="G57" s="15"/>
      <c r="H57" s="15"/>
    </row>
    <row r="58" customFormat="false" ht="15" hidden="false" customHeight="false" outlineLevel="0" collapsed="false">
      <c r="A58" s="12" t="s">
        <v>176</v>
      </c>
      <c r="B58" s="17" t="s">
        <v>177</v>
      </c>
      <c r="C58" s="6" t="s">
        <v>76</v>
      </c>
      <c r="D58" s="18" t="n">
        <v>150000</v>
      </c>
      <c r="E58" s="18" t="n">
        <v>150000</v>
      </c>
      <c r="F58" s="18" t="n">
        <v>150000</v>
      </c>
      <c r="G58" s="19" t="s">
        <v>178</v>
      </c>
      <c r="H58" s="19" t="s">
        <v>179</v>
      </c>
    </row>
    <row r="59" customFormat="false" ht="15" hidden="false" customHeight="false" outlineLevel="0" collapsed="false">
      <c r="A59" s="12" t="s">
        <v>180</v>
      </c>
      <c r="B59" s="17" t="s">
        <v>181</v>
      </c>
      <c r="C59" s="6" t="s">
        <v>64</v>
      </c>
      <c r="D59" s="18" t="n">
        <v>1500</v>
      </c>
      <c r="E59" s="18" t="n">
        <v>1500</v>
      </c>
      <c r="F59" s="18" t="n">
        <v>1500</v>
      </c>
      <c r="G59" s="19" t="s">
        <v>182</v>
      </c>
      <c r="H59" s="19" t="s">
        <v>183</v>
      </c>
    </row>
    <row r="60" customFormat="false" ht="23.85" hidden="false" customHeight="false" outlineLevel="0" collapsed="false">
      <c r="A60" s="12" t="s">
        <v>184</v>
      </c>
      <c r="B60" s="17" t="s">
        <v>185</v>
      </c>
      <c r="C60" s="6" t="s">
        <v>67</v>
      </c>
      <c r="D60" s="20" t="n">
        <v>40</v>
      </c>
      <c r="E60" s="20" t="n">
        <v>40</v>
      </c>
      <c r="F60" s="20" t="n">
        <v>40</v>
      </c>
      <c r="G60" s="19" t="s">
        <v>186</v>
      </c>
      <c r="H60" s="19" t="s">
        <v>187</v>
      </c>
    </row>
    <row r="61" customFormat="false" ht="15" hidden="false" customHeight="false" outlineLevel="0" collapsed="false">
      <c r="A61" s="12" t="s">
        <v>188</v>
      </c>
      <c r="B61" s="17" t="s">
        <v>189</v>
      </c>
      <c r="C61" s="6" t="s">
        <v>141</v>
      </c>
      <c r="D61" s="20" t="n">
        <v>7.8</v>
      </c>
      <c r="E61" s="20" t="n">
        <v>7.8</v>
      </c>
      <c r="F61" s="20" t="n">
        <v>7.8</v>
      </c>
      <c r="G61" s="19" t="s">
        <v>190</v>
      </c>
      <c r="H61" s="19" t="s">
        <v>191</v>
      </c>
    </row>
    <row r="62" customFormat="false" ht="15" hidden="false" customHeight="false" outlineLevel="0" collapsed="false">
      <c r="A62" s="12" t="s">
        <v>192</v>
      </c>
      <c r="B62" s="17" t="s">
        <v>193</v>
      </c>
      <c r="C62" s="6" t="s">
        <v>194</v>
      </c>
      <c r="D62" s="18" t="n">
        <v>5330</v>
      </c>
      <c r="E62" s="18" t="n">
        <v>5330</v>
      </c>
      <c r="F62" s="18" t="n">
        <v>5330</v>
      </c>
      <c r="G62" s="19" t="s">
        <v>190</v>
      </c>
      <c r="H62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23.85" hidden="false" customHeight="false" outlineLevel="0" collapsed="false">
      <c r="A4" s="3" t="s">
        <v>197</v>
      </c>
      <c r="B4" s="3" t="s">
        <v>198</v>
      </c>
      <c r="C4" s="3" t="s">
        <v>199</v>
      </c>
      <c r="D4" s="3" t="s">
        <v>200</v>
      </c>
      <c r="E4" s="3" t="s">
        <v>201</v>
      </c>
      <c r="F4" s="3" t="s">
        <v>202</v>
      </c>
      <c r="G4" s="3" t="s">
        <v>203</v>
      </c>
      <c r="H4" s="3" t="s">
        <v>204</v>
      </c>
    </row>
    <row r="5" customFormat="false" ht="15" hidden="false" customHeight="false" outlineLevel="0" collapsed="false">
      <c r="A5" s="6" t="s">
        <v>205</v>
      </c>
      <c r="B5" s="6" t="s">
        <v>206</v>
      </c>
      <c r="C5" s="6" t="s">
        <v>207</v>
      </c>
      <c r="D5" s="20" t="n">
        <v>53.2</v>
      </c>
      <c r="E5" s="10" t="n">
        <f aca="false">D5*0.88</f>
        <v>46.816</v>
      </c>
      <c r="F5" s="7" t="n">
        <f aca="false">E5*Annahmen!$E$44</f>
        <v>491.568</v>
      </c>
      <c r="G5" s="6" t="s">
        <v>208</v>
      </c>
      <c r="H5" s="12"/>
    </row>
    <row r="6" customFormat="false" ht="15" hidden="false" customHeight="false" outlineLevel="0" collapsed="false">
      <c r="A6" s="6" t="s">
        <v>209</v>
      </c>
      <c r="B6" s="6" t="s">
        <v>206</v>
      </c>
      <c r="C6" s="6" t="s">
        <v>207</v>
      </c>
      <c r="D6" s="20" t="n">
        <v>53.2</v>
      </c>
      <c r="E6" s="10" t="n">
        <f aca="false">D6*0.88</f>
        <v>46.816</v>
      </c>
      <c r="F6" s="7" t="n">
        <f aca="false">E6*Annahmen!$E$44</f>
        <v>491.568</v>
      </c>
      <c r="G6" s="6" t="s">
        <v>208</v>
      </c>
      <c r="H6" s="12"/>
    </row>
    <row r="7" customFormat="false" ht="15" hidden="false" customHeight="false" outlineLevel="0" collapsed="false">
      <c r="A7" s="6" t="s">
        <v>210</v>
      </c>
      <c r="B7" s="6" t="s">
        <v>206</v>
      </c>
      <c r="C7" s="6" t="s">
        <v>207</v>
      </c>
      <c r="D7" s="20" t="n">
        <v>53.2</v>
      </c>
      <c r="E7" s="10" t="n">
        <f aca="false">D7*0.88</f>
        <v>46.816</v>
      </c>
      <c r="F7" s="7" t="n">
        <f aca="false">E7*Annahmen!$E$44</f>
        <v>491.568</v>
      </c>
      <c r="G7" s="6" t="s">
        <v>208</v>
      </c>
      <c r="H7" s="12"/>
    </row>
    <row r="8" customFormat="false" ht="15" hidden="false" customHeight="false" outlineLevel="0" collapsed="false">
      <c r="A8" s="6" t="s">
        <v>211</v>
      </c>
      <c r="B8" s="6" t="s">
        <v>206</v>
      </c>
      <c r="C8" s="6" t="s">
        <v>207</v>
      </c>
      <c r="D8" s="20" t="n">
        <v>53.2</v>
      </c>
      <c r="E8" s="10" t="n">
        <f aca="false">D8*0.88</f>
        <v>46.816</v>
      </c>
      <c r="F8" s="7" t="n">
        <f aca="false">E8*Annahmen!$E$44</f>
        <v>491.568</v>
      </c>
      <c r="G8" s="6" t="s">
        <v>208</v>
      </c>
      <c r="H8" s="12"/>
    </row>
    <row r="9" customFormat="false" ht="15" hidden="false" customHeight="false" outlineLevel="0" collapsed="false">
      <c r="A9" s="6" t="s">
        <v>212</v>
      </c>
      <c r="B9" s="6" t="s">
        <v>206</v>
      </c>
      <c r="C9" s="6" t="s">
        <v>207</v>
      </c>
      <c r="D9" s="20" t="n">
        <v>53.2</v>
      </c>
      <c r="E9" s="10" t="n">
        <f aca="false">D9*0.88</f>
        <v>46.816</v>
      </c>
      <c r="F9" s="7" t="n">
        <f aca="false">E9*Annahmen!$E$44</f>
        <v>491.568</v>
      </c>
      <c r="G9" s="6" t="s">
        <v>208</v>
      </c>
      <c r="H9" s="12"/>
    </row>
    <row r="10" customFormat="false" ht="15" hidden="false" customHeight="false" outlineLevel="0" collapsed="false">
      <c r="A10" s="6" t="s">
        <v>213</v>
      </c>
      <c r="B10" s="6" t="s">
        <v>206</v>
      </c>
      <c r="C10" s="6" t="s">
        <v>214</v>
      </c>
      <c r="D10" s="20" t="n">
        <v>66.5</v>
      </c>
      <c r="E10" s="10" t="n">
        <f aca="false">D10*0.88</f>
        <v>58.52</v>
      </c>
      <c r="F10" s="7" t="n">
        <f aca="false">E10*Annahmen!$E$44</f>
        <v>614.46</v>
      </c>
      <c r="G10" s="6" t="s">
        <v>215</v>
      </c>
      <c r="H10" s="12"/>
    </row>
    <row r="11" customFormat="false" ht="15" hidden="false" customHeight="false" outlineLevel="0" collapsed="false">
      <c r="A11" s="6" t="s">
        <v>216</v>
      </c>
      <c r="B11" s="6" t="s">
        <v>206</v>
      </c>
      <c r="C11" s="6" t="s">
        <v>214</v>
      </c>
      <c r="D11" s="20" t="n">
        <v>66.5</v>
      </c>
      <c r="E11" s="10" t="n">
        <f aca="false">D11*0.88</f>
        <v>58.52</v>
      </c>
      <c r="F11" s="7" t="n">
        <f aca="false">E11*Annahmen!$E$44</f>
        <v>614.46</v>
      </c>
      <c r="G11" s="6" t="s">
        <v>215</v>
      </c>
      <c r="H11" s="12"/>
    </row>
    <row r="12" customFormat="false" ht="15" hidden="false" customHeight="false" outlineLevel="0" collapsed="false">
      <c r="A12" s="6" t="s">
        <v>217</v>
      </c>
      <c r="B12" s="6" t="s">
        <v>206</v>
      </c>
      <c r="C12" s="6" t="s">
        <v>214</v>
      </c>
      <c r="D12" s="20" t="n">
        <v>66.5</v>
      </c>
      <c r="E12" s="10" t="n">
        <f aca="false">D12*0.88</f>
        <v>58.52</v>
      </c>
      <c r="F12" s="7" t="n">
        <f aca="false">E12*Annahmen!$E$44</f>
        <v>614.46</v>
      </c>
      <c r="G12" s="6" t="s">
        <v>215</v>
      </c>
      <c r="H12" s="12"/>
    </row>
    <row r="13" customFormat="false" ht="15" hidden="false" customHeight="false" outlineLevel="0" collapsed="false">
      <c r="A13" s="6" t="s">
        <v>218</v>
      </c>
      <c r="B13" s="6" t="s">
        <v>206</v>
      </c>
      <c r="C13" s="6" t="s">
        <v>214</v>
      </c>
      <c r="D13" s="20" t="n">
        <v>66.5</v>
      </c>
      <c r="E13" s="10" t="n">
        <f aca="false">D13*0.88</f>
        <v>58.52</v>
      </c>
      <c r="F13" s="7" t="n">
        <f aca="false">E13*Annahmen!$E$44</f>
        <v>614.46</v>
      </c>
      <c r="G13" s="6" t="s">
        <v>215</v>
      </c>
      <c r="H13" s="12"/>
    </row>
    <row r="14" customFormat="false" ht="15" hidden="false" customHeight="false" outlineLevel="0" collapsed="false">
      <c r="A14" s="6" t="s">
        <v>219</v>
      </c>
      <c r="B14" s="6" t="s">
        <v>220</v>
      </c>
      <c r="C14" s="6" t="s">
        <v>221</v>
      </c>
      <c r="D14" s="20" t="n">
        <v>58.72</v>
      </c>
      <c r="E14" s="10" t="n">
        <f aca="false">D14*0.88</f>
        <v>51.6736</v>
      </c>
      <c r="F14" s="7" t="n">
        <f aca="false">E14*Annahmen!$E$44</f>
        <v>542.5728</v>
      </c>
      <c r="G14" s="6" t="s">
        <v>222</v>
      </c>
      <c r="H14" s="12"/>
    </row>
    <row r="15" customFormat="false" ht="15" hidden="false" customHeight="false" outlineLevel="0" collapsed="false">
      <c r="A15" s="6" t="s">
        <v>223</v>
      </c>
      <c r="B15" s="6" t="s">
        <v>220</v>
      </c>
      <c r="C15" s="6" t="s">
        <v>221</v>
      </c>
      <c r="D15" s="20" t="n">
        <v>58.72</v>
      </c>
      <c r="E15" s="10" t="n">
        <f aca="false">D15*0.88</f>
        <v>51.6736</v>
      </c>
      <c r="F15" s="7" t="n">
        <f aca="false">E15*Annahmen!$E$44</f>
        <v>542.5728</v>
      </c>
      <c r="G15" s="6" t="s">
        <v>222</v>
      </c>
      <c r="H15" s="12"/>
    </row>
    <row r="16" customFormat="false" ht="15" hidden="false" customHeight="false" outlineLevel="0" collapsed="false">
      <c r="A16" s="6" t="s">
        <v>224</v>
      </c>
      <c r="B16" s="6" t="s">
        <v>220</v>
      </c>
      <c r="C16" s="6" t="s">
        <v>221</v>
      </c>
      <c r="D16" s="20" t="n">
        <v>58.72</v>
      </c>
      <c r="E16" s="10" t="n">
        <f aca="false">D16*0.88</f>
        <v>51.6736</v>
      </c>
      <c r="F16" s="7" t="n">
        <f aca="false">E16*Annahmen!$E$44</f>
        <v>542.5728</v>
      </c>
      <c r="G16" s="6" t="s">
        <v>222</v>
      </c>
      <c r="H16" s="12"/>
    </row>
    <row r="17" customFormat="false" ht="15" hidden="false" customHeight="false" outlineLevel="0" collapsed="false">
      <c r="A17" s="6" t="s">
        <v>225</v>
      </c>
      <c r="B17" s="6" t="s">
        <v>220</v>
      </c>
      <c r="C17" s="6" t="s">
        <v>221</v>
      </c>
      <c r="D17" s="20" t="n">
        <v>58.72</v>
      </c>
      <c r="E17" s="10" t="n">
        <f aca="false">D17*0.88</f>
        <v>51.6736</v>
      </c>
      <c r="F17" s="7" t="n">
        <f aca="false">E17*Annahmen!$E$44</f>
        <v>542.5728</v>
      </c>
      <c r="G17" s="6" t="s">
        <v>222</v>
      </c>
      <c r="H17" s="12"/>
    </row>
    <row r="18" customFormat="false" ht="15" hidden="false" customHeight="false" outlineLevel="0" collapsed="false">
      <c r="A18" s="6" t="s">
        <v>226</v>
      </c>
      <c r="B18" s="6" t="s">
        <v>220</v>
      </c>
      <c r="C18" s="6" t="s">
        <v>227</v>
      </c>
      <c r="D18" s="20" t="n">
        <v>64.8</v>
      </c>
      <c r="E18" s="10" t="n">
        <f aca="false">D18*0.88</f>
        <v>57.024</v>
      </c>
      <c r="F18" s="7" t="n">
        <f aca="false">E18*Annahmen!$E$44</f>
        <v>598.752</v>
      </c>
      <c r="G18" s="6" t="s">
        <v>228</v>
      </c>
      <c r="H18" s="12"/>
    </row>
    <row r="19" customFormat="false" ht="15" hidden="false" customHeight="false" outlineLevel="0" collapsed="false">
      <c r="A19" s="6" t="s">
        <v>229</v>
      </c>
      <c r="B19" s="6" t="s">
        <v>220</v>
      </c>
      <c r="C19" s="6" t="s">
        <v>227</v>
      </c>
      <c r="D19" s="20" t="n">
        <v>64.8</v>
      </c>
      <c r="E19" s="10" t="n">
        <f aca="false">D19*0.88</f>
        <v>57.024</v>
      </c>
      <c r="F19" s="7" t="n">
        <f aca="false">E19*Annahmen!$E$44</f>
        <v>598.752</v>
      </c>
      <c r="G19" s="6" t="s">
        <v>228</v>
      </c>
      <c r="H19" s="12"/>
    </row>
    <row r="20" customFormat="false" ht="15" hidden="false" customHeight="false" outlineLevel="0" collapsed="false">
      <c r="A20" s="6" t="s">
        <v>230</v>
      </c>
      <c r="B20" s="6" t="s">
        <v>220</v>
      </c>
      <c r="C20" s="6" t="s">
        <v>227</v>
      </c>
      <c r="D20" s="20" t="n">
        <v>64.8</v>
      </c>
      <c r="E20" s="10" t="n">
        <f aca="false">D20*0.88</f>
        <v>57.024</v>
      </c>
      <c r="F20" s="7" t="n">
        <f aca="false">E20*Annahmen!$E$44</f>
        <v>598.752</v>
      </c>
      <c r="G20" s="6" t="s">
        <v>228</v>
      </c>
      <c r="H20" s="12"/>
    </row>
    <row r="21" customFormat="false" ht="15" hidden="false" customHeight="false" outlineLevel="0" collapsed="false">
      <c r="A21" s="4" t="s">
        <v>231</v>
      </c>
      <c r="D21" s="21" t="n">
        <f aca="false">SUM(D5:D20)</f>
        <v>961.28</v>
      </c>
      <c r="E21" s="8" t="n">
        <f aca="false">SUM(E5:E20)</f>
        <v>845.9264</v>
      </c>
      <c r="F21" s="5" t="n">
        <f aca="false">SUM(F5:F20)</f>
        <v>8882.2272</v>
      </c>
    </row>
    <row r="23" customFormat="false" ht="15" hidden="false" customHeight="false" outlineLevel="0" collapsed="false">
      <c r="A23" s="4" t="s">
        <v>232</v>
      </c>
    </row>
    <row r="24" customFormat="false" ht="23.85" hidden="false" customHeight="false" outlineLevel="0" collapsed="false">
      <c r="A24" s="3" t="s">
        <v>233</v>
      </c>
      <c r="B24" s="3"/>
      <c r="C24" s="3"/>
      <c r="D24" s="3" t="s">
        <v>200</v>
      </c>
      <c r="E24" s="3" t="s">
        <v>234</v>
      </c>
      <c r="F24" s="3"/>
      <c r="G24" s="3"/>
      <c r="H24" s="3" t="s">
        <v>204</v>
      </c>
    </row>
    <row r="25" customFormat="false" ht="15" hidden="false" customHeight="false" outlineLevel="0" collapsed="false">
      <c r="A25" s="6" t="s">
        <v>235</v>
      </c>
      <c r="B25" s="6"/>
      <c r="C25" s="6"/>
      <c r="D25" s="22" t="n">
        <v>440</v>
      </c>
      <c r="E25" s="22" t="n">
        <v>440</v>
      </c>
      <c r="H25" s="12" t="s">
        <v>236</v>
      </c>
    </row>
    <row r="26" customFormat="false" ht="15" hidden="false" customHeight="false" outlineLevel="0" collapsed="false">
      <c r="A26" s="6" t="s">
        <v>237</v>
      </c>
      <c r="B26" s="6"/>
      <c r="C26" s="6"/>
      <c r="D26" s="22" t="n">
        <v>64</v>
      </c>
      <c r="E26" s="22" t="n">
        <v>56.3</v>
      </c>
      <c r="H26" s="12" t="s">
        <v>238</v>
      </c>
    </row>
    <row r="27" customFormat="false" ht="15" hidden="false" customHeight="false" outlineLevel="0" collapsed="false">
      <c r="A27" s="6" t="s">
        <v>239</v>
      </c>
      <c r="B27" s="6"/>
      <c r="C27" s="6"/>
      <c r="D27" s="22" t="n">
        <v>15.6</v>
      </c>
      <c r="E27" s="22" t="n">
        <v>0</v>
      </c>
      <c r="H27" s="12" t="s">
        <v>240</v>
      </c>
    </row>
    <row r="28" customFormat="false" ht="15" hidden="false" customHeight="false" outlineLevel="0" collapsed="false">
      <c r="A28" s="6" t="s">
        <v>241</v>
      </c>
      <c r="B28" s="6"/>
      <c r="C28" s="6"/>
      <c r="D28" s="22" t="n">
        <v>56.4</v>
      </c>
      <c r="E28" s="22" t="n">
        <v>0</v>
      </c>
      <c r="H28" s="12" t="s">
        <v>242</v>
      </c>
    </row>
    <row r="29" customFormat="false" ht="15" hidden="false" customHeight="false" outlineLevel="0" collapsed="false">
      <c r="A29" s="6" t="s">
        <v>243</v>
      </c>
      <c r="B29" s="6"/>
      <c r="C29" s="6"/>
      <c r="D29" s="22" t="n">
        <v>660</v>
      </c>
      <c r="E29" s="22" t="n">
        <v>468</v>
      </c>
      <c r="H29" s="12" t="s">
        <v>244</v>
      </c>
    </row>
    <row r="30" customFormat="false" ht="15" hidden="false" customHeight="false" outlineLevel="0" collapsed="false">
      <c r="A30" s="6" t="s">
        <v>245</v>
      </c>
      <c r="B30" s="6"/>
      <c r="C30" s="6"/>
      <c r="D30" s="22" t="n">
        <v>539.06</v>
      </c>
      <c r="E30" s="22" t="n">
        <v>377.8</v>
      </c>
      <c r="H30" s="12" t="s">
        <v>244</v>
      </c>
    </row>
    <row r="31" customFormat="false" ht="15" hidden="false" customHeight="false" outlineLevel="0" collapsed="false">
      <c r="A31" s="4" t="s">
        <v>246</v>
      </c>
      <c r="B31" s="4"/>
      <c r="C31" s="4"/>
      <c r="D31" s="23" t="n">
        <f aca="false">Annahmen!E6+Annahmen!E7+Annahmen!E8</f>
        <v>1775.06</v>
      </c>
    </row>
    <row r="33" customFormat="false" ht="15" hidden="false" customHeight="false" outlineLevel="0" collapsed="false">
      <c r="A33" s="12" t="s">
        <v>247</v>
      </c>
    </row>
  </sheetData>
  <mergeCells count="7">
    <mergeCell ref="A25:C25"/>
    <mergeCell ref="A26:C26"/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15" hidden="false" customHeight="false" outlineLevel="0" collapsed="false">
      <c r="A4" s="3" t="s">
        <v>250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16" t="s">
        <v>251</v>
      </c>
      <c r="B5" s="15"/>
      <c r="C5" s="15"/>
      <c r="D5" s="15"/>
      <c r="E5" s="15"/>
    </row>
    <row r="6" customFormat="false" ht="15" hidden="false" customHeight="false" outlineLevel="0" collapsed="false">
      <c r="A6" s="6" t="s">
        <v>252</v>
      </c>
      <c r="B6" s="24" t="n">
        <f aca="false">INDEX(Annahmen!$D$11:$F$11,1)</f>
        <v>440</v>
      </c>
      <c r="C6" s="24" t="n">
        <f aca="false">INDEX(Annahmen!$D$11:$F$11,2)</f>
        <v>440</v>
      </c>
      <c r="D6" s="24" t="n">
        <f aca="false">INDEX(Annahmen!$D$11:$F$11,3)</f>
        <v>440</v>
      </c>
    </row>
    <row r="7" customFormat="false" ht="15" hidden="false" customHeight="false" outlineLevel="0" collapsed="false">
      <c r="A7" s="6" t="s">
        <v>253</v>
      </c>
      <c r="B7" s="24" t="n">
        <f aca="false">INDEX(Annahmen!$D$46:$F$46,1)</f>
        <v>8</v>
      </c>
      <c r="C7" s="24" t="n">
        <f aca="false">INDEX(Annahmen!$D$46:$F$46,2)</f>
        <v>10</v>
      </c>
      <c r="D7" s="24" t="n">
        <f aca="false">INDEX(Annahmen!$D$46:$F$46,3)</f>
        <v>12</v>
      </c>
    </row>
    <row r="8" customFormat="false" ht="15" hidden="false" customHeight="false" outlineLevel="0" collapsed="false">
      <c r="A8" s="6" t="s">
        <v>254</v>
      </c>
      <c r="B8" s="7" t="n">
        <f aca="false">Rechenkern!C41/12</f>
        <v>3520</v>
      </c>
      <c r="C8" s="7" t="n">
        <f aca="false">Rechenkern!D41/12</f>
        <v>4400</v>
      </c>
      <c r="D8" s="7" t="n">
        <f aca="false">Rechenkern!E41/12</f>
        <v>5280</v>
      </c>
    </row>
    <row r="9" customFormat="false" ht="15" hidden="false" customHeight="false" outlineLevel="0" collapsed="false">
      <c r="A9" s="6" t="s">
        <v>255</v>
      </c>
      <c r="B9" s="7" t="n">
        <f aca="false">Rechenkern!C41</f>
        <v>42240</v>
      </c>
      <c r="C9" s="7" t="n">
        <f aca="false">Rechenkern!D41</f>
        <v>52800</v>
      </c>
      <c r="D9" s="7" t="n">
        <f aca="false">Rechenkern!E41</f>
        <v>63360</v>
      </c>
    </row>
    <row r="10" customFormat="false" ht="15" hidden="false" customHeight="false" outlineLevel="0" collapsed="false">
      <c r="A10" s="6" t="s">
        <v>256</v>
      </c>
      <c r="B10" s="24" t="n">
        <f aca="false">INDEX(Annahmen!$D$47:$F$47,1)</f>
        <v>8</v>
      </c>
      <c r="C10" s="24" t="n">
        <f aca="false">INDEX(Annahmen!$D$47:$F$47,2)</f>
        <v>5</v>
      </c>
      <c r="D10" s="24" t="n">
        <f aca="false">INDEX(Annahmen!$D$47:$F$47,3)</f>
        <v>3</v>
      </c>
    </row>
    <row r="11" customFormat="false" ht="15" hidden="false" customHeight="false" outlineLevel="0" collapsed="false">
      <c r="A11" s="6" t="s">
        <v>257</v>
      </c>
      <c r="B11" s="7" t="n">
        <f aca="false">Rechenkern!C45</f>
        <v>38860.8</v>
      </c>
      <c r="C11" s="7" t="n">
        <f aca="false">Rechenkern!D45</f>
        <v>50160</v>
      </c>
      <c r="D11" s="7" t="n">
        <f aca="false">Rechenkern!E45</f>
        <v>61459.2</v>
      </c>
    </row>
    <row r="12" customFormat="false" ht="15" hidden="false" customHeight="false" outlineLevel="0" collapsed="false">
      <c r="A12" s="16" t="s">
        <v>258</v>
      </c>
      <c r="B12" s="15"/>
      <c r="C12" s="15"/>
      <c r="D12" s="15"/>
      <c r="E12" s="15"/>
    </row>
    <row r="13" customFormat="false" ht="15" hidden="false" customHeight="false" outlineLevel="0" collapsed="false">
      <c r="A13" s="6" t="s">
        <v>259</v>
      </c>
      <c r="B13" s="24" t="n">
        <f aca="false">INDEX(Annahmen!$D$9:$F$9,1)</f>
        <v>845.93</v>
      </c>
      <c r="C13" s="24" t="n">
        <f aca="false">INDEX(Annahmen!$D$9:$F$9,2)</f>
        <v>845.93</v>
      </c>
      <c r="D13" s="24" t="n">
        <f aca="false">INDEX(Annahmen!$D$9:$F$9,3)</f>
        <v>845.93</v>
      </c>
    </row>
    <row r="14" customFormat="false" ht="15" hidden="false" customHeight="false" outlineLevel="0" collapsed="false">
      <c r="A14" s="6" t="s">
        <v>253</v>
      </c>
      <c r="B14" s="24" t="n">
        <f aca="false">INDEX(Annahmen!$D$44:$F$44,1)</f>
        <v>9.5</v>
      </c>
      <c r="C14" s="24" t="n">
        <f aca="false">INDEX(Annahmen!$D$44:$F$44,2)</f>
        <v>10.5</v>
      </c>
      <c r="D14" s="24" t="n">
        <f aca="false">INDEX(Annahmen!$D$44:$F$44,3)</f>
        <v>11.5</v>
      </c>
    </row>
    <row r="15" customFormat="false" ht="15" hidden="false" customHeight="false" outlineLevel="0" collapsed="false">
      <c r="A15" s="6" t="s">
        <v>254</v>
      </c>
      <c r="B15" s="7" t="n">
        <f aca="false">Rechenkern!C40/12</f>
        <v>8036.335</v>
      </c>
      <c r="C15" s="7" t="n">
        <f aca="false">Rechenkern!D40/12</f>
        <v>8882.265</v>
      </c>
      <c r="D15" s="7" t="n">
        <f aca="false">Rechenkern!E40/12</f>
        <v>9728.195</v>
      </c>
    </row>
    <row r="16" customFormat="false" ht="15" hidden="false" customHeight="false" outlineLevel="0" collapsed="false">
      <c r="A16" s="6" t="s">
        <v>255</v>
      </c>
      <c r="B16" s="7" t="n">
        <f aca="false">Rechenkern!C40</f>
        <v>96436.02</v>
      </c>
      <c r="C16" s="7" t="n">
        <f aca="false">Rechenkern!D40</f>
        <v>106587.18</v>
      </c>
      <c r="D16" s="7" t="n">
        <f aca="false">Rechenkern!E40</f>
        <v>116738.34</v>
      </c>
    </row>
    <row r="17" customFormat="false" ht="15" hidden="false" customHeight="false" outlineLevel="0" collapsed="false">
      <c r="A17" s="6" t="s">
        <v>260</v>
      </c>
      <c r="B17" s="24" t="n">
        <f aca="false">INDEX(Annahmen!$D$45:$F$45,1)</f>
        <v>4</v>
      </c>
      <c r="C17" s="24" t="n">
        <f aca="false">INDEX(Annahmen!$D$45:$F$45,2)</f>
        <v>2.5</v>
      </c>
      <c r="D17" s="24" t="n">
        <f aca="false">INDEX(Annahmen!$D$45:$F$45,3)</f>
        <v>1.5</v>
      </c>
    </row>
    <row r="18" customFormat="false" ht="15" hidden="false" customHeight="false" outlineLevel="0" collapsed="false">
      <c r="A18" s="6" t="s">
        <v>261</v>
      </c>
      <c r="B18" s="7" t="n">
        <f aca="false">Rechenkern!C44</f>
        <v>92578.5792</v>
      </c>
      <c r="C18" s="7" t="n">
        <f aca="false">Rechenkern!D44</f>
        <v>103922.5005</v>
      </c>
      <c r="D18" s="7" t="n">
        <f aca="false">Rechenkern!E44</f>
        <v>114987.2649</v>
      </c>
    </row>
    <row r="19" customFormat="false" ht="15" hidden="false" customHeight="false" outlineLevel="0" collapsed="false">
      <c r="A19" s="16" t="s">
        <v>262</v>
      </c>
      <c r="B19" s="15"/>
      <c r="C19" s="15"/>
      <c r="D19" s="15"/>
      <c r="E19" s="15"/>
    </row>
    <row r="20" customFormat="false" ht="15" hidden="false" customHeight="false" outlineLevel="0" collapsed="false">
      <c r="A20" s="6" t="s">
        <v>263</v>
      </c>
      <c r="B20" s="24" t="n">
        <f aca="false">INDEX(Annahmen!$D$12:$F$12,1)</f>
        <v>56.32</v>
      </c>
      <c r="C20" s="24" t="n">
        <f aca="false">INDEX(Annahmen!$D$12:$F$12,2)</f>
        <v>56.32</v>
      </c>
      <c r="D20" s="24" t="n">
        <f aca="false">INDEX(Annahmen!$D$12:$F$12,3)</f>
        <v>56.32</v>
      </c>
    </row>
    <row r="21" customFormat="false" ht="15" hidden="false" customHeight="false" outlineLevel="0" collapsed="false">
      <c r="A21" s="6" t="s">
        <v>253</v>
      </c>
      <c r="B21" s="24" t="n">
        <f aca="false">INDEX(Annahmen!$D$48:$F$48,1)</f>
        <v>8.5</v>
      </c>
      <c r="C21" s="24" t="n">
        <f aca="false">INDEX(Annahmen!$D$48:$F$48,2)</f>
        <v>9.5</v>
      </c>
      <c r="D21" s="24" t="n">
        <f aca="false">INDEX(Annahmen!$D$48:$F$48,3)</f>
        <v>10.5</v>
      </c>
    </row>
    <row r="22" customFormat="false" ht="15" hidden="false" customHeight="false" outlineLevel="0" collapsed="false">
      <c r="A22" s="6" t="s">
        <v>254</v>
      </c>
      <c r="B22" s="7" t="n">
        <f aca="false">Rechenkern!C42/12</f>
        <v>478.72</v>
      </c>
      <c r="C22" s="7" t="n">
        <f aca="false">Rechenkern!D42/12</f>
        <v>535.04</v>
      </c>
      <c r="D22" s="7" t="n">
        <f aca="false">Rechenkern!E42/12</f>
        <v>591.36</v>
      </c>
    </row>
    <row r="23" customFormat="false" ht="15" hidden="false" customHeight="false" outlineLevel="0" collapsed="false">
      <c r="A23" s="6" t="s">
        <v>255</v>
      </c>
      <c r="B23" s="7" t="n">
        <f aca="false">Rechenkern!C42</f>
        <v>5744.64</v>
      </c>
      <c r="C23" s="7" t="n">
        <f aca="false">Rechenkern!D42</f>
        <v>6420.48</v>
      </c>
      <c r="D23" s="7" t="n">
        <f aca="false">Rechenkern!E42</f>
        <v>7096.32</v>
      </c>
    </row>
    <row r="24" customFormat="false" ht="15" hidden="false" customHeight="false" outlineLevel="0" collapsed="false">
      <c r="A24" s="6" t="s">
        <v>264</v>
      </c>
      <c r="B24" s="24" t="n">
        <f aca="false">INDEX(Annahmen!$D$49:$F$49,1)</f>
        <v>20</v>
      </c>
      <c r="C24" s="24" t="n">
        <f aca="false">INDEX(Annahmen!$D$49:$F$49,2)</f>
        <v>12</v>
      </c>
      <c r="D24" s="24" t="n">
        <f aca="false">INDEX(Annahmen!$D$49:$F$49,3)</f>
        <v>8</v>
      </c>
    </row>
    <row r="25" customFormat="false" ht="15" hidden="false" customHeight="false" outlineLevel="0" collapsed="false">
      <c r="A25" s="6" t="s">
        <v>261</v>
      </c>
      <c r="B25" s="7" t="n">
        <f aca="false">Rechenkern!C46</f>
        <v>4595.712</v>
      </c>
      <c r="C25" s="7" t="n">
        <f aca="false">Rechenkern!D46</f>
        <v>5650.0224</v>
      </c>
      <c r="D25" s="7" t="n">
        <f aca="false">Rechenkern!E46</f>
        <v>6528.6144</v>
      </c>
    </row>
    <row r="26" customFormat="false" ht="15" hidden="false" customHeight="false" outlineLevel="0" collapsed="false">
      <c r="A26" s="16" t="s">
        <v>265</v>
      </c>
      <c r="B26" s="15"/>
      <c r="C26" s="15"/>
      <c r="D26" s="15"/>
      <c r="E26" s="15"/>
    </row>
    <row r="27" customFormat="false" ht="15" hidden="false" customHeight="false" outlineLevel="0" collapsed="false">
      <c r="A27" s="6" t="s">
        <v>255</v>
      </c>
      <c r="B27" s="7" t="n">
        <f aca="false">Rechenkern!C43</f>
        <v>144420.66</v>
      </c>
      <c r="C27" s="7" t="n">
        <f aca="false">Rechenkern!D43</f>
        <v>165807.66</v>
      </c>
      <c r="D27" s="7" t="n">
        <f aca="false">Rechenkern!E43</f>
        <v>187194.66</v>
      </c>
    </row>
    <row r="28" customFormat="false" ht="15" hidden="false" customHeight="false" outlineLevel="0" collapsed="false">
      <c r="A28" s="6" t="s">
        <v>254</v>
      </c>
      <c r="B28" s="7" t="n">
        <f aca="false">Rechenkern!C43/12</f>
        <v>12035.055</v>
      </c>
      <c r="C28" s="7" t="n">
        <f aca="false">Rechenkern!D43/12</f>
        <v>13817.305</v>
      </c>
      <c r="D28" s="7" t="n">
        <f aca="false">Rechenkern!E43/12</f>
        <v>15599.555</v>
      </c>
    </row>
    <row r="29" customFormat="false" ht="15" hidden="false" customHeight="false" outlineLevel="0" collapsed="false">
      <c r="A29" s="6" t="s">
        <v>261</v>
      </c>
      <c r="B29" s="7" t="n">
        <f aca="false">Rechenkern!C47</f>
        <v>136035.0912</v>
      </c>
      <c r="C29" s="7" t="n">
        <f aca="false">Rechenkern!D47</f>
        <v>159732.5229</v>
      </c>
      <c r="D29" s="7" t="n">
        <f aca="false">Rechenkern!E47</f>
        <v>182975.0793</v>
      </c>
    </row>
    <row r="30" customFormat="false" ht="15" hidden="false" customHeight="false" outlineLevel="0" collapsed="false">
      <c r="A30" s="6" t="s">
        <v>266</v>
      </c>
      <c r="B30" s="7" t="n">
        <f aca="false">Rechenkern!C48</f>
        <v>20826.74</v>
      </c>
      <c r="C30" s="7" t="n">
        <f aca="false">Rechenkern!D48</f>
        <v>16643.02</v>
      </c>
      <c r="D30" s="7" t="n">
        <f aca="false">Rechenkern!E48</f>
        <v>14151.16</v>
      </c>
    </row>
    <row r="31" customFormat="false" ht="15" hidden="false" customHeight="false" outlineLevel="0" collapsed="false">
      <c r="A31" s="6" t="s">
        <v>267</v>
      </c>
      <c r="B31" s="7" t="n">
        <f aca="false">Rechenkern!C49</f>
        <v>5955.84</v>
      </c>
      <c r="C31" s="7" t="n">
        <f aca="false">Rechenkern!D49</f>
        <v>4466.88</v>
      </c>
      <c r="D31" s="7" t="n">
        <f aca="false">Rechenkern!E49</f>
        <v>3474.24</v>
      </c>
    </row>
    <row r="32" customFormat="false" ht="15" hidden="false" customHeight="false" outlineLevel="0" collapsed="false">
      <c r="A32" s="6" t="s">
        <v>171</v>
      </c>
      <c r="B32" s="7" t="n">
        <f aca="false">Rechenkern!C50</f>
        <v>1919.3856</v>
      </c>
      <c r="C32" s="7" t="n">
        <f aca="false">Rechenkern!D50</f>
        <v>1776.6144</v>
      </c>
      <c r="D32" s="7" t="n">
        <f aca="false">Rechenkern!E50</f>
        <v>1761.408</v>
      </c>
    </row>
    <row r="33" customFormat="false" ht="15" hidden="false" customHeight="false" outlineLevel="0" collapsed="false">
      <c r="A33" s="6" t="s">
        <v>268</v>
      </c>
      <c r="B33" s="7" t="n">
        <f aca="false">Rechenkern!C51</f>
        <v>28701.9656</v>
      </c>
      <c r="C33" s="7" t="n">
        <f aca="false">Rechenkern!D51</f>
        <v>22886.5144</v>
      </c>
      <c r="D33" s="7" t="n">
        <f aca="false">Rechenkern!E51</f>
        <v>19386.808</v>
      </c>
    </row>
    <row r="34" customFormat="false" ht="15" hidden="false" customHeight="false" outlineLevel="0" collapsed="false">
      <c r="A34" s="4" t="s">
        <v>269</v>
      </c>
      <c r="B34" s="25" t="n">
        <f aca="false">Rechenkern!C52</f>
        <v>107333.1256</v>
      </c>
      <c r="C34" s="25" t="n">
        <f aca="false">Rechenkern!D52</f>
        <v>136846.0085</v>
      </c>
      <c r="D34" s="25" t="n">
        <f aca="false">Rechenkern!E52</f>
        <v>163588.2713</v>
      </c>
    </row>
    <row r="35" customFormat="false" ht="15" hidden="false" customHeight="false" outlineLevel="0" collapsed="false">
      <c r="A35" s="6" t="s">
        <v>270</v>
      </c>
      <c r="B35" s="7" t="n">
        <f aca="false">Rechenkern!C52/12</f>
        <v>8944.42713333333</v>
      </c>
      <c r="C35" s="7" t="n">
        <f aca="false">Rechenkern!D52/12</f>
        <v>11403.8340416667</v>
      </c>
      <c r="D35" s="7" t="n">
        <f aca="false">Rechenkern!E52/12</f>
        <v>13632.3559416667</v>
      </c>
    </row>
    <row r="37" customFormat="false" ht="15" hidden="false" customHeight="false" outlineLevel="0" collapsed="false">
      <c r="A37" s="4" t="s">
        <v>271</v>
      </c>
    </row>
    <row r="38" customFormat="false" ht="15" hidden="false" customHeight="false" outlineLevel="0" collapsed="false">
      <c r="A38" s="6" t="s">
        <v>272</v>
      </c>
      <c r="B38" s="26" t="n">
        <v>4000</v>
      </c>
      <c r="C38" s="26" t="n">
        <v>5500</v>
      </c>
      <c r="D38" s="26" t="n">
        <v>7000</v>
      </c>
      <c r="E38" s="12" t="s">
        <v>273</v>
      </c>
    </row>
    <row r="39" customFormat="false" ht="15" hidden="false" customHeight="false" outlineLevel="0" collapsed="false">
      <c r="A39" s="6" t="s">
        <v>274</v>
      </c>
      <c r="B39" s="18" t="n">
        <v>164</v>
      </c>
      <c r="C39" s="18" t="n">
        <v>164</v>
      </c>
      <c r="D39" s="18" t="n">
        <v>164</v>
      </c>
    </row>
    <row r="40" customFormat="false" ht="15" hidden="false" customHeight="false" outlineLevel="0" collapsed="false">
      <c r="A40" s="6" t="s">
        <v>275</v>
      </c>
      <c r="B40" s="9" t="n">
        <f aca="false">B9/(B38*B39)</f>
        <v>0.064390243902439</v>
      </c>
      <c r="C40" s="9" t="n">
        <f aca="false">C9/(C38*C39)</f>
        <v>0.0585365853658537</v>
      </c>
      <c r="D40" s="9" t="n">
        <f aca="false">D9/(D38*D39)</f>
        <v>0.055191637630662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4" customFormat="false" ht="15" hidden="false" customHeight="false" outlineLevel="0" collapsed="false">
      <c r="A4" s="3" t="s">
        <v>278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6" t="s">
        <v>279</v>
      </c>
      <c r="B5" s="7" t="n">
        <f aca="false">Rechenkern!C12</f>
        <v>220800</v>
      </c>
      <c r="C5" s="7" t="n">
        <f aca="false">Rechenkern!D12</f>
        <v>220800</v>
      </c>
      <c r="D5" s="7" t="n">
        <f aca="false">Rechenkern!E12</f>
        <v>220800</v>
      </c>
      <c r="E5" s="12"/>
    </row>
    <row r="6" customFormat="false" ht="15" hidden="false" customHeight="false" outlineLevel="0" collapsed="false">
      <c r="A6" s="6" t="s">
        <v>280</v>
      </c>
      <c r="B6" s="7" t="n">
        <f aca="false">Rechenkern!C13</f>
        <v>15456</v>
      </c>
      <c r="C6" s="7" t="n">
        <f aca="false">Rechenkern!D13</f>
        <v>15456</v>
      </c>
      <c r="D6" s="7" t="n">
        <f aca="false">Rechenkern!E13</f>
        <v>15456</v>
      </c>
      <c r="E6" s="12"/>
    </row>
    <row r="7" customFormat="false" ht="15" hidden="false" customHeight="false" outlineLevel="0" collapsed="false">
      <c r="A7" s="6" t="s">
        <v>281</v>
      </c>
      <c r="B7" s="7" t="n">
        <f aca="false">Rechenkern!C15</f>
        <v>60000</v>
      </c>
      <c r="C7" s="7" t="n">
        <f aca="false">Rechenkern!D15</f>
        <v>40000</v>
      </c>
      <c r="D7" s="7" t="n">
        <f aca="false">Rechenkern!E15</f>
        <v>25000</v>
      </c>
      <c r="E7" s="12" t="s">
        <v>282</v>
      </c>
    </row>
    <row r="8" customFormat="false" ht="15" hidden="false" customHeight="false" outlineLevel="0" collapsed="false">
      <c r="A8" s="6" t="s">
        <v>283</v>
      </c>
      <c r="B8" s="7" t="n">
        <f aca="false">Rechenkern!C17</f>
        <v>5538187.2</v>
      </c>
      <c r="C8" s="7" t="n">
        <f aca="false">Rechenkern!D17</f>
        <v>4570779.5</v>
      </c>
      <c r="D8" s="7" t="n">
        <f aca="false">Rechenkern!E17</f>
        <v>3983234.64</v>
      </c>
      <c r="E8" s="12" t="s">
        <v>284</v>
      </c>
    </row>
    <row r="9" customFormat="false" ht="15" hidden="false" customHeight="false" outlineLevel="0" collapsed="false">
      <c r="A9" s="6" t="s">
        <v>285</v>
      </c>
      <c r="B9" s="7" t="n">
        <f aca="false">Rechenkern!C18</f>
        <v>151200</v>
      </c>
      <c r="C9" s="7" t="n">
        <f aca="false">Rechenkern!D18</f>
        <v>126000</v>
      </c>
      <c r="D9" s="7" t="n">
        <f aca="false">Rechenkern!E18</f>
        <v>100800</v>
      </c>
      <c r="E9" s="12" t="s">
        <v>286</v>
      </c>
    </row>
    <row r="10" customFormat="false" ht="15" hidden="false" customHeight="false" outlineLevel="0" collapsed="false">
      <c r="A10" s="6" t="s">
        <v>287</v>
      </c>
      <c r="B10" s="7" t="n">
        <f aca="false">Rechenkern!C19</f>
        <v>126800</v>
      </c>
      <c r="C10" s="7" t="n">
        <f aca="false">Rechenkern!D19</f>
        <v>101440</v>
      </c>
      <c r="D10" s="7" t="n">
        <f aca="false">Rechenkern!E19</f>
        <v>79920</v>
      </c>
      <c r="E10" s="12" t="s">
        <v>288</v>
      </c>
    </row>
    <row r="11" customFormat="false" ht="15" hidden="false" customHeight="false" outlineLevel="0" collapsed="false">
      <c r="A11" s="6" t="s">
        <v>289</v>
      </c>
      <c r="B11" s="7" t="n">
        <f aca="false">Rechenkern!C21</f>
        <v>756104.336</v>
      </c>
      <c r="C11" s="7" t="n">
        <f aca="false">Rechenkern!D21</f>
        <v>575786.34</v>
      </c>
      <c r="D11" s="7" t="n">
        <f aca="false">Rechenkern!E21</f>
        <v>458035.0104</v>
      </c>
      <c r="E11" s="12"/>
    </row>
    <row r="12" customFormat="false" ht="15" hidden="false" customHeight="false" outlineLevel="0" collapsed="false">
      <c r="A12" s="6" t="s">
        <v>290</v>
      </c>
      <c r="B12" s="7" t="n">
        <f aca="false">Rechenkern!C22</f>
        <v>378052.168</v>
      </c>
      <c r="C12" s="7" t="n">
        <f aca="false">Rechenkern!D22</f>
        <v>263902.0725</v>
      </c>
      <c r="D12" s="7" t="n">
        <f aca="false">Rechenkern!E22</f>
        <v>187377.9588</v>
      </c>
      <c r="E12" s="12"/>
    </row>
    <row r="13" customFormat="false" ht="15" hidden="false" customHeight="false" outlineLevel="0" collapsed="false">
      <c r="A13" s="6" t="s">
        <v>291</v>
      </c>
      <c r="B13" s="7" t="n">
        <f aca="false">Rechenkern!C23</f>
        <v>87242.808</v>
      </c>
      <c r="C13" s="7" t="n">
        <f aca="false">Rechenkern!D23</f>
        <v>57578.634</v>
      </c>
      <c r="D13" s="7" t="n">
        <f aca="false">Rechenkern!E23</f>
        <v>41639.5464</v>
      </c>
      <c r="E13" s="12"/>
    </row>
    <row r="14" customFormat="false" ht="15" hidden="false" customHeight="false" outlineLevel="0" collapsed="false">
      <c r="A14" s="6" t="s">
        <v>292</v>
      </c>
      <c r="B14" s="7" t="n">
        <f aca="false">Rechenkern!C24</f>
        <v>87242.808</v>
      </c>
      <c r="C14" s="7" t="n">
        <f aca="false">Rechenkern!D24</f>
        <v>57578.634</v>
      </c>
      <c r="D14" s="7" t="n">
        <f aca="false">Rechenkern!E24</f>
        <v>41639.5464</v>
      </c>
      <c r="E14" s="12"/>
    </row>
    <row r="15" customFormat="false" ht="15" hidden="false" customHeight="false" outlineLevel="0" collapsed="false">
      <c r="A15" s="6" t="s">
        <v>293</v>
      </c>
      <c r="B15" s="7" t="n">
        <f aca="false">Rechenkern!C26</f>
        <v>470094.976</v>
      </c>
      <c r="C15" s="7" t="n">
        <f aca="false">Rechenkern!D26</f>
        <v>290293.17</v>
      </c>
      <c r="D15" s="7" t="n">
        <f aca="false">Rechenkern!E26</f>
        <v>167558.1856</v>
      </c>
      <c r="E15" s="12"/>
    </row>
    <row r="16" customFormat="false" ht="15" hidden="false" customHeight="false" outlineLevel="0" collapsed="false">
      <c r="A16" s="4" t="s">
        <v>294</v>
      </c>
      <c r="B16" s="5" t="n">
        <f aca="false">Rechenkern!C27</f>
        <v>7891180.296</v>
      </c>
      <c r="C16" s="5" t="n">
        <f aca="false">Rechenkern!D27</f>
        <v>6319614.3505</v>
      </c>
      <c r="D16" s="5" t="n">
        <f aca="false">Rechenkern!E27</f>
        <v>5321460.8876</v>
      </c>
      <c r="E16" s="12"/>
    </row>
    <row r="17" customFormat="false" ht="15" hidden="false" customHeight="false" outlineLevel="0" collapsed="false">
      <c r="A17" s="6" t="s">
        <v>295</v>
      </c>
      <c r="B17" s="7" t="n">
        <f aca="false">Rechenkern!C32</f>
        <v>520695.08615542</v>
      </c>
      <c r="C17" s="7" t="n">
        <f aca="false">Rechenkern!D32</f>
        <v>322124.325800578</v>
      </c>
      <c r="D17" s="7" t="n">
        <f aca="false">Rechenkern!E32</f>
        <v>202738.102953306</v>
      </c>
      <c r="E17" s="12" t="s">
        <v>296</v>
      </c>
    </row>
    <row r="18" customFormat="false" ht="15" hidden="false" customHeight="false" outlineLevel="0" collapsed="false">
      <c r="A18" s="4" t="s">
        <v>297</v>
      </c>
      <c r="B18" s="25" t="n">
        <f aca="false">Rechenkern!C31</f>
        <v>8411875.38215542</v>
      </c>
      <c r="C18" s="25" t="n">
        <f aca="false">Rechenkern!D31</f>
        <v>6641738.67630058</v>
      </c>
      <c r="D18" s="25" t="n">
        <f aca="false">Rechenkern!E31</f>
        <v>5524198.99055331</v>
      </c>
      <c r="E18" s="12"/>
    </row>
    <row r="19" customFormat="false" ht="15" hidden="false" customHeight="false" outlineLevel="0" collapsed="false">
      <c r="A19" s="6" t="s">
        <v>298</v>
      </c>
      <c r="B19" s="7" t="n">
        <f aca="false">Rechenkern!C31/Rechenkern!C16</f>
        <v>4738.92453334277</v>
      </c>
      <c r="C19" s="7" t="n">
        <f aca="false">Rechenkern!D31/Rechenkern!D16</f>
        <v>3741.69812642985</v>
      </c>
      <c r="D19" s="7" t="n">
        <f aca="false">Rechenkern!E31/Rechenkern!E16</f>
        <v>3112.11958500181</v>
      </c>
    </row>
    <row r="20" customFormat="false" ht="15" hidden="false" customHeight="false" outlineLevel="0" collapsed="false">
      <c r="A20" s="6" t="s">
        <v>299</v>
      </c>
      <c r="B20" s="7" t="n">
        <f aca="false">Rechenkern!C31/(INDEX(Annahmen!$D$9:$F$9,1)+INDEX(Annahmen!$D$11:$F$11,1)+INDEX(Annahmen!$D$12:$F$12,1))</f>
        <v>6266.99600086081</v>
      </c>
      <c r="C20" s="7" t="n">
        <f aca="false">Rechenkern!D31/(INDEX(Annahmen!$D$9:$F$9,2)+INDEX(Annahmen!$D$11:$F$11,2)+INDEX(Annahmen!$D$12:$F$12,2))</f>
        <v>4948.21283389874</v>
      </c>
      <c r="D20" s="7" t="n">
        <f aca="false">Rechenkern!E31/(INDEX(Annahmen!$D$9:$F$9,3)+INDEX(Annahmen!$D$11:$F$11,3)+INDEX(Annahmen!$D$12:$F$12,3))</f>
        <v>4115.62599407957</v>
      </c>
    </row>
    <row r="22" customFormat="false" ht="15" hidden="false" customHeight="false" outlineLevel="0" collapsed="false">
      <c r="A22" s="12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4"/>
  </cols>
  <sheetData>
    <row r="1" customFormat="false" ht="19.7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302</v>
      </c>
    </row>
    <row r="4" customFormat="false" ht="15" hidden="false" customHeight="false" outlineLevel="0" collapsed="false">
      <c r="A4" s="3" t="s">
        <v>303</v>
      </c>
      <c r="B4" s="3" t="s">
        <v>304</v>
      </c>
      <c r="C4" s="3" t="s">
        <v>305</v>
      </c>
      <c r="D4" s="3" t="s">
        <v>306</v>
      </c>
      <c r="E4" s="3" t="s">
        <v>307</v>
      </c>
      <c r="F4" s="3" t="s">
        <v>308</v>
      </c>
      <c r="G4" s="3" t="s">
        <v>309</v>
      </c>
      <c r="H4" s="3" t="s">
        <v>310</v>
      </c>
      <c r="I4" s="3" t="s">
        <v>311</v>
      </c>
      <c r="J4" s="3" t="s">
        <v>312</v>
      </c>
      <c r="K4" s="3" t="s">
        <v>313</v>
      </c>
      <c r="L4" s="3" t="s">
        <v>314</v>
      </c>
      <c r="M4" s="3" t="s">
        <v>315</v>
      </c>
    </row>
    <row r="5" customFormat="false" ht="15" hidden="false" customHeight="false" outlineLevel="0" collapsed="false">
      <c r="A5" s="6" t="s">
        <v>7</v>
      </c>
      <c r="B5" s="7" t="n">
        <f aca="false">Rechenkern!F31</f>
        <v>8552966.04362552</v>
      </c>
      <c r="C5" s="7" t="n">
        <f aca="false">Rechenkern!G31</f>
        <v>8481834.01201145</v>
      </c>
      <c r="D5" s="7" t="n">
        <f aca="false">Rechenkern!C31</f>
        <v>8411875.38215542</v>
      </c>
      <c r="E5" s="7" t="n">
        <f aca="false">Rechenkern!H31</f>
        <v>8343061.35673411</v>
      </c>
      <c r="F5" s="7" t="n">
        <f aca="false">Rechenkern!I31</f>
        <v>6727467.03978709</v>
      </c>
      <c r="G5" s="7" t="n">
        <f aca="false">Rechenkern!J31</f>
        <v>6684327.99682687</v>
      </c>
      <c r="H5" s="7" t="n">
        <f aca="false">Rechenkern!D31</f>
        <v>6641738.67630058</v>
      </c>
      <c r="I5" s="7" t="n">
        <f aca="false">Rechenkern!K31</f>
        <v>6599688.63703414</v>
      </c>
      <c r="J5" s="7" t="n">
        <f aca="false">Rechenkern!L31</f>
        <v>5577320.46388052</v>
      </c>
      <c r="K5" s="7" t="n">
        <f aca="false">Rechenkern!M31</f>
        <v>5550632.63241066</v>
      </c>
      <c r="L5" s="7" t="n">
        <f aca="false">Rechenkern!E31</f>
        <v>5524198.99055331</v>
      </c>
      <c r="M5" s="7" t="n">
        <f aca="false">Rechenkern!N31</f>
        <v>5498015.92395811</v>
      </c>
    </row>
    <row r="6" customFormat="false" ht="15" hidden="false" customHeight="false" outlineLevel="0" collapsed="false">
      <c r="A6" s="6" t="s">
        <v>8</v>
      </c>
      <c r="B6" s="7" t="n">
        <f aca="false">Rechenkern!F34</f>
        <v>0</v>
      </c>
      <c r="C6" s="7" t="n">
        <f aca="false">Rechenkern!G34</f>
        <v>848183.401201145</v>
      </c>
      <c r="D6" s="7" t="n">
        <f aca="false">Rechenkern!C34</f>
        <v>1682375.07643108</v>
      </c>
      <c r="E6" s="7" t="n">
        <f aca="false">Rechenkern!H34</f>
        <v>2502918.40702023</v>
      </c>
      <c r="F6" s="7" t="n">
        <f aca="false">Rechenkern!I34</f>
        <v>0</v>
      </c>
      <c r="G6" s="7" t="n">
        <f aca="false">Rechenkern!J34</f>
        <v>668432.799682687</v>
      </c>
      <c r="H6" s="7" t="n">
        <f aca="false">Rechenkern!D34</f>
        <v>1328347.73526012</v>
      </c>
      <c r="I6" s="7" t="n">
        <f aca="false">Rechenkern!K34</f>
        <v>1979906.59111024</v>
      </c>
      <c r="J6" s="7" t="n">
        <f aca="false">Rechenkern!L34</f>
        <v>0</v>
      </c>
      <c r="K6" s="7" t="n">
        <f aca="false">Rechenkern!M34</f>
        <v>555063.263241066</v>
      </c>
      <c r="L6" s="7" t="n">
        <f aca="false">Rechenkern!E34</f>
        <v>1104839.79811066</v>
      </c>
      <c r="M6" s="7" t="n">
        <f aca="false">Rechenkern!N34</f>
        <v>1649404.77718743</v>
      </c>
    </row>
    <row r="7" customFormat="false" ht="15" hidden="false" customHeight="false" outlineLevel="0" collapsed="false">
      <c r="A7" s="6" t="s">
        <v>9</v>
      </c>
      <c r="B7" s="7" t="n">
        <f aca="false">Rechenkern!F33</f>
        <v>8552966.04362552</v>
      </c>
      <c r="C7" s="7" t="n">
        <f aca="false">Rechenkern!G33</f>
        <v>7633650.6108103</v>
      </c>
      <c r="D7" s="7" t="n">
        <f aca="false">Rechenkern!C33</f>
        <v>6729500.30572434</v>
      </c>
      <c r="E7" s="7" t="n">
        <f aca="false">Rechenkern!H33</f>
        <v>5840142.94971388</v>
      </c>
      <c r="F7" s="7" t="n">
        <f aca="false">Rechenkern!I33</f>
        <v>6727467.03978709</v>
      </c>
      <c r="G7" s="7" t="n">
        <f aca="false">Rechenkern!J33</f>
        <v>6015895.19714418</v>
      </c>
      <c r="H7" s="7" t="n">
        <f aca="false">Rechenkern!D33</f>
        <v>5313390.94104046</v>
      </c>
      <c r="I7" s="7" t="n">
        <f aca="false">Rechenkern!K33</f>
        <v>4619782.0459239</v>
      </c>
      <c r="J7" s="7" t="n">
        <f aca="false">Rechenkern!L33</f>
        <v>5577320.46388052</v>
      </c>
      <c r="K7" s="7" t="n">
        <f aca="false">Rechenkern!M33</f>
        <v>4995569.36916959</v>
      </c>
      <c r="L7" s="7" t="n">
        <f aca="false">Rechenkern!E33</f>
        <v>4419359.19244265</v>
      </c>
      <c r="M7" s="7" t="n">
        <f aca="false">Rechenkern!N33</f>
        <v>3848611.14677067</v>
      </c>
    </row>
    <row r="8" customFormat="false" ht="15" hidden="false" customHeight="false" outlineLevel="0" collapsed="false">
      <c r="A8" s="6" t="s">
        <v>316</v>
      </c>
      <c r="B8" s="10" t="n">
        <f aca="false">Rechenkern!F28</f>
        <v>4.9</v>
      </c>
      <c r="C8" s="10" t="n">
        <f aca="false">Rechenkern!G28</f>
        <v>4.9</v>
      </c>
      <c r="D8" s="10" t="n">
        <f aca="false">Rechenkern!C28</f>
        <v>4.9</v>
      </c>
      <c r="E8" s="10" t="n">
        <f aca="false">Rechenkern!H28</f>
        <v>4.9</v>
      </c>
      <c r="F8" s="10" t="n">
        <f aca="false">Rechenkern!I28</f>
        <v>4.5</v>
      </c>
      <c r="G8" s="10" t="n">
        <f aca="false">Rechenkern!J28</f>
        <v>4.5</v>
      </c>
      <c r="H8" s="10" t="n">
        <f aca="false">Rechenkern!D28</f>
        <v>4.5</v>
      </c>
      <c r="I8" s="10" t="n">
        <f aca="false">Rechenkern!K28</f>
        <v>4.5</v>
      </c>
      <c r="J8" s="10" t="n">
        <f aca="false">Rechenkern!L28</f>
        <v>4.1</v>
      </c>
      <c r="K8" s="10" t="n">
        <f aca="false">Rechenkern!M28</f>
        <v>4.1</v>
      </c>
      <c r="L8" s="10" t="n">
        <f aca="false">Rechenkern!E28</f>
        <v>4.1</v>
      </c>
      <c r="M8" s="10" t="n">
        <f aca="false">Rechenkern!N28</f>
        <v>4.1</v>
      </c>
    </row>
    <row r="9" customFormat="false" ht="15" hidden="false" customHeight="false" outlineLevel="0" collapsed="false">
      <c r="A9" s="6" t="s">
        <v>10</v>
      </c>
      <c r="B9" s="7" t="n">
        <f aca="false">Rechenkern!F39</f>
        <v>34924.6113448042</v>
      </c>
      <c r="C9" s="7" t="n">
        <f aca="false">Rechenkern!G39</f>
        <v>31170.7399941421</v>
      </c>
      <c r="D9" s="7" t="n">
        <f aca="false">Rechenkern!C39</f>
        <v>27478.792915041</v>
      </c>
      <c r="E9" s="7" t="n">
        <f aca="false">Rechenkern!H39</f>
        <v>23847.2503779983</v>
      </c>
      <c r="F9" s="7" t="n">
        <f aca="false">Rechenkern!I39</f>
        <v>25228.0013992016</v>
      </c>
      <c r="G9" s="7" t="n">
        <f aca="false">Rechenkern!J39</f>
        <v>22559.6069892907</v>
      </c>
      <c r="H9" s="7" t="n">
        <f aca="false">Rechenkern!D39</f>
        <v>19925.2160289017</v>
      </c>
      <c r="I9" s="7" t="n">
        <f aca="false">Rechenkern!K39</f>
        <v>17324.1826722146</v>
      </c>
      <c r="J9" s="7" t="n">
        <f aca="false">Rechenkern!L39</f>
        <v>19055.8449182584</v>
      </c>
      <c r="K9" s="7" t="n">
        <f aca="false">Rechenkern!M39</f>
        <v>17068.1953446628</v>
      </c>
      <c r="L9" s="7" t="n">
        <f aca="false">Rechenkern!E39</f>
        <v>15099.4772408457</v>
      </c>
      <c r="M9" s="7" t="n">
        <f aca="false">Rechenkern!N39</f>
        <v>13149.4214181331</v>
      </c>
    </row>
    <row r="10" customFormat="false" ht="15" hidden="false" customHeight="false" outlineLevel="0" collapsed="false">
      <c r="A10" s="6" t="s">
        <v>317</v>
      </c>
      <c r="B10" s="10" t="n">
        <f aca="false">Rechenkern!F29</f>
        <v>2</v>
      </c>
      <c r="C10" s="10" t="n">
        <f aca="false">Rechenkern!G29</f>
        <v>2</v>
      </c>
      <c r="D10" s="10" t="n">
        <f aca="false">Rechenkern!C29</f>
        <v>2</v>
      </c>
      <c r="E10" s="10" t="n">
        <f aca="false">Rechenkern!H29</f>
        <v>2</v>
      </c>
      <c r="F10" s="10" t="n">
        <f aca="false">Rechenkern!I29</f>
        <v>2</v>
      </c>
      <c r="G10" s="10" t="n">
        <f aca="false">Rechenkern!J29</f>
        <v>2</v>
      </c>
      <c r="H10" s="10" t="n">
        <f aca="false">Rechenkern!D29</f>
        <v>2</v>
      </c>
      <c r="I10" s="10" t="n">
        <f aca="false">Rechenkern!K29</f>
        <v>2</v>
      </c>
      <c r="J10" s="10" t="n">
        <f aca="false">Rechenkern!L29</f>
        <v>2</v>
      </c>
      <c r="K10" s="10" t="n">
        <f aca="false">Rechenkern!M29</f>
        <v>2</v>
      </c>
      <c r="L10" s="10" t="n">
        <f aca="false">Rechenkern!E29</f>
        <v>2</v>
      </c>
      <c r="M10" s="10" t="n">
        <f aca="false">Rechenkern!N29</f>
        <v>2</v>
      </c>
    </row>
    <row r="11" customFormat="false" ht="15" hidden="false" customHeight="false" outlineLevel="0" collapsed="false">
      <c r="A11" s="6" t="s">
        <v>318</v>
      </c>
      <c r="B11" s="7" t="n">
        <f aca="false">Rechenkern!F38</f>
        <v>49179.5547508468</v>
      </c>
      <c r="C11" s="7" t="n">
        <f aca="false">Rechenkern!G38</f>
        <v>43893.4910121593</v>
      </c>
      <c r="D11" s="7" t="n">
        <f aca="false">Rechenkern!C38</f>
        <v>38694.6267579149</v>
      </c>
      <c r="E11" s="7" t="n">
        <f aca="false">Rechenkern!H38</f>
        <v>33580.8219608548</v>
      </c>
      <c r="F11" s="7" t="n">
        <f aca="false">Rechenkern!I38</f>
        <v>36440.4464655134</v>
      </c>
      <c r="G11" s="7" t="n">
        <f aca="false">Rechenkern!J38</f>
        <v>32586.098984531</v>
      </c>
      <c r="H11" s="7" t="n">
        <f aca="false">Rechenkern!D38</f>
        <v>28780.8675973025</v>
      </c>
      <c r="I11" s="7" t="n">
        <f aca="false">Rechenkern!K38</f>
        <v>25023.8194154211</v>
      </c>
      <c r="J11" s="7" t="n">
        <f aca="false">Rechenkern!L38</f>
        <v>28351.379024726</v>
      </c>
      <c r="K11" s="7" t="n">
        <f aca="false">Rechenkern!M38</f>
        <v>25394.1442932788</v>
      </c>
      <c r="L11" s="7" t="n">
        <f aca="false">Rechenkern!E38</f>
        <v>22465.0758949168</v>
      </c>
      <c r="M11" s="7" t="n">
        <f aca="false">Rechenkern!N38</f>
        <v>19563.7733294176</v>
      </c>
    </row>
    <row r="12" customFormat="false" ht="15" hidden="false" customHeight="false" outlineLevel="0" collapsed="false">
      <c r="A12" s="6" t="s">
        <v>12</v>
      </c>
      <c r="B12" s="7" t="n">
        <f aca="false">Rechenkern!F37</f>
        <v>590154.657010161</v>
      </c>
      <c r="C12" s="7" t="n">
        <f aca="false">Rechenkern!G37</f>
        <v>526721.892145911</v>
      </c>
      <c r="D12" s="7" t="n">
        <f aca="false">Rechenkern!C37</f>
        <v>464335.521094979</v>
      </c>
      <c r="E12" s="7" t="n">
        <f aca="false">Rechenkern!H37</f>
        <v>402969.863530258</v>
      </c>
      <c r="F12" s="7" t="n">
        <f aca="false">Rechenkern!I37</f>
        <v>437285.357586161</v>
      </c>
      <c r="G12" s="7" t="n">
        <f aca="false">Rechenkern!J37</f>
        <v>391033.187814372</v>
      </c>
      <c r="H12" s="7" t="n">
        <f aca="false">Rechenkern!D37</f>
        <v>345370.41116763</v>
      </c>
      <c r="I12" s="7" t="n">
        <f aca="false">Rechenkern!K37</f>
        <v>300285.832985053</v>
      </c>
      <c r="J12" s="7" t="n">
        <f aca="false">Rechenkern!L37</f>
        <v>340216.548296712</v>
      </c>
      <c r="K12" s="7" t="n">
        <f aca="false">Rechenkern!M37</f>
        <v>304729.731519345</v>
      </c>
      <c r="L12" s="7" t="n">
        <f aca="false">Rechenkern!E37</f>
        <v>269580.910739001</v>
      </c>
      <c r="M12" s="7" t="n">
        <f aca="false">Rechenkern!N37</f>
        <v>234765.279953011</v>
      </c>
    </row>
    <row r="13" customFormat="false" ht="15" hidden="false" customHeight="false" outlineLevel="0" collapsed="false">
      <c r="A13" s="6" t="s">
        <v>15</v>
      </c>
      <c r="B13" s="7" t="n">
        <f aca="false">Rechenkern!F52</f>
        <v>107333.1256</v>
      </c>
      <c r="C13" s="7" t="n">
        <f aca="false">Rechenkern!G52</f>
        <v>107333.1256</v>
      </c>
      <c r="D13" s="7" t="n">
        <f aca="false">Rechenkern!C52</f>
        <v>107333.1256</v>
      </c>
      <c r="E13" s="7" t="n">
        <f aca="false">Rechenkern!H52</f>
        <v>107333.1256</v>
      </c>
      <c r="F13" s="7" t="n">
        <f aca="false">Rechenkern!I52</f>
        <v>136846.0085</v>
      </c>
      <c r="G13" s="7" t="n">
        <f aca="false">Rechenkern!J52</f>
        <v>136846.0085</v>
      </c>
      <c r="H13" s="7" t="n">
        <f aca="false">Rechenkern!D52</f>
        <v>136846.0085</v>
      </c>
      <c r="I13" s="7" t="n">
        <f aca="false">Rechenkern!K52</f>
        <v>136846.0085</v>
      </c>
      <c r="J13" s="7" t="n">
        <f aca="false">Rechenkern!L52</f>
        <v>163588.2713</v>
      </c>
      <c r="K13" s="7" t="n">
        <f aca="false">Rechenkern!M52</f>
        <v>163588.2713</v>
      </c>
      <c r="L13" s="7" t="n">
        <f aca="false">Rechenkern!E52</f>
        <v>163588.2713</v>
      </c>
      <c r="M13" s="7" t="n">
        <f aca="false">Rechenkern!N52</f>
        <v>163588.2713</v>
      </c>
    </row>
    <row r="14" customFormat="false" ht="15" hidden="false" customHeight="false" outlineLevel="0" collapsed="false">
      <c r="A14" s="6" t="s">
        <v>16</v>
      </c>
      <c r="B14" s="7" t="n">
        <f aca="false">Rechenkern!F53</f>
        <v>-482821.531410161</v>
      </c>
      <c r="C14" s="7" t="n">
        <f aca="false">Rechenkern!G53</f>
        <v>-419388.766545911</v>
      </c>
      <c r="D14" s="7" t="n">
        <f aca="false">Rechenkern!C53</f>
        <v>-357002.395494979</v>
      </c>
      <c r="E14" s="7" t="n">
        <f aca="false">Rechenkern!H53</f>
        <v>-295636.737930258</v>
      </c>
      <c r="F14" s="7" t="n">
        <f aca="false">Rechenkern!I53</f>
        <v>-300439.349086161</v>
      </c>
      <c r="G14" s="7" t="n">
        <f aca="false">Rechenkern!J53</f>
        <v>-254187.179314372</v>
      </c>
      <c r="H14" s="7" t="n">
        <f aca="false">Rechenkern!D53</f>
        <v>-208524.40266763</v>
      </c>
      <c r="I14" s="7" t="n">
        <f aca="false">Rechenkern!K53</f>
        <v>-163439.824485053</v>
      </c>
      <c r="J14" s="7" t="n">
        <f aca="false">Rechenkern!L53</f>
        <v>-176628.276996712</v>
      </c>
      <c r="K14" s="7" t="n">
        <f aca="false">Rechenkern!M53</f>
        <v>-141141.460219345</v>
      </c>
      <c r="L14" s="7" t="n">
        <f aca="false">Rechenkern!E53</f>
        <v>-105992.639439001</v>
      </c>
      <c r="M14" s="7" t="n">
        <f aca="false">Rechenkern!N53</f>
        <v>-71177.0086530111</v>
      </c>
    </row>
    <row r="15" customFormat="false" ht="15" hidden="false" customHeight="false" outlineLevel="0" collapsed="false">
      <c r="A15" s="6" t="s">
        <v>319</v>
      </c>
      <c r="B15" s="7" t="n">
        <f aca="false">Rechenkern!F54</f>
        <v>-40235.1276175134</v>
      </c>
      <c r="C15" s="7" t="n">
        <f aca="false">Rechenkern!G54</f>
        <v>-34949.0638788259</v>
      </c>
      <c r="D15" s="7" t="n">
        <f aca="false">Rechenkern!C54</f>
        <v>-29750.1996245816</v>
      </c>
      <c r="E15" s="7" t="n">
        <f aca="false">Rechenkern!H54</f>
        <v>-24636.3948275215</v>
      </c>
      <c r="F15" s="7" t="n">
        <f aca="false">Rechenkern!I54</f>
        <v>-25036.6124238468</v>
      </c>
      <c r="G15" s="7" t="n">
        <f aca="false">Rechenkern!J54</f>
        <v>-21182.2649428643</v>
      </c>
      <c r="H15" s="7" t="n">
        <f aca="false">Rechenkern!D54</f>
        <v>-17377.0335556358</v>
      </c>
      <c r="I15" s="7" t="n">
        <f aca="false">Rechenkern!K54</f>
        <v>-13619.9853737544</v>
      </c>
      <c r="J15" s="7" t="n">
        <f aca="false">Rechenkern!L54</f>
        <v>-14719.0230830593</v>
      </c>
      <c r="K15" s="7" t="n">
        <f aca="false">Rechenkern!M54</f>
        <v>-11761.7883516121</v>
      </c>
      <c r="L15" s="7" t="n">
        <f aca="false">Rechenkern!E54</f>
        <v>-8832.71995325012</v>
      </c>
      <c r="M15" s="7" t="n">
        <f aca="false">Rechenkern!N54</f>
        <v>-5931.41738775092</v>
      </c>
    </row>
    <row r="16" customFormat="false" ht="15" hidden="false" customHeight="false" outlineLevel="0" collapsed="false">
      <c r="A16" s="4" t="s">
        <v>17</v>
      </c>
      <c r="B16" s="8" t="n">
        <f aca="false">Rechenkern!F55</f>
        <v>0.181872877431436</v>
      </c>
      <c r="C16" s="8" t="n">
        <f aca="false">Rechenkern!G55</f>
        <v>0.203775706308153</v>
      </c>
      <c r="D16" s="8" t="n">
        <f aca="false">Rechenkern!C55</f>
        <v>0.231154242404051</v>
      </c>
      <c r="E16" s="8" t="n">
        <f aca="false">Rechenkern!H55</f>
        <v>0.26635521738449</v>
      </c>
      <c r="F16" s="8" t="n">
        <f aca="false">Rechenkern!I55</f>
        <v>0.312944410614152</v>
      </c>
      <c r="G16" s="8" t="n">
        <f aca="false">Rechenkern!J55</f>
        <v>0.34996008718565</v>
      </c>
      <c r="H16" s="8" t="n">
        <f aca="false">Rechenkern!D55</f>
        <v>0.396229682900021</v>
      </c>
      <c r="I16" s="8" t="n">
        <f aca="false">Rechenkern!K55</f>
        <v>0.455719163104213</v>
      </c>
      <c r="J16" s="8" t="n">
        <f aca="false">Rechenkern!L55</f>
        <v>0.480835726889247</v>
      </c>
      <c r="K16" s="8" t="n">
        <f aca="false">Rechenkern!M55</f>
        <v>0.53683068758788</v>
      </c>
      <c r="L16" s="8" t="n">
        <f aca="false">Rechenkern!E55</f>
        <v>0.606824388461171</v>
      </c>
      <c r="M16" s="8" t="n">
        <f aca="false">Rechenkern!N55</f>
        <v>0.696816289583974</v>
      </c>
    </row>
    <row r="17" customFormat="false" ht="15" hidden="false" customHeight="false" outlineLevel="0" collapsed="false">
      <c r="A17" s="6" t="s">
        <v>18</v>
      </c>
      <c r="B17" s="9" t="n">
        <f aca="false">Rechenkern!F56</f>
        <v>0.0125492285427691</v>
      </c>
      <c r="C17" s="9" t="n">
        <f aca="false">Rechenkern!G56</f>
        <v>0.0126544713617363</v>
      </c>
      <c r="D17" s="9" t="n">
        <f aca="false">Rechenkern!C56</f>
        <v>0.0127597141807036</v>
      </c>
      <c r="E17" s="9" t="n">
        <f aca="false">Rechenkern!H56</f>
        <v>0.0128649569996709</v>
      </c>
      <c r="F17" s="9" t="n">
        <f aca="false">Rechenkern!I56</f>
        <v>0.0203413866899199</v>
      </c>
      <c r="G17" s="9" t="n">
        <f aca="false">Rechenkern!J56</f>
        <v>0.0204726651003605</v>
      </c>
      <c r="H17" s="9" t="n">
        <f aca="false">Rechenkern!D56</f>
        <v>0.0206039435108011</v>
      </c>
      <c r="I17" s="9" t="n">
        <f aca="false">Rechenkern!K56</f>
        <v>0.0207352219212417</v>
      </c>
      <c r="J17" s="9" t="n">
        <f aca="false">Rechenkern!L56</f>
        <v>0.0293309793402441</v>
      </c>
      <c r="K17" s="9" t="n">
        <f aca="false">Rechenkern!M56</f>
        <v>0.0294720047485746</v>
      </c>
      <c r="L17" s="9" t="n">
        <f aca="false">Rechenkern!E56</f>
        <v>0.0296130301569051</v>
      </c>
      <c r="M17" s="9" t="n">
        <f aca="false">Rechenkern!N56</f>
        <v>0.0297540555652357</v>
      </c>
    </row>
    <row r="18" customFormat="false" ht="15" hidden="false" customHeight="false" outlineLevel="0" collapsed="false">
      <c r="A18" s="4" t="s">
        <v>23</v>
      </c>
      <c r="B18" s="4" t="str">
        <f aca="false">IF(B16&gt;=1.2,"tragfähig",IF(B16&gt;=1,"knapp","nicht tragfähig"))</f>
        <v>nicht tragfähig</v>
      </c>
      <c r="C18" s="4" t="str">
        <f aca="false">IF(C16&gt;=1.2,"tragfähig",IF(C16&gt;=1,"knapp","nicht tragfähig"))</f>
        <v>nicht tragfähig</v>
      </c>
      <c r="D18" s="4" t="str">
        <f aca="false">IF(D16&gt;=1.2,"tragfähig",IF(D16&gt;=1,"knapp","nicht tragfähig"))</f>
        <v>nicht tragfähig</v>
      </c>
      <c r="E18" s="4" t="str">
        <f aca="false">IF(E16&gt;=1.2,"tragfähig",IF(E16&gt;=1,"knapp","nicht tragfähig"))</f>
        <v>nicht tragfähig</v>
      </c>
      <c r="F18" s="4" t="str">
        <f aca="false">IF(F16&gt;=1.2,"tragfähig",IF(F16&gt;=1,"knapp","nicht tragfähig"))</f>
        <v>nicht tragfähig</v>
      </c>
      <c r="G18" s="4" t="str">
        <f aca="false">IF(G16&gt;=1.2,"tragfähig",IF(G16&gt;=1,"knapp","nicht tragfähig"))</f>
        <v>nicht tragfähig</v>
      </c>
      <c r="H18" s="4" t="str">
        <f aca="false">IF(H16&gt;=1.2,"tragfähig",IF(H16&gt;=1,"knapp","nicht tragfähig"))</f>
        <v>nicht tragfähig</v>
      </c>
      <c r="I18" s="4" t="str">
        <f aca="false">IF(I16&gt;=1.2,"tragfähig",IF(I16&gt;=1,"knapp","nicht tragfähig"))</f>
        <v>nicht tragfähig</v>
      </c>
      <c r="J18" s="4" t="str">
        <f aca="false">IF(J16&gt;=1.2,"tragfähig",IF(J16&gt;=1,"knapp","nicht tragfähig"))</f>
        <v>nicht tragfähig</v>
      </c>
      <c r="K18" s="4" t="str">
        <f aca="false">IF(K16&gt;=1.2,"tragfähig",IF(K16&gt;=1,"knapp","nicht tragfähig"))</f>
        <v>nicht tragfähig</v>
      </c>
      <c r="L18" s="4" t="str">
        <f aca="false">IF(L16&gt;=1.2,"tragfähig",IF(L16&gt;=1,"knapp","nicht tragfähig"))</f>
        <v>nicht tragfähig</v>
      </c>
      <c r="M18" s="4" t="str">
        <f aca="false">IF(M16&gt;=1.2,"tragfähig",IF(M16&gt;=1,"knapp","nicht tragfähig"))</f>
        <v>nicht tragfähig</v>
      </c>
    </row>
    <row r="20" customFormat="false" ht="15" hidden="false" customHeight="false" outlineLevel="0" collapsed="false">
      <c r="A20" s="4" t="s">
        <v>320</v>
      </c>
      <c r="B20" s="7" t="n">
        <f aca="false">Rechenkern!O37</f>
        <v>292236.501757226</v>
      </c>
      <c r="C20" s="6" t="s">
        <v>321</v>
      </c>
      <c r="D20" s="10" t="n">
        <f aca="false">Rechenkern!O55</f>
        <v>0.468271443427298</v>
      </c>
    </row>
    <row r="21" customFormat="false" ht="15" hidden="false" customHeight="false" outlineLevel="0" collapsed="false">
      <c r="A21" s="4" t="s">
        <v>322</v>
      </c>
      <c r="B21" s="7" t="n">
        <f aca="false">Rechenkern!D61</f>
        <v>1754436.00641026</v>
      </c>
      <c r="C21" s="6" t="s">
        <v>323</v>
      </c>
      <c r="D21" s="7" t="n">
        <f aca="false">Rechenkern!D63</f>
        <v>4671541.02697837</v>
      </c>
      <c r="E21" s="6" t="s">
        <v>324</v>
      </c>
      <c r="F21" s="9" t="n">
        <f aca="false">Rechenkern!D62</f>
        <v>0.726977547959725</v>
      </c>
    </row>
    <row r="22" customFormat="false" ht="15" hidden="false" customHeight="false" outlineLevel="0" collapsed="false">
      <c r="A22" s="6" t="s">
        <v>325</v>
      </c>
      <c r="B22" s="10" t="n">
        <f aca="false">Rechenkern!D57</f>
        <v>31.5686445906882</v>
      </c>
      <c r="C22" s="10" t="n">
        <f aca="false">Rechenkern!D58</f>
        <v>38.5476708839597</v>
      </c>
    </row>
    <row r="23" customFormat="false" ht="15" hidden="false" customHeight="false" outlineLevel="0" collapsed="false">
      <c r="A23" s="6" t="s">
        <v>326</v>
      </c>
      <c r="B23" s="10" t="n">
        <f aca="false">Rechenkern!D59</f>
        <v>2.32014309972856</v>
      </c>
      <c r="C23" s="10" t="n">
        <f aca="false">Rechenkern!D60</f>
        <v>2.75744286831256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2" style="0" width="15"/>
  </cols>
  <sheetData>
    <row r="1" customFormat="false" ht="19.7" hidden="false" customHeight="false" outlineLevel="0" collapsed="false">
      <c r="A1" s="1" t="s">
        <v>327</v>
      </c>
    </row>
    <row r="2" customFormat="false" ht="15" hidden="false" customHeight="false" outlineLevel="0" collapsed="false">
      <c r="A2" s="2" t="s">
        <v>328</v>
      </c>
    </row>
    <row r="4" customFormat="false" ht="23.85" hidden="false" customHeight="false" outlineLevel="0" collapsed="false">
      <c r="A4" s="3" t="s">
        <v>303</v>
      </c>
      <c r="B4" s="3" t="s">
        <v>310</v>
      </c>
      <c r="C4" s="3" t="s">
        <v>329</v>
      </c>
      <c r="D4" s="3" t="s">
        <v>330</v>
      </c>
      <c r="E4" s="3" t="s">
        <v>331</v>
      </c>
      <c r="F4" s="3" t="s">
        <v>332</v>
      </c>
      <c r="G4" s="3" t="s">
        <v>333</v>
      </c>
      <c r="H4" s="3" t="s">
        <v>334</v>
      </c>
      <c r="I4" s="3" t="s">
        <v>335</v>
      </c>
      <c r="J4" s="3" t="s">
        <v>336</v>
      </c>
    </row>
    <row r="5" customFormat="false" ht="15" hidden="false" customHeight="false" outlineLevel="0" collapsed="false">
      <c r="A5" s="6" t="s">
        <v>7</v>
      </c>
      <c r="B5" s="7" t="n">
        <f aca="false">Rechenkern!D31</f>
        <v>6641738.67630058</v>
      </c>
      <c r="C5" s="7" t="n">
        <f aca="false">Rechenkern!P31</f>
        <v>7246532.30641093</v>
      </c>
      <c r="D5" s="7" t="n">
        <f aca="false">Rechenkern!Q31</f>
        <v>7851325.93652128</v>
      </c>
      <c r="E5" s="7" t="n">
        <f aca="false">Rechenkern!R31</f>
        <v>6705161.11458886</v>
      </c>
      <c r="F5" s="7" t="n">
        <f aca="false">Rechenkern!S31</f>
        <v>6769806.48152116</v>
      </c>
      <c r="G5" s="7" t="n">
        <f aca="false">Rechenkern!T31</f>
        <v>6641738.67630058</v>
      </c>
      <c r="H5" s="7" t="n">
        <f aca="false">Rechenkern!U31</f>
        <v>6641738.67630058</v>
      </c>
      <c r="I5" s="7" t="n">
        <f aca="false">Rechenkern!V31</f>
        <v>6641738.67630058</v>
      </c>
      <c r="J5" s="7" t="n">
        <f aca="false">Rechenkern!O31</f>
        <v>6641738.67630058</v>
      </c>
    </row>
    <row r="6" customFormat="false" ht="15" hidden="false" customHeight="false" outlineLevel="0" collapsed="false">
      <c r="A6" s="6" t="s">
        <v>9</v>
      </c>
      <c r="B6" s="7" t="n">
        <f aca="false">Rechenkern!D33</f>
        <v>5313390.94104046</v>
      </c>
      <c r="C6" s="7" t="n">
        <f aca="false">Rechenkern!P33</f>
        <v>5797225.84512875</v>
      </c>
      <c r="D6" s="7" t="n">
        <f aca="false">Rechenkern!Q33</f>
        <v>6281060.74921703</v>
      </c>
      <c r="E6" s="7" t="n">
        <f aca="false">Rechenkern!R33</f>
        <v>5364128.89167109</v>
      </c>
      <c r="F6" s="7" t="n">
        <f aca="false">Rechenkern!S33</f>
        <v>5415845.18521693</v>
      </c>
      <c r="G6" s="7" t="n">
        <f aca="false">Rechenkern!T33</f>
        <v>5313390.94104046</v>
      </c>
      <c r="H6" s="7" t="n">
        <f aca="false">Rechenkern!U33</f>
        <v>5313390.94104046</v>
      </c>
      <c r="I6" s="7" t="n">
        <f aca="false">Rechenkern!V33</f>
        <v>5313390.94104046</v>
      </c>
      <c r="J6" s="7" t="n">
        <f aca="false">Rechenkern!O33</f>
        <v>5313390.94104046</v>
      </c>
    </row>
    <row r="7" customFormat="false" ht="15" hidden="false" customHeight="false" outlineLevel="0" collapsed="false">
      <c r="A7" s="6" t="s">
        <v>12</v>
      </c>
      <c r="B7" s="7" t="n">
        <f aca="false">Rechenkern!D37</f>
        <v>345370.41116763</v>
      </c>
      <c r="C7" s="7" t="n">
        <f aca="false">Rechenkern!P37</f>
        <v>376819.679933368</v>
      </c>
      <c r="D7" s="7" t="n">
        <f aca="false">Rechenkern!Q37</f>
        <v>408268.948699107</v>
      </c>
      <c r="E7" s="7" t="n">
        <f aca="false">Rechenkern!R37</f>
        <v>402309.666875332</v>
      </c>
      <c r="F7" s="7" t="n">
        <f aca="false">Rechenkern!S37</f>
        <v>460346.840743439</v>
      </c>
      <c r="G7" s="7" t="n">
        <f aca="false">Rechenkern!T37</f>
        <v>345370.41116763</v>
      </c>
      <c r="H7" s="7" t="n">
        <f aca="false">Rechenkern!U37</f>
        <v>345370.41116763</v>
      </c>
      <c r="I7" s="7" t="n">
        <f aca="false">Rechenkern!V37</f>
        <v>345370.41116763</v>
      </c>
      <c r="J7" s="7" t="n">
        <f aca="false">Rechenkern!O37</f>
        <v>292236.501757226</v>
      </c>
    </row>
    <row r="8" customFormat="false" ht="15" hidden="false" customHeight="false" outlineLevel="0" collapsed="false">
      <c r="A8" s="6" t="s">
        <v>15</v>
      </c>
      <c r="B8" s="7" t="n">
        <f aca="false">Rechenkern!D52</f>
        <v>136846.0085</v>
      </c>
      <c r="C8" s="7" t="n">
        <f aca="false">Rechenkern!P52</f>
        <v>136846.0085</v>
      </c>
      <c r="D8" s="7" t="n">
        <f aca="false">Rechenkern!Q52</f>
        <v>136846.0085</v>
      </c>
      <c r="E8" s="7" t="n">
        <f aca="false">Rechenkern!R52</f>
        <v>136846.0085</v>
      </c>
      <c r="F8" s="7" t="n">
        <f aca="false">Rechenkern!S52</f>
        <v>136846.0085</v>
      </c>
      <c r="G8" s="7" t="n">
        <f aca="false">Rechenkern!T52</f>
        <v>128555.6255</v>
      </c>
      <c r="H8" s="7" t="n">
        <f aca="false">Rechenkern!U52</f>
        <v>120265.2425</v>
      </c>
      <c r="I8" s="7" t="n">
        <f aca="false">Rechenkern!V52</f>
        <v>121050.41765</v>
      </c>
      <c r="J8" s="7" t="n">
        <f aca="false">Rechenkern!O52</f>
        <v>136846.0085</v>
      </c>
    </row>
    <row r="9" customFormat="false" ht="15" hidden="false" customHeight="false" outlineLevel="0" collapsed="false">
      <c r="A9" s="6" t="s">
        <v>337</v>
      </c>
      <c r="B9" s="7" t="n">
        <f aca="false">Rechenkern!D53</f>
        <v>-208524.40266763</v>
      </c>
      <c r="C9" s="7" t="n">
        <f aca="false">Rechenkern!P53</f>
        <v>-239973.671433368</v>
      </c>
      <c r="D9" s="7" t="n">
        <f aca="false">Rechenkern!Q53</f>
        <v>-271422.940199107</v>
      </c>
      <c r="E9" s="7" t="n">
        <f aca="false">Rechenkern!R53</f>
        <v>-265463.658375332</v>
      </c>
      <c r="F9" s="7" t="n">
        <f aca="false">Rechenkern!S53</f>
        <v>-323500.832243439</v>
      </c>
      <c r="G9" s="7" t="n">
        <f aca="false">Rechenkern!T53</f>
        <v>-216814.78566763</v>
      </c>
      <c r="H9" s="7" t="n">
        <f aca="false">Rechenkern!U53</f>
        <v>-225105.16866763</v>
      </c>
      <c r="I9" s="7" t="n">
        <f aca="false">Rechenkern!V53</f>
        <v>-224319.99351763</v>
      </c>
      <c r="J9" s="7" t="n">
        <f aca="false">Rechenkern!O53</f>
        <v>-155390.493257226</v>
      </c>
    </row>
    <row r="10" customFormat="false" ht="15" hidden="false" customHeight="false" outlineLevel="0" collapsed="false">
      <c r="A10" s="4" t="s">
        <v>17</v>
      </c>
      <c r="B10" s="8" t="n">
        <f aca="false">Rechenkern!D55</f>
        <v>0.396229682900021</v>
      </c>
      <c r="C10" s="8" t="n">
        <f aca="false">Rechenkern!P55</f>
        <v>0.363160460526366</v>
      </c>
      <c r="D10" s="8" t="n">
        <f aca="false">Rechenkern!Q55</f>
        <v>0.335185933037624</v>
      </c>
      <c r="E10" s="8" t="n">
        <f aca="false">Rechenkern!R55</f>
        <v>0.340150932894203</v>
      </c>
      <c r="F10" s="8" t="n">
        <f aca="false">Rechenkern!S55</f>
        <v>0.297267182889753</v>
      </c>
      <c r="G10" s="8" t="n">
        <f aca="false">Rechenkern!T55</f>
        <v>0.372225359622958</v>
      </c>
      <c r="H10" s="8" t="n">
        <f aca="false">Rechenkern!U55</f>
        <v>0.348221036345895</v>
      </c>
      <c r="I10" s="8" t="n">
        <f aca="false">Rechenkern!V55</f>
        <v>0.350494465466084</v>
      </c>
      <c r="J10" s="8" t="n">
        <f aca="false">Rechenkern!O55</f>
        <v>0.468271443427298</v>
      </c>
    </row>
    <row r="11" customFormat="false" ht="15" hidden="false" customHeight="false" outlineLevel="0" collapsed="false">
      <c r="A11" s="6" t="s">
        <v>338</v>
      </c>
      <c r="B11" s="10" t="n">
        <f aca="false">Rechenkern!D57</f>
        <v>31.5686445906882</v>
      </c>
      <c r="C11" s="10" t="n">
        <f aca="false">Rechenkern!P57</f>
        <v>34.7461790076959</v>
      </c>
      <c r="D11" s="10" t="n">
        <f aca="false">Rechenkern!Q57</f>
        <v>37.9237134247036</v>
      </c>
      <c r="E11" s="10" t="n">
        <f aca="false">Rechenkern!R57</f>
        <v>37.3216064810814</v>
      </c>
      <c r="F11" s="10" t="n">
        <f aca="false">Rechenkern!S57</f>
        <v>43.1854985418303</v>
      </c>
      <c r="G11" s="10" t="n">
        <f aca="false">Rechenkern!T57</f>
        <v>33.5904017751591</v>
      </c>
      <c r="H11" s="10" t="n">
        <f aca="false">Rechenkern!U57</f>
        <v>35.8432169235696</v>
      </c>
      <c r="I11" s="10" t="n">
        <f aca="false">Rechenkern!V57</f>
        <v>32.1145810156879</v>
      </c>
      <c r="J11" s="10" t="n">
        <f aca="false">Rechenkern!O57</f>
        <v>26.2001628266332</v>
      </c>
    </row>
    <row r="14" customFormat="false" ht="15" hidden="false" customHeight="false" outlineLevel="0" collapsed="false">
      <c r="A14" s="12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2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340</v>
      </c>
    </row>
    <row r="2" customFormat="false" ht="15" hidden="false" customHeight="false" outlineLevel="0" collapsed="false">
      <c r="A2" s="2" t="s">
        <v>341</v>
      </c>
    </row>
    <row r="4" customFormat="false" ht="23.85" hidden="false" customHeight="false" outlineLevel="0" collapsed="false">
      <c r="A4" s="3" t="s">
        <v>342</v>
      </c>
      <c r="B4" s="3" t="s">
        <v>343</v>
      </c>
      <c r="C4" s="3" t="s">
        <v>344</v>
      </c>
      <c r="D4" s="3" t="s">
        <v>345</v>
      </c>
      <c r="E4" s="3" t="s">
        <v>346</v>
      </c>
      <c r="F4" s="3" t="s">
        <v>347</v>
      </c>
    </row>
    <row r="5" customFormat="false" ht="150" hidden="false" customHeight="true" outlineLevel="0" collapsed="false">
      <c r="A5" s="17" t="s">
        <v>348</v>
      </c>
      <c r="B5" s="17" t="s">
        <v>349</v>
      </c>
      <c r="C5" s="17" t="s">
        <v>350</v>
      </c>
      <c r="D5" s="17" t="s">
        <v>351</v>
      </c>
      <c r="E5" s="27" t="n">
        <f aca="false">Rechenkern!D65</f>
        <v>2400000</v>
      </c>
      <c r="F5" s="17" t="s">
        <v>352</v>
      </c>
    </row>
    <row r="6" customFormat="false" ht="150" hidden="false" customHeight="true" outlineLevel="0" collapsed="false">
      <c r="A6" s="17" t="s">
        <v>353</v>
      </c>
      <c r="B6" s="17" t="s">
        <v>354</v>
      </c>
      <c r="C6" s="17" t="s">
        <v>355</v>
      </c>
      <c r="D6" s="17" t="s">
        <v>351</v>
      </c>
      <c r="E6" s="17" t="s">
        <v>356</v>
      </c>
      <c r="F6" s="17" t="s">
        <v>357</v>
      </c>
    </row>
    <row r="7" customFormat="false" ht="150" hidden="false" customHeight="true" outlineLevel="0" collapsed="false">
      <c r="A7" s="17" t="s">
        <v>358</v>
      </c>
      <c r="B7" s="17" t="s">
        <v>359</v>
      </c>
      <c r="C7" s="17" t="s">
        <v>360</v>
      </c>
      <c r="D7" s="17" t="s">
        <v>351</v>
      </c>
      <c r="E7" s="27" t="n">
        <f aca="false">Rechenkern!D66</f>
        <v>756000</v>
      </c>
      <c r="F7" s="17" t="s">
        <v>361</v>
      </c>
    </row>
    <row r="8" customFormat="false" ht="150" hidden="false" customHeight="true" outlineLevel="0" collapsed="false">
      <c r="A8" s="17" t="s">
        <v>362</v>
      </c>
      <c r="B8" s="17" t="s">
        <v>363</v>
      </c>
      <c r="C8" s="17" t="s">
        <v>364</v>
      </c>
      <c r="D8" s="17" t="s">
        <v>351</v>
      </c>
      <c r="E8" s="27" t="n">
        <f aca="false">Rechenkern!D71</f>
        <v>1803522.76</v>
      </c>
      <c r="F8" s="17" t="s">
        <v>365</v>
      </c>
    </row>
    <row r="9" customFormat="false" ht="150" hidden="false" customHeight="true" outlineLevel="0" collapsed="false">
      <c r="A9" s="17" t="s">
        <v>366</v>
      </c>
      <c r="B9" s="17" t="s">
        <v>367</v>
      </c>
      <c r="C9" s="17" t="s">
        <v>368</v>
      </c>
      <c r="D9" s="17" t="s">
        <v>351</v>
      </c>
      <c r="E9" s="17" t="s">
        <v>215</v>
      </c>
      <c r="F9" s="17" t="s">
        <v>369</v>
      </c>
    </row>
    <row r="11" customFormat="false" ht="15" hidden="false" customHeight="false" outlineLevel="0" collapsed="false">
      <c r="A11" s="4" t="s">
        <v>370</v>
      </c>
    </row>
    <row r="12" customFormat="false" ht="23.85" hidden="false" customHeight="false" outlineLevel="0" collapsed="false">
      <c r="A12" s="3" t="s">
        <v>303</v>
      </c>
      <c r="B12" s="3" t="s">
        <v>371</v>
      </c>
      <c r="C12" s="3" t="s">
        <v>372</v>
      </c>
      <c r="D12" s="3" t="s">
        <v>373</v>
      </c>
      <c r="E12" s="3"/>
      <c r="F12" s="3" t="s">
        <v>204</v>
      </c>
    </row>
    <row r="13" customFormat="false" ht="15" hidden="false" customHeight="false" outlineLevel="0" collapsed="false">
      <c r="A13" s="6" t="s">
        <v>9</v>
      </c>
      <c r="B13" s="7" t="n">
        <f aca="false">Rechenkern!D33</f>
        <v>5313390.94104046</v>
      </c>
      <c r="C13" s="7" t="n">
        <f aca="false">Rechenkern!D33</f>
        <v>5313390.94104046</v>
      </c>
      <c r="D13" s="7" t="n">
        <f aca="false">Rechenkern!D72</f>
        <v>3509868.18104046</v>
      </c>
    </row>
    <row r="14" customFormat="false" ht="15" hidden="false" customHeight="false" outlineLevel="0" collapsed="false">
      <c r="A14" s="6" t="s">
        <v>374</v>
      </c>
      <c r="B14" s="7" t="n">
        <v>0</v>
      </c>
      <c r="C14" s="7" t="n">
        <f aca="false">Rechenkern!D65+Rechenkern!D66</f>
        <v>3156000</v>
      </c>
      <c r="D14" s="7" t="n">
        <v>0</v>
      </c>
    </row>
    <row r="15" customFormat="false" ht="15" hidden="false" customHeight="false" outlineLevel="0" collapsed="false">
      <c r="A15" s="6" t="s">
        <v>12</v>
      </c>
      <c r="B15" s="7" t="n">
        <f aca="false">Rechenkern!D37</f>
        <v>345370.41116763</v>
      </c>
      <c r="C15" s="7" t="n">
        <f aca="false">Rechenkern!D68</f>
        <v>301054.41116763</v>
      </c>
      <c r="D15" s="7" t="n">
        <f aca="false">Rechenkern!D74</f>
        <v>228141.43176763</v>
      </c>
    </row>
    <row r="16" customFormat="false" ht="15" hidden="false" customHeight="false" outlineLevel="0" collapsed="false">
      <c r="A16" s="6" t="s">
        <v>15</v>
      </c>
      <c r="B16" s="7" t="n">
        <f aca="false">Rechenkern!D52</f>
        <v>136846.0085</v>
      </c>
      <c r="C16" s="7" t="n">
        <f aca="false">Rechenkern!D52</f>
        <v>136846.0085</v>
      </c>
      <c r="D16" s="7" t="n">
        <f aca="false">Rechenkern!D73</f>
        <v>110123.0798</v>
      </c>
      <c r="F16" s="12" t="s">
        <v>375</v>
      </c>
    </row>
    <row r="17" customFormat="false" ht="15" hidden="false" customHeight="false" outlineLevel="0" collapsed="false">
      <c r="A17" s="4" t="s">
        <v>17</v>
      </c>
      <c r="B17" s="8" t="n">
        <f aca="false">Rechenkern!D55</f>
        <v>0.396229682900021</v>
      </c>
      <c r="C17" s="8" t="n">
        <f aca="false">Rechenkern!D69</f>
        <v>0.454555732863196</v>
      </c>
      <c r="D17" s="8" t="n">
        <f aca="false">Rechenkern!D75</f>
        <v>0.4826965402416</v>
      </c>
    </row>
    <row r="18" customFormat="false" ht="15" hidden="false" customHeight="false" outlineLevel="0" collapsed="false">
      <c r="A18" s="6" t="s">
        <v>376</v>
      </c>
      <c r="B18" s="10" t="n">
        <f aca="false">Annahmen!E40</f>
        <v>3</v>
      </c>
      <c r="C18" s="10" t="n">
        <f aca="false">Annahmen!E41</f>
        <v>3.4</v>
      </c>
    </row>
    <row r="20" customFormat="false" ht="15" hidden="false" customHeight="false" outlineLevel="0" collapsed="false">
      <c r="A20" s="4" t="s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378</v>
      </c>
    </row>
    <row r="2" customFormat="false" ht="15" hidden="false" customHeight="false" outlineLevel="0" collapsed="false">
      <c r="A2" s="2" t="s">
        <v>379</v>
      </c>
    </row>
    <row r="4" customFormat="false" ht="15" hidden="false" customHeight="false" outlineLevel="0" collapsed="false">
      <c r="A4" s="3" t="s">
        <v>380</v>
      </c>
      <c r="B4" s="3" t="s">
        <v>381</v>
      </c>
      <c r="C4" s="3" t="s">
        <v>382</v>
      </c>
    </row>
    <row r="5" customFormat="false" ht="79.5" hidden="false" customHeight="true" outlineLevel="0" collapsed="false">
      <c r="A5" s="17" t="s">
        <v>383</v>
      </c>
      <c r="B5" s="17" t="s">
        <v>384</v>
      </c>
      <c r="C5" s="17" t="s">
        <v>385</v>
      </c>
    </row>
    <row r="6" customFormat="false" ht="79.5" hidden="false" customHeight="true" outlineLevel="0" collapsed="false">
      <c r="A6" s="17" t="s">
        <v>386</v>
      </c>
      <c r="B6" s="17" t="s">
        <v>387</v>
      </c>
      <c r="C6" s="17" t="s">
        <v>388</v>
      </c>
    </row>
    <row r="7" customFormat="false" ht="79.5" hidden="false" customHeight="true" outlineLevel="0" collapsed="false">
      <c r="A7" s="17" t="s">
        <v>389</v>
      </c>
      <c r="B7" s="17" t="s">
        <v>390</v>
      </c>
      <c r="C7" s="17" t="s">
        <v>391</v>
      </c>
    </row>
    <row r="8" customFormat="false" ht="79.5" hidden="false" customHeight="true" outlineLevel="0" collapsed="false">
      <c r="A8" s="17" t="s">
        <v>392</v>
      </c>
      <c r="B8" s="17" t="s">
        <v>393</v>
      </c>
      <c r="C8" s="17" t="s">
        <v>394</v>
      </c>
    </row>
    <row r="9" customFormat="false" ht="79.5" hidden="false" customHeight="true" outlineLevel="0" collapsed="false">
      <c r="A9" s="17" t="s">
        <v>395</v>
      </c>
      <c r="B9" s="17" t="s">
        <v>396</v>
      </c>
      <c r="C9" s="17" t="s">
        <v>397</v>
      </c>
    </row>
    <row r="10" customFormat="false" ht="79.5" hidden="false" customHeight="true" outlineLevel="0" collapsed="false">
      <c r="A10" s="17" t="s">
        <v>398</v>
      </c>
      <c r="B10" s="17" t="s">
        <v>399</v>
      </c>
      <c r="C10" s="17" t="s">
        <v>400</v>
      </c>
    </row>
    <row r="11" customFormat="false" ht="79.5" hidden="false" customHeight="true" outlineLevel="0" collapsed="false">
      <c r="A11" s="17" t="s">
        <v>401</v>
      </c>
      <c r="B11" s="17" t="s">
        <v>402</v>
      </c>
      <c r="C11" s="17" t="s">
        <v>403</v>
      </c>
    </row>
    <row r="12" customFormat="false" ht="79.5" hidden="false" customHeight="true" outlineLevel="0" collapsed="false">
      <c r="A12" s="17" t="s">
        <v>404</v>
      </c>
      <c r="B12" s="17" t="s">
        <v>405</v>
      </c>
      <c r="C12" s="17" t="s">
        <v>406</v>
      </c>
    </row>
    <row r="13" customFormat="false" ht="79.5" hidden="false" customHeight="true" outlineLevel="0" collapsed="false">
      <c r="A13" s="17" t="s">
        <v>407</v>
      </c>
      <c r="B13" s="17" t="s">
        <v>408</v>
      </c>
      <c r="C13" s="17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22" min="3" style="0" width="14"/>
  </cols>
  <sheetData>
    <row r="1" customFormat="false" ht="19.7" hidden="false" customHeight="false" outlineLevel="0" collapsed="false">
      <c r="A1" s="1" t="s">
        <v>410</v>
      </c>
    </row>
    <row r="2" customFormat="false" ht="15" hidden="false" customHeight="false" outlineLevel="0" collapsed="false">
      <c r="A2" s="2" t="s">
        <v>411</v>
      </c>
    </row>
    <row r="4" customFormat="false" ht="23.85" hidden="false" customHeight="false" outlineLevel="0" collapsed="false">
      <c r="A4" s="3" t="s">
        <v>303</v>
      </c>
      <c r="B4" s="3" t="s">
        <v>29</v>
      </c>
      <c r="C4" s="3" t="s">
        <v>306</v>
      </c>
      <c r="D4" s="3" t="s">
        <v>310</v>
      </c>
      <c r="E4" s="3" t="s">
        <v>314</v>
      </c>
      <c r="F4" s="3" t="s">
        <v>304</v>
      </c>
      <c r="G4" s="3" t="s">
        <v>305</v>
      </c>
      <c r="H4" s="3" t="s">
        <v>307</v>
      </c>
      <c r="I4" s="3" t="s">
        <v>308</v>
      </c>
      <c r="J4" s="3" t="s">
        <v>309</v>
      </c>
      <c r="K4" s="3" t="s">
        <v>311</v>
      </c>
      <c r="L4" s="3" t="s">
        <v>312</v>
      </c>
      <c r="M4" s="3" t="s">
        <v>313</v>
      </c>
      <c r="N4" s="3" t="s">
        <v>315</v>
      </c>
      <c r="O4" s="3" t="s">
        <v>336</v>
      </c>
      <c r="P4" s="3" t="s">
        <v>329</v>
      </c>
      <c r="Q4" s="3" t="s">
        <v>330</v>
      </c>
      <c r="R4" s="3" t="s">
        <v>331</v>
      </c>
      <c r="S4" s="3" t="s">
        <v>332</v>
      </c>
      <c r="T4" s="3" t="s">
        <v>333</v>
      </c>
      <c r="U4" s="3" t="s">
        <v>334</v>
      </c>
      <c r="V4" s="3" t="s">
        <v>335</v>
      </c>
    </row>
    <row r="5" customFormat="false" ht="15" hidden="false" customHeight="false" outlineLevel="0" collapsed="false">
      <c r="A5" s="6" t="s">
        <v>412</v>
      </c>
      <c r="B5" s="12"/>
      <c r="C5" s="18" t="n">
        <v>1</v>
      </c>
      <c r="D5" s="18" t="n">
        <v>2</v>
      </c>
      <c r="E5" s="18" t="n">
        <v>3</v>
      </c>
      <c r="F5" s="18" t="n">
        <v>1</v>
      </c>
      <c r="G5" s="18" t="n">
        <v>1</v>
      </c>
      <c r="H5" s="18" t="n">
        <v>1</v>
      </c>
      <c r="I5" s="18" t="n">
        <v>2</v>
      </c>
      <c r="J5" s="18" t="n">
        <v>2</v>
      </c>
      <c r="K5" s="18" t="n">
        <v>2</v>
      </c>
      <c r="L5" s="18" t="n">
        <v>3</v>
      </c>
      <c r="M5" s="18" t="n">
        <v>3</v>
      </c>
      <c r="N5" s="18" t="n">
        <v>3</v>
      </c>
      <c r="O5" s="18" t="n">
        <v>2</v>
      </c>
      <c r="P5" s="18" t="n">
        <v>2</v>
      </c>
      <c r="Q5" s="18" t="n">
        <v>2</v>
      </c>
      <c r="R5" s="18" t="n">
        <v>2</v>
      </c>
      <c r="S5" s="18" t="n">
        <v>2</v>
      </c>
      <c r="T5" s="18" t="n">
        <v>2</v>
      </c>
      <c r="U5" s="18" t="n">
        <v>2</v>
      </c>
      <c r="V5" s="18" t="n">
        <v>2</v>
      </c>
    </row>
    <row r="6" customFormat="false" ht="15" hidden="false" customHeight="false" outlineLevel="0" collapsed="false">
      <c r="A6" s="6" t="s">
        <v>413</v>
      </c>
      <c r="B6" s="12" t="s">
        <v>67</v>
      </c>
      <c r="C6" s="28" t="n">
        <v>0.2</v>
      </c>
      <c r="D6" s="28" t="n">
        <v>0.2</v>
      </c>
      <c r="E6" s="28" t="n">
        <v>0.2</v>
      </c>
      <c r="F6" s="28" t="n">
        <v>0</v>
      </c>
      <c r="G6" s="28" t="n">
        <v>0.1</v>
      </c>
      <c r="H6" s="28" t="n">
        <v>0.3</v>
      </c>
      <c r="I6" s="28" t="n">
        <v>0</v>
      </c>
      <c r="J6" s="28" t="n">
        <v>0.1</v>
      </c>
      <c r="K6" s="28" t="n">
        <v>0.3</v>
      </c>
      <c r="L6" s="28" t="n">
        <v>0</v>
      </c>
      <c r="M6" s="28" t="n">
        <v>0.1</v>
      </c>
      <c r="N6" s="28" t="n">
        <v>0.3</v>
      </c>
      <c r="O6" s="28" t="n">
        <v>0.2</v>
      </c>
      <c r="P6" s="28" t="n">
        <v>0.2</v>
      </c>
      <c r="Q6" s="28" t="n">
        <v>0.2</v>
      </c>
      <c r="R6" s="28" t="n">
        <v>0.2</v>
      </c>
      <c r="S6" s="28" t="n">
        <v>0.2</v>
      </c>
      <c r="T6" s="28" t="n">
        <v>0.2</v>
      </c>
      <c r="U6" s="28" t="n">
        <v>0.2</v>
      </c>
      <c r="V6" s="28" t="n">
        <v>0.2</v>
      </c>
    </row>
    <row r="7" customFormat="false" ht="15" hidden="false" customHeight="false" outlineLevel="0" collapsed="false">
      <c r="A7" s="6" t="s">
        <v>414</v>
      </c>
      <c r="B7" s="12"/>
      <c r="C7" s="20" t="n">
        <v>1</v>
      </c>
      <c r="D7" s="20" t="n">
        <v>1</v>
      </c>
      <c r="E7" s="20" t="n">
        <v>1</v>
      </c>
      <c r="F7" s="20" t="n">
        <v>1</v>
      </c>
      <c r="G7" s="20" t="n">
        <v>1</v>
      </c>
      <c r="H7" s="20" t="n">
        <v>1</v>
      </c>
      <c r="I7" s="20" t="n">
        <v>1</v>
      </c>
      <c r="J7" s="20" t="n">
        <v>1</v>
      </c>
      <c r="K7" s="20" t="n">
        <v>1</v>
      </c>
      <c r="L7" s="20" t="n">
        <v>1</v>
      </c>
      <c r="M7" s="20" t="n">
        <v>1</v>
      </c>
      <c r="N7" s="20" t="n">
        <v>1</v>
      </c>
      <c r="O7" s="20" t="n">
        <v>1</v>
      </c>
      <c r="P7" s="20" t="n">
        <v>1.1</v>
      </c>
      <c r="Q7" s="20" t="n">
        <v>1.2</v>
      </c>
      <c r="R7" s="20" t="n">
        <v>1</v>
      </c>
      <c r="S7" s="20" t="n">
        <v>1</v>
      </c>
      <c r="T7" s="20" t="n">
        <v>1</v>
      </c>
      <c r="U7" s="20" t="n">
        <v>1</v>
      </c>
      <c r="V7" s="20" t="n">
        <v>1</v>
      </c>
    </row>
    <row r="8" customFormat="false" ht="15" hidden="false" customHeight="false" outlineLevel="0" collapsed="false">
      <c r="A8" s="6" t="s">
        <v>415</v>
      </c>
      <c r="B8" s="12" t="s">
        <v>416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1</v>
      </c>
      <c r="S8" s="22" t="n">
        <v>2</v>
      </c>
      <c r="T8" s="22" t="n">
        <v>0</v>
      </c>
      <c r="U8" s="22" t="n">
        <v>0</v>
      </c>
      <c r="V8" s="22" t="n">
        <v>0</v>
      </c>
    </row>
    <row r="9" customFormat="false" ht="15" hidden="false" customHeight="false" outlineLevel="0" collapsed="false">
      <c r="A9" s="6" t="s">
        <v>417</v>
      </c>
      <c r="B9" s="12" t="s">
        <v>416</v>
      </c>
      <c r="C9" s="22" t="n">
        <v>0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5</v>
      </c>
      <c r="U9" s="22" t="n">
        <v>10</v>
      </c>
      <c r="V9" s="22" t="n">
        <v>0</v>
      </c>
    </row>
    <row r="10" customFormat="false" ht="15" hidden="false" customHeight="false" outlineLevel="0" collapsed="false">
      <c r="A10" s="6" t="s">
        <v>418</v>
      </c>
      <c r="B10" s="12"/>
      <c r="C10" s="20" t="n">
        <v>1</v>
      </c>
      <c r="D10" s="20" t="n">
        <v>1</v>
      </c>
      <c r="E10" s="20" t="n">
        <v>1</v>
      </c>
      <c r="F10" s="20" t="n">
        <v>1</v>
      </c>
      <c r="G10" s="20" t="n">
        <v>1</v>
      </c>
      <c r="H10" s="20" t="n">
        <v>1</v>
      </c>
      <c r="I10" s="20" t="n">
        <v>1</v>
      </c>
      <c r="J10" s="20" t="n">
        <v>1</v>
      </c>
      <c r="K10" s="20" t="n">
        <v>1</v>
      </c>
      <c r="L10" s="20" t="n">
        <v>1</v>
      </c>
      <c r="M10" s="20" t="n">
        <v>1</v>
      </c>
      <c r="N10" s="20" t="n">
        <v>1</v>
      </c>
      <c r="O10" s="20" t="n">
        <v>1</v>
      </c>
      <c r="P10" s="20" t="n">
        <v>1</v>
      </c>
      <c r="Q10" s="20" t="n">
        <v>1</v>
      </c>
      <c r="R10" s="20" t="n">
        <v>1</v>
      </c>
      <c r="S10" s="20" t="n">
        <v>1</v>
      </c>
      <c r="T10" s="20" t="n">
        <v>1</v>
      </c>
      <c r="U10" s="20" t="n">
        <v>1</v>
      </c>
      <c r="V10" s="20" t="n">
        <v>0.9</v>
      </c>
    </row>
    <row r="11" customFormat="false" ht="15" hidden="false" customHeight="false" outlineLevel="0" collapsed="false">
      <c r="A11" s="6" t="s">
        <v>419</v>
      </c>
      <c r="B11" s="12" t="s">
        <v>67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 t="n">
        <v>1</v>
      </c>
      <c r="P11" s="22"/>
      <c r="Q11" s="22"/>
      <c r="R11" s="22"/>
      <c r="S11" s="22"/>
      <c r="T11" s="22"/>
      <c r="U11" s="22"/>
      <c r="V11" s="22"/>
    </row>
    <row r="12" customFormat="false" ht="15" hidden="false" customHeight="false" outlineLevel="0" collapsed="false">
      <c r="A12" s="6" t="s">
        <v>420</v>
      </c>
      <c r="B12" s="12" t="s">
        <v>76</v>
      </c>
      <c r="C12" s="7" t="n">
        <f aca="false">INDEX(Annahmen!$D$15:$F$15,C$5)*INDEX(Annahmen!$D$16:$F$16,C$5)</f>
        <v>220800</v>
      </c>
      <c r="D12" s="7" t="n">
        <f aca="false">INDEX(Annahmen!$D$15:$F$15,D$5)*INDEX(Annahmen!$D$16:$F$16,D$5)</f>
        <v>220800</v>
      </c>
      <c r="E12" s="7" t="n">
        <f aca="false">INDEX(Annahmen!$D$15:$F$15,E$5)*INDEX(Annahmen!$D$16:$F$16,E$5)</f>
        <v>220800</v>
      </c>
      <c r="F12" s="7" t="n">
        <f aca="false">INDEX(Annahmen!$D$15:$F$15,F$5)*INDEX(Annahmen!$D$16:$F$16,F$5)</f>
        <v>220800</v>
      </c>
      <c r="G12" s="7" t="n">
        <f aca="false">INDEX(Annahmen!$D$15:$F$15,G$5)*INDEX(Annahmen!$D$16:$F$16,G$5)</f>
        <v>220800</v>
      </c>
      <c r="H12" s="7" t="n">
        <f aca="false">INDEX(Annahmen!$D$15:$F$15,H$5)*INDEX(Annahmen!$D$16:$F$16,H$5)</f>
        <v>220800</v>
      </c>
      <c r="I12" s="7" t="n">
        <f aca="false">INDEX(Annahmen!$D$15:$F$15,I$5)*INDEX(Annahmen!$D$16:$F$16,I$5)</f>
        <v>220800</v>
      </c>
      <c r="J12" s="7" t="n">
        <f aca="false">INDEX(Annahmen!$D$15:$F$15,J$5)*INDEX(Annahmen!$D$16:$F$16,J$5)</f>
        <v>220800</v>
      </c>
      <c r="K12" s="7" t="n">
        <f aca="false">INDEX(Annahmen!$D$15:$F$15,K$5)*INDEX(Annahmen!$D$16:$F$16,K$5)</f>
        <v>220800</v>
      </c>
      <c r="L12" s="7" t="n">
        <f aca="false">INDEX(Annahmen!$D$15:$F$15,L$5)*INDEX(Annahmen!$D$16:$F$16,L$5)</f>
        <v>220800</v>
      </c>
      <c r="M12" s="7" t="n">
        <f aca="false">INDEX(Annahmen!$D$15:$F$15,M$5)*INDEX(Annahmen!$D$16:$F$16,M$5)</f>
        <v>220800</v>
      </c>
      <c r="N12" s="7" t="n">
        <f aca="false">INDEX(Annahmen!$D$15:$F$15,N$5)*INDEX(Annahmen!$D$16:$F$16,N$5)</f>
        <v>220800</v>
      </c>
      <c r="O12" s="7" t="n">
        <f aca="false">INDEX(Annahmen!$D$15:$F$15,O$5)*INDEX(Annahmen!$D$16:$F$16,O$5)</f>
        <v>220800</v>
      </c>
      <c r="P12" s="7" t="n">
        <f aca="false">INDEX(Annahmen!$D$15:$F$15,P$5)*INDEX(Annahmen!$D$16:$F$16,P$5)</f>
        <v>220800</v>
      </c>
      <c r="Q12" s="7" t="n">
        <f aca="false">INDEX(Annahmen!$D$15:$F$15,Q$5)*INDEX(Annahmen!$D$16:$F$16,Q$5)</f>
        <v>220800</v>
      </c>
      <c r="R12" s="7" t="n">
        <f aca="false">INDEX(Annahmen!$D$15:$F$15,R$5)*INDEX(Annahmen!$D$16:$F$16,R$5)</f>
        <v>220800</v>
      </c>
      <c r="S12" s="7" t="n">
        <f aca="false">INDEX(Annahmen!$D$15:$F$15,S$5)*INDEX(Annahmen!$D$16:$F$16,S$5)</f>
        <v>220800</v>
      </c>
      <c r="T12" s="7" t="n">
        <f aca="false">INDEX(Annahmen!$D$15:$F$15,T$5)*INDEX(Annahmen!$D$16:$F$16,T$5)</f>
        <v>220800</v>
      </c>
      <c r="U12" s="7" t="n">
        <f aca="false">INDEX(Annahmen!$D$15:$F$15,U$5)*INDEX(Annahmen!$D$16:$F$16,U$5)</f>
        <v>220800</v>
      </c>
      <c r="V12" s="7" t="n">
        <f aca="false">INDEX(Annahmen!$D$15:$F$15,V$5)*INDEX(Annahmen!$D$16:$F$16,V$5)</f>
        <v>220800</v>
      </c>
    </row>
    <row r="13" customFormat="false" ht="15" hidden="false" customHeight="false" outlineLevel="0" collapsed="false">
      <c r="A13" s="6" t="s">
        <v>421</v>
      </c>
      <c r="B13" s="12" t="s">
        <v>76</v>
      </c>
      <c r="C13" s="7" t="n">
        <f aca="false">C12*(INDEX(Annahmen!$D$17:$F$17,C$5)+INDEX(Annahmen!$D$18:$F$18,C$5))/100</f>
        <v>15456</v>
      </c>
      <c r="D13" s="7" t="n">
        <f aca="false">D12*(INDEX(Annahmen!$D$17:$F$17,D$5)+INDEX(Annahmen!$D$18:$F$18,D$5))/100</f>
        <v>15456</v>
      </c>
      <c r="E13" s="7" t="n">
        <f aca="false">E12*(INDEX(Annahmen!$D$17:$F$17,E$5)+INDEX(Annahmen!$D$18:$F$18,E$5))/100</f>
        <v>15456</v>
      </c>
      <c r="F13" s="7" t="n">
        <f aca="false">F12*(INDEX(Annahmen!$D$17:$F$17,F$5)+INDEX(Annahmen!$D$18:$F$18,F$5))/100</f>
        <v>15456</v>
      </c>
      <c r="G13" s="7" t="n">
        <f aca="false">G12*(INDEX(Annahmen!$D$17:$F$17,G$5)+INDEX(Annahmen!$D$18:$F$18,G$5))/100</f>
        <v>15456</v>
      </c>
      <c r="H13" s="7" t="n">
        <f aca="false">H12*(INDEX(Annahmen!$D$17:$F$17,H$5)+INDEX(Annahmen!$D$18:$F$18,H$5))/100</f>
        <v>15456</v>
      </c>
      <c r="I13" s="7" t="n">
        <f aca="false">I12*(INDEX(Annahmen!$D$17:$F$17,I$5)+INDEX(Annahmen!$D$18:$F$18,I$5))/100</f>
        <v>15456</v>
      </c>
      <c r="J13" s="7" t="n">
        <f aca="false">J12*(INDEX(Annahmen!$D$17:$F$17,J$5)+INDEX(Annahmen!$D$18:$F$18,J$5))/100</f>
        <v>15456</v>
      </c>
      <c r="K13" s="7" t="n">
        <f aca="false">K12*(INDEX(Annahmen!$D$17:$F$17,K$5)+INDEX(Annahmen!$D$18:$F$18,K$5))/100</f>
        <v>15456</v>
      </c>
      <c r="L13" s="7" t="n">
        <f aca="false">L12*(INDEX(Annahmen!$D$17:$F$17,L$5)+INDEX(Annahmen!$D$18:$F$18,L$5))/100</f>
        <v>15456</v>
      </c>
      <c r="M13" s="7" t="n">
        <f aca="false">M12*(INDEX(Annahmen!$D$17:$F$17,M$5)+INDEX(Annahmen!$D$18:$F$18,M$5))/100</f>
        <v>15456</v>
      </c>
      <c r="N13" s="7" t="n">
        <f aca="false">N12*(INDEX(Annahmen!$D$17:$F$17,N$5)+INDEX(Annahmen!$D$18:$F$18,N$5))/100</f>
        <v>15456</v>
      </c>
      <c r="O13" s="7" t="n">
        <f aca="false">O12*(INDEX(Annahmen!$D$17:$F$17,O$5)+INDEX(Annahmen!$D$18:$F$18,O$5))/100</f>
        <v>15456</v>
      </c>
      <c r="P13" s="7" t="n">
        <f aca="false">P12*(INDEX(Annahmen!$D$17:$F$17,P$5)+INDEX(Annahmen!$D$18:$F$18,P$5))/100</f>
        <v>15456</v>
      </c>
      <c r="Q13" s="7" t="n">
        <f aca="false">Q12*(INDEX(Annahmen!$D$17:$F$17,Q$5)+INDEX(Annahmen!$D$18:$F$18,Q$5))/100</f>
        <v>15456</v>
      </c>
      <c r="R13" s="7" t="n">
        <f aca="false">R12*(INDEX(Annahmen!$D$17:$F$17,R$5)+INDEX(Annahmen!$D$18:$F$18,R$5))/100</f>
        <v>15456</v>
      </c>
      <c r="S13" s="7" t="n">
        <f aca="false">S12*(INDEX(Annahmen!$D$17:$F$17,S$5)+INDEX(Annahmen!$D$18:$F$18,S$5))/100</f>
        <v>15456</v>
      </c>
      <c r="T13" s="7" t="n">
        <f aca="false">T12*(INDEX(Annahmen!$D$17:$F$17,T$5)+INDEX(Annahmen!$D$18:$F$18,T$5))/100</f>
        <v>15456</v>
      </c>
      <c r="U13" s="7" t="n">
        <f aca="false">U12*(INDEX(Annahmen!$D$17:$F$17,U$5)+INDEX(Annahmen!$D$18:$F$18,U$5))/100</f>
        <v>15456</v>
      </c>
      <c r="V13" s="7" t="n">
        <f aca="false">V12*(INDEX(Annahmen!$D$17:$F$17,V$5)+INDEX(Annahmen!$D$18:$F$18,V$5))/100</f>
        <v>15456</v>
      </c>
    </row>
    <row r="14" customFormat="false" ht="15" hidden="false" customHeight="false" outlineLevel="0" collapsed="false">
      <c r="A14" s="6" t="s">
        <v>422</v>
      </c>
      <c r="B14" s="12" t="s">
        <v>76</v>
      </c>
      <c r="C14" s="7" t="n">
        <f aca="false">C12+C13</f>
        <v>236256</v>
      </c>
      <c r="D14" s="7" t="n">
        <f aca="false">D12+D13</f>
        <v>236256</v>
      </c>
      <c r="E14" s="7" t="n">
        <f aca="false">E12+E13</f>
        <v>236256</v>
      </c>
      <c r="F14" s="7" t="n">
        <f aca="false">F12+F13</f>
        <v>236256</v>
      </c>
      <c r="G14" s="7" t="n">
        <f aca="false">G12+G13</f>
        <v>236256</v>
      </c>
      <c r="H14" s="7" t="n">
        <f aca="false">H12+H13</f>
        <v>236256</v>
      </c>
      <c r="I14" s="7" t="n">
        <f aca="false">I12+I13</f>
        <v>236256</v>
      </c>
      <c r="J14" s="7" t="n">
        <f aca="false">J12+J13</f>
        <v>236256</v>
      </c>
      <c r="K14" s="7" t="n">
        <f aca="false">K12+K13</f>
        <v>236256</v>
      </c>
      <c r="L14" s="7" t="n">
        <f aca="false">L12+L13</f>
        <v>236256</v>
      </c>
      <c r="M14" s="7" t="n">
        <f aca="false">M12+M13</f>
        <v>236256</v>
      </c>
      <c r="N14" s="7" t="n">
        <f aca="false">N12+N13</f>
        <v>236256</v>
      </c>
      <c r="O14" s="7" t="n">
        <f aca="false">O12+O13</f>
        <v>236256</v>
      </c>
      <c r="P14" s="7" t="n">
        <f aca="false">P12+P13</f>
        <v>236256</v>
      </c>
      <c r="Q14" s="7" t="n">
        <f aca="false">Q12+Q13</f>
        <v>236256</v>
      </c>
      <c r="R14" s="7" t="n">
        <f aca="false">R12+R13</f>
        <v>236256</v>
      </c>
      <c r="S14" s="7" t="n">
        <f aca="false">S12+S13</f>
        <v>236256</v>
      </c>
      <c r="T14" s="7" t="n">
        <f aca="false">T12+T13</f>
        <v>236256</v>
      </c>
      <c r="U14" s="7" t="n">
        <f aca="false">U12+U13</f>
        <v>236256</v>
      </c>
      <c r="V14" s="7" t="n">
        <f aca="false">V12+V13</f>
        <v>236256</v>
      </c>
    </row>
    <row r="15" customFormat="false" ht="15" hidden="false" customHeight="false" outlineLevel="0" collapsed="false">
      <c r="A15" s="6" t="s">
        <v>281</v>
      </c>
      <c r="B15" s="12" t="s">
        <v>76</v>
      </c>
      <c r="C15" s="7" t="n">
        <f aca="false">INDEX(Annahmen!$D$20:$F$20,C$5)</f>
        <v>60000</v>
      </c>
      <c r="D15" s="7" t="n">
        <f aca="false">INDEX(Annahmen!$D$20:$F$20,D$5)</f>
        <v>40000</v>
      </c>
      <c r="E15" s="7" t="n">
        <f aca="false">INDEX(Annahmen!$D$20:$F$20,E$5)</f>
        <v>25000</v>
      </c>
      <c r="F15" s="7" t="n">
        <f aca="false">INDEX(Annahmen!$D$20:$F$20,F$5)</f>
        <v>60000</v>
      </c>
      <c r="G15" s="7" t="n">
        <f aca="false">INDEX(Annahmen!$D$20:$F$20,G$5)</f>
        <v>60000</v>
      </c>
      <c r="H15" s="7" t="n">
        <f aca="false">INDEX(Annahmen!$D$20:$F$20,H$5)</f>
        <v>60000</v>
      </c>
      <c r="I15" s="7" t="n">
        <f aca="false">INDEX(Annahmen!$D$20:$F$20,I$5)</f>
        <v>40000</v>
      </c>
      <c r="J15" s="7" t="n">
        <f aca="false">INDEX(Annahmen!$D$20:$F$20,J$5)</f>
        <v>40000</v>
      </c>
      <c r="K15" s="7" t="n">
        <f aca="false">INDEX(Annahmen!$D$20:$F$20,K$5)</f>
        <v>40000</v>
      </c>
      <c r="L15" s="7" t="n">
        <f aca="false">INDEX(Annahmen!$D$20:$F$20,L$5)</f>
        <v>25000</v>
      </c>
      <c r="M15" s="7" t="n">
        <f aca="false">INDEX(Annahmen!$D$20:$F$20,M$5)</f>
        <v>25000</v>
      </c>
      <c r="N15" s="7" t="n">
        <f aca="false">INDEX(Annahmen!$D$20:$F$20,N$5)</f>
        <v>25000</v>
      </c>
      <c r="O15" s="7" t="n">
        <f aca="false">INDEX(Annahmen!$D$20:$F$20,O$5)</f>
        <v>40000</v>
      </c>
      <c r="P15" s="7" t="n">
        <f aca="false">INDEX(Annahmen!$D$20:$F$20,P$5)</f>
        <v>40000</v>
      </c>
      <c r="Q15" s="7" t="n">
        <f aca="false">INDEX(Annahmen!$D$20:$F$20,Q$5)</f>
        <v>40000</v>
      </c>
      <c r="R15" s="7" t="n">
        <f aca="false">INDEX(Annahmen!$D$20:$F$20,R$5)</f>
        <v>40000</v>
      </c>
      <c r="S15" s="7" t="n">
        <f aca="false">INDEX(Annahmen!$D$20:$F$20,S$5)</f>
        <v>40000</v>
      </c>
      <c r="T15" s="7" t="n">
        <f aca="false">INDEX(Annahmen!$D$20:$F$20,T$5)</f>
        <v>40000</v>
      </c>
      <c r="U15" s="7" t="n">
        <f aca="false">INDEX(Annahmen!$D$20:$F$20,U$5)</f>
        <v>40000</v>
      </c>
      <c r="V15" s="7" t="n">
        <f aca="false">INDEX(Annahmen!$D$20:$F$20,V$5)</f>
        <v>40000</v>
      </c>
    </row>
    <row r="16" customFormat="false" ht="15" hidden="false" customHeight="false" outlineLevel="0" collapsed="false">
      <c r="A16" s="6" t="s">
        <v>423</v>
      </c>
      <c r="B16" s="12" t="s">
        <v>35</v>
      </c>
      <c r="C16" s="29" t="n">
        <f aca="false">INDEX(Annahmen!$D$6:$F$6,C$5)+INDEX(Annahmen!$D$7:$F$7,C$5)+INDEX(Annahmen!$D$8:$F$8,C$5)</f>
        <v>1775.06</v>
      </c>
      <c r="D16" s="29" t="n">
        <f aca="false">INDEX(Annahmen!$D$6:$F$6,D$5)+INDEX(Annahmen!$D$7:$F$7,D$5)+INDEX(Annahmen!$D$8:$F$8,D$5)</f>
        <v>1775.06</v>
      </c>
      <c r="E16" s="29" t="n">
        <f aca="false">INDEX(Annahmen!$D$6:$F$6,E$5)+INDEX(Annahmen!$D$7:$F$7,E$5)+INDEX(Annahmen!$D$8:$F$8,E$5)</f>
        <v>1775.06</v>
      </c>
      <c r="F16" s="29" t="n">
        <f aca="false">INDEX(Annahmen!$D$6:$F$6,F$5)+INDEX(Annahmen!$D$7:$F$7,F$5)+INDEX(Annahmen!$D$8:$F$8,F$5)</f>
        <v>1775.06</v>
      </c>
      <c r="G16" s="29" t="n">
        <f aca="false">INDEX(Annahmen!$D$6:$F$6,G$5)+INDEX(Annahmen!$D$7:$F$7,G$5)+INDEX(Annahmen!$D$8:$F$8,G$5)</f>
        <v>1775.06</v>
      </c>
      <c r="H16" s="29" t="n">
        <f aca="false">INDEX(Annahmen!$D$6:$F$6,H$5)+INDEX(Annahmen!$D$7:$F$7,H$5)+INDEX(Annahmen!$D$8:$F$8,H$5)</f>
        <v>1775.06</v>
      </c>
      <c r="I16" s="29" t="n">
        <f aca="false">INDEX(Annahmen!$D$6:$F$6,I$5)+INDEX(Annahmen!$D$7:$F$7,I$5)+INDEX(Annahmen!$D$8:$F$8,I$5)</f>
        <v>1775.06</v>
      </c>
      <c r="J16" s="29" t="n">
        <f aca="false">INDEX(Annahmen!$D$6:$F$6,J$5)+INDEX(Annahmen!$D$7:$F$7,J$5)+INDEX(Annahmen!$D$8:$F$8,J$5)</f>
        <v>1775.06</v>
      </c>
      <c r="K16" s="29" t="n">
        <f aca="false">INDEX(Annahmen!$D$6:$F$6,K$5)+INDEX(Annahmen!$D$7:$F$7,K$5)+INDEX(Annahmen!$D$8:$F$8,K$5)</f>
        <v>1775.06</v>
      </c>
      <c r="L16" s="29" t="n">
        <f aca="false">INDEX(Annahmen!$D$6:$F$6,L$5)+INDEX(Annahmen!$D$7:$F$7,L$5)+INDEX(Annahmen!$D$8:$F$8,L$5)</f>
        <v>1775.06</v>
      </c>
      <c r="M16" s="29" t="n">
        <f aca="false">INDEX(Annahmen!$D$6:$F$6,M$5)+INDEX(Annahmen!$D$7:$F$7,M$5)+INDEX(Annahmen!$D$8:$F$8,M$5)</f>
        <v>1775.06</v>
      </c>
      <c r="N16" s="29" t="n">
        <f aca="false">INDEX(Annahmen!$D$6:$F$6,N$5)+INDEX(Annahmen!$D$7:$F$7,N$5)+INDEX(Annahmen!$D$8:$F$8,N$5)</f>
        <v>1775.06</v>
      </c>
      <c r="O16" s="29" t="n">
        <f aca="false">INDEX(Annahmen!$D$6:$F$6,O$5)+INDEX(Annahmen!$D$7:$F$7,O$5)+INDEX(Annahmen!$D$8:$F$8,O$5)</f>
        <v>1775.06</v>
      </c>
      <c r="P16" s="29" t="n">
        <f aca="false">INDEX(Annahmen!$D$6:$F$6,P$5)+INDEX(Annahmen!$D$7:$F$7,P$5)+INDEX(Annahmen!$D$8:$F$8,P$5)</f>
        <v>1775.06</v>
      </c>
      <c r="Q16" s="29" t="n">
        <f aca="false">INDEX(Annahmen!$D$6:$F$6,Q$5)+INDEX(Annahmen!$D$7:$F$7,Q$5)+INDEX(Annahmen!$D$8:$F$8,Q$5)</f>
        <v>1775.06</v>
      </c>
      <c r="R16" s="29" t="n">
        <f aca="false">INDEX(Annahmen!$D$6:$F$6,R$5)+INDEX(Annahmen!$D$7:$F$7,R$5)+INDEX(Annahmen!$D$8:$F$8,R$5)</f>
        <v>1775.06</v>
      </c>
      <c r="S16" s="29" t="n">
        <f aca="false">INDEX(Annahmen!$D$6:$F$6,S$5)+INDEX(Annahmen!$D$7:$F$7,S$5)+INDEX(Annahmen!$D$8:$F$8,S$5)</f>
        <v>1775.06</v>
      </c>
      <c r="T16" s="29" t="n">
        <f aca="false">INDEX(Annahmen!$D$6:$F$6,T$5)+INDEX(Annahmen!$D$7:$F$7,T$5)+INDEX(Annahmen!$D$8:$F$8,T$5)</f>
        <v>1775.06</v>
      </c>
      <c r="U16" s="29" t="n">
        <f aca="false">INDEX(Annahmen!$D$6:$F$6,U$5)+INDEX(Annahmen!$D$7:$F$7,U$5)+INDEX(Annahmen!$D$8:$F$8,U$5)</f>
        <v>1775.06</v>
      </c>
      <c r="V16" s="29" t="n">
        <f aca="false">INDEX(Annahmen!$D$6:$F$6,V$5)+INDEX(Annahmen!$D$7:$F$7,V$5)+INDEX(Annahmen!$D$8:$F$8,V$5)</f>
        <v>1775.06</v>
      </c>
    </row>
    <row r="17" customFormat="false" ht="15" hidden="false" customHeight="false" outlineLevel="0" collapsed="false">
      <c r="A17" s="6" t="s">
        <v>424</v>
      </c>
      <c r="B17" s="12" t="s">
        <v>76</v>
      </c>
      <c r="C17" s="7" t="n">
        <f aca="false">C16*INDEX(Annahmen!$D$21:$F$21,C$5)*C7*(1+INDEX(Annahmen!$D$22:$F$22,C$5)/100)</f>
        <v>5538187.2</v>
      </c>
      <c r="D17" s="7" t="n">
        <f aca="false">D16*INDEX(Annahmen!$D$21:$F$21,D$5)*D7*(1+INDEX(Annahmen!$D$22:$F$22,D$5)/100)</f>
        <v>4570779.5</v>
      </c>
      <c r="E17" s="7" t="n">
        <f aca="false">E16*INDEX(Annahmen!$D$21:$F$21,E$5)*E7*(1+INDEX(Annahmen!$D$22:$F$22,E$5)/100)</f>
        <v>3983234.64</v>
      </c>
      <c r="F17" s="7" t="n">
        <f aca="false">F16*INDEX(Annahmen!$D$21:$F$21,F$5)*F7*(1+INDEX(Annahmen!$D$22:$F$22,F$5)/100)</f>
        <v>5538187.2</v>
      </c>
      <c r="G17" s="7" t="n">
        <f aca="false">G16*INDEX(Annahmen!$D$21:$F$21,G$5)*G7*(1+INDEX(Annahmen!$D$22:$F$22,G$5)/100)</f>
        <v>5538187.2</v>
      </c>
      <c r="H17" s="7" t="n">
        <f aca="false">H16*INDEX(Annahmen!$D$21:$F$21,H$5)*H7*(1+INDEX(Annahmen!$D$22:$F$22,H$5)/100)</f>
        <v>5538187.2</v>
      </c>
      <c r="I17" s="7" t="n">
        <f aca="false">I16*INDEX(Annahmen!$D$21:$F$21,I$5)*I7*(1+INDEX(Annahmen!$D$22:$F$22,I$5)/100)</f>
        <v>4570779.5</v>
      </c>
      <c r="J17" s="7" t="n">
        <f aca="false">J16*INDEX(Annahmen!$D$21:$F$21,J$5)*J7*(1+INDEX(Annahmen!$D$22:$F$22,J$5)/100)</f>
        <v>4570779.5</v>
      </c>
      <c r="K17" s="7" t="n">
        <f aca="false">K16*INDEX(Annahmen!$D$21:$F$21,K$5)*K7*(1+INDEX(Annahmen!$D$22:$F$22,K$5)/100)</f>
        <v>4570779.5</v>
      </c>
      <c r="L17" s="7" t="n">
        <f aca="false">L16*INDEX(Annahmen!$D$21:$F$21,L$5)*L7*(1+INDEX(Annahmen!$D$22:$F$22,L$5)/100)</f>
        <v>3983234.64</v>
      </c>
      <c r="M17" s="7" t="n">
        <f aca="false">M16*INDEX(Annahmen!$D$21:$F$21,M$5)*M7*(1+INDEX(Annahmen!$D$22:$F$22,M$5)/100)</f>
        <v>3983234.64</v>
      </c>
      <c r="N17" s="7" t="n">
        <f aca="false">N16*INDEX(Annahmen!$D$21:$F$21,N$5)*N7*(1+INDEX(Annahmen!$D$22:$F$22,N$5)/100)</f>
        <v>3983234.64</v>
      </c>
      <c r="O17" s="7" t="n">
        <f aca="false">O16*INDEX(Annahmen!$D$21:$F$21,O$5)*O7*(1+INDEX(Annahmen!$D$22:$F$22,O$5)/100)</f>
        <v>4570779.5</v>
      </c>
      <c r="P17" s="7" t="n">
        <f aca="false">P16*INDEX(Annahmen!$D$21:$F$21,P$5)*P7*(1+INDEX(Annahmen!$D$22:$F$22,P$5)/100)</f>
        <v>5027857.45</v>
      </c>
      <c r="Q17" s="7" t="n">
        <f aca="false">Q16*INDEX(Annahmen!$D$21:$F$21,Q$5)*Q7*(1+INDEX(Annahmen!$D$22:$F$22,Q$5)/100)</f>
        <v>5484935.4</v>
      </c>
      <c r="R17" s="7" t="n">
        <f aca="false">R16*INDEX(Annahmen!$D$21:$F$21,R$5)*R7*(1+INDEX(Annahmen!$D$22:$F$22,R$5)/100)</f>
        <v>4570779.5</v>
      </c>
      <c r="S17" s="7" t="n">
        <f aca="false">S16*INDEX(Annahmen!$D$21:$F$21,S$5)*S7*(1+INDEX(Annahmen!$D$22:$F$22,S$5)/100)</f>
        <v>4570779.5</v>
      </c>
      <c r="T17" s="7" t="n">
        <f aca="false">T16*INDEX(Annahmen!$D$21:$F$21,T$5)*T7*(1+INDEX(Annahmen!$D$22:$F$22,T$5)/100)</f>
        <v>4570779.5</v>
      </c>
      <c r="U17" s="7" t="n">
        <f aca="false">U16*INDEX(Annahmen!$D$21:$F$21,U$5)*U7*(1+INDEX(Annahmen!$D$22:$F$22,U$5)/100)</f>
        <v>4570779.5</v>
      </c>
      <c r="V17" s="7" t="n">
        <f aca="false">V16*INDEX(Annahmen!$D$21:$F$21,V$5)*V7*(1+INDEX(Annahmen!$D$22:$F$22,V$5)/100)</f>
        <v>4570779.5</v>
      </c>
    </row>
    <row r="18" customFormat="false" ht="15" hidden="false" customHeight="false" outlineLevel="0" collapsed="false">
      <c r="A18" s="6" t="s">
        <v>425</v>
      </c>
      <c r="B18" s="12" t="s">
        <v>76</v>
      </c>
      <c r="C18" s="7" t="n">
        <f aca="false">INDEX(Annahmen!$D$13:$F$13,C$5)*INDEX(Annahmen!$D$23:$F$23,C$5)</f>
        <v>151200</v>
      </c>
      <c r="D18" s="7" t="n">
        <f aca="false">INDEX(Annahmen!$D$13:$F$13,D$5)*INDEX(Annahmen!$D$23:$F$23,D$5)</f>
        <v>126000</v>
      </c>
      <c r="E18" s="7" t="n">
        <f aca="false">INDEX(Annahmen!$D$13:$F$13,E$5)*INDEX(Annahmen!$D$23:$F$23,E$5)</f>
        <v>100800</v>
      </c>
      <c r="F18" s="7" t="n">
        <f aca="false">INDEX(Annahmen!$D$13:$F$13,F$5)*INDEX(Annahmen!$D$23:$F$23,F$5)</f>
        <v>151200</v>
      </c>
      <c r="G18" s="7" t="n">
        <f aca="false">INDEX(Annahmen!$D$13:$F$13,G$5)*INDEX(Annahmen!$D$23:$F$23,G$5)</f>
        <v>151200</v>
      </c>
      <c r="H18" s="7" t="n">
        <f aca="false">INDEX(Annahmen!$D$13:$F$13,H$5)*INDEX(Annahmen!$D$23:$F$23,H$5)</f>
        <v>151200</v>
      </c>
      <c r="I18" s="7" t="n">
        <f aca="false">INDEX(Annahmen!$D$13:$F$13,I$5)*INDEX(Annahmen!$D$23:$F$23,I$5)</f>
        <v>126000</v>
      </c>
      <c r="J18" s="7" t="n">
        <f aca="false">INDEX(Annahmen!$D$13:$F$13,J$5)*INDEX(Annahmen!$D$23:$F$23,J$5)</f>
        <v>126000</v>
      </c>
      <c r="K18" s="7" t="n">
        <f aca="false">INDEX(Annahmen!$D$13:$F$13,K$5)*INDEX(Annahmen!$D$23:$F$23,K$5)</f>
        <v>126000</v>
      </c>
      <c r="L18" s="7" t="n">
        <f aca="false">INDEX(Annahmen!$D$13:$F$13,L$5)*INDEX(Annahmen!$D$23:$F$23,L$5)</f>
        <v>100800</v>
      </c>
      <c r="M18" s="7" t="n">
        <f aca="false">INDEX(Annahmen!$D$13:$F$13,M$5)*INDEX(Annahmen!$D$23:$F$23,M$5)</f>
        <v>100800</v>
      </c>
      <c r="N18" s="7" t="n">
        <f aca="false">INDEX(Annahmen!$D$13:$F$13,N$5)*INDEX(Annahmen!$D$23:$F$23,N$5)</f>
        <v>100800</v>
      </c>
      <c r="O18" s="7" t="n">
        <f aca="false">INDEX(Annahmen!$D$13:$F$13,O$5)*INDEX(Annahmen!$D$23:$F$23,O$5)</f>
        <v>126000</v>
      </c>
      <c r="P18" s="7" t="n">
        <f aca="false">INDEX(Annahmen!$D$13:$F$13,P$5)*INDEX(Annahmen!$D$23:$F$23,P$5)</f>
        <v>126000</v>
      </c>
      <c r="Q18" s="7" t="n">
        <f aca="false">INDEX(Annahmen!$D$13:$F$13,Q$5)*INDEX(Annahmen!$D$23:$F$23,Q$5)</f>
        <v>126000</v>
      </c>
      <c r="R18" s="7" t="n">
        <f aca="false">INDEX(Annahmen!$D$13:$F$13,R$5)*INDEX(Annahmen!$D$23:$F$23,R$5)</f>
        <v>126000</v>
      </c>
      <c r="S18" s="7" t="n">
        <f aca="false">INDEX(Annahmen!$D$13:$F$13,S$5)*INDEX(Annahmen!$D$23:$F$23,S$5)</f>
        <v>126000</v>
      </c>
      <c r="T18" s="7" t="n">
        <f aca="false">INDEX(Annahmen!$D$13:$F$13,T$5)*INDEX(Annahmen!$D$23:$F$23,T$5)</f>
        <v>126000</v>
      </c>
      <c r="U18" s="7" t="n">
        <f aca="false">INDEX(Annahmen!$D$13:$F$13,U$5)*INDEX(Annahmen!$D$23:$F$23,U$5)</f>
        <v>126000</v>
      </c>
      <c r="V18" s="7" t="n">
        <f aca="false">INDEX(Annahmen!$D$13:$F$13,V$5)*INDEX(Annahmen!$D$23:$F$23,V$5)</f>
        <v>126000</v>
      </c>
    </row>
    <row r="19" customFormat="false" ht="15" hidden="false" customHeight="false" outlineLevel="0" collapsed="false">
      <c r="A19" s="6" t="s">
        <v>426</v>
      </c>
      <c r="B19" s="12" t="s">
        <v>76</v>
      </c>
      <c r="C19" s="7" t="n">
        <f aca="false">INDEX(Annahmen!$D$25:$F$25,C$5)*INDEX(Annahmen!$D$24:$F$24,C$5)+INDEX(Annahmen!$D$26:$F$26,C$5)</f>
        <v>126800</v>
      </c>
      <c r="D19" s="7" t="n">
        <f aca="false">INDEX(Annahmen!$D$25:$F$25,D$5)*INDEX(Annahmen!$D$24:$F$24,D$5)+INDEX(Annahmen!$D$26:$F$26,D$5)</f>
        <v>101440</v>
      </c>
      <c r="E19" s="7" t="n">
        <f aca="false">INDEX(Annahmen!$D$25:$F$25,E$5)*INDEX(Annahmen!$D$24:$F$24,E$5)+INDEX(Annahmen!$D$26:$F$26,E$5)</f>
        <v>79920</v>
      </c>
      <c r="F19" s="7" t="n">
        <f aca="false">INDEX(Annahmen!$D$25:$F$25,F$5)*INDEX(Annahmen!$D$24:$F$24,F$5)+INDEX(Annahmen!$D$26:$F$26,F$5)</f>
        <v>126800</v>
      </c>
      <c r="G19" s="7" t="n">
        <f aca="false">INDEX(Annahmen!$D$25:$F$25,G$5)*INDEX(Annahmen!$D$24:$F$24,G$5)+INDEX(Annahmen!$D$26:$F$26,G$5)</f>
        <v>126800</v>
      </c>
      <c r="H19" s="7" t="n">
        <f aca="false">INDEX(Annahmen!$D$25:$F$25,H$5)*INDEX(Annahmen!$D$24:$F$24,H$5)+INDEX(Annahmen!$D$26:$F$26,H$5)</f>
        <v>126800</v>
      </c>
      <c r="I19" s="7" t="n">
        <f aca="false">INDEX(Annahmen!$D$25:$F$25,I$5)*INDEX(Annahmen!$D$24:$F$24,I$5)+INDEX(Annahmen!$D$26:$F$26,I$5)</f>
        <v>101440</v>
      </c>
      <c r="J19" s="7" t="n">
        <f aca="false">INDEX(Annahmen!$D$25:$F$25,J$5)*INDEX(Annahmen!$D$24:$F$24,J$5)+INDEX(Annahmen!$D$26:$F$26,J$5)</f>
        <v>101440</v>
      </c>
      <c r="K19" s="7" t="n">
        <f aca="false">INDEX(Annahmen!$D$25:$F$25,K$5)*INDEX(Annahmen!$D$24:$F$24,K$5)+INDEX(Annahmen!$D$26:$F$26,K$5)</f>
        <v>101440</v>
      </c>
      <c r="L19" s="7" t="n">
        <f aca="false">INDEX(Annahmen!$D$25:$F$25,L$5)*INDEX(Annahmen!$D$24:$F$24,L$5)+INDEX(Annahmen!$D$26:$F$26,L$5)</f>
        <v>79920</v>
      </c>
      <c r="M19" s="7" t="n">
        <f aca="false">INDEX(Annahmen!$D$25:$F$25,M$5)*INDEX(Annahmen!$D$24:$F$24,M$5)+INDEX(Annahmen!$D$26:$F$26,M$5)</f>
        <v>79920</v>
      </c>
      <c r="N19" s="7" t="n">
        <f aca="false">INDEX(Annahmen!$D$25:$F$25,N$5)*INDEX(Annahmen!$D$24:$F$24,N$5)+INDEX(Annahmen!$D$26:$F$26,N$5)</f>
        <v>79920</v>
      </c>
      <c r="O19" s="7" t="n">
        <f aca="false">INDEX(Annahmen!$D$25:$F$25,O$5)*INDEX(Annahmen!$D$24:$F$24,O$5)+INDEX(Annahmen!$D$26:$F$26,O$5)</f>
        <v>101440</v>
      </c>
      <c r="P19" s="7" t="n">
        <f aca="false">INDEX(Annahmen!$D$25:$F$25,P$5)*INDEX(Annahmen!$D$24:$F$24,P$5)+INDEX(Annahmen!$D$26:$F$26,P$5)</f>
        <v>101440</v>
      </c>
      <c r="Q19" s="7" t="n">
        <f aca="false">INDEX(Annahmen!$D$25:$F$25,Q$5)*INDEX(Annahmen!$D$24:$F$24,Q$5)+INDEX(Annahmen!$D$26:$F$26,Q$5)</f>
        <v>101440</v>
      </c>
      <c r="R19" s="7" t="n">
        <f aca="false">INDEX(Annahmen!$D$25:$F$25,R$5)*INDEX(Annahmen!$D$24:$F$24,R$5)+INDEX(Annahmen!$D$26:$F$26,R$5)</f>
        <v>101440</v>
      </c>
      <c r="S19" s="7" t="n">
        <f aca="false">INDEX(Annahmen!$D$25:$F$25,S$5)*INDEX(Annahmen!$D$24:$F$24,S$5)+INDEX(Annahmen!$D$26:$F$26,S$5)</f>
        <v>101440</v>
      </c>
      <c r="T19" s="7" t="n">
        <f aca="false">INDEX(Annahmen!$D$25:$F$25,T$5)*INDEX(Annahmen!$D$24:$F$24,T$5)+INDEX(Annahmen!$D$26:$F$26,T$5)</f>
        <v>101440</v>
      </c>
      <c r="U19" s="7" t="n">
        <f aca="false">INDEX(Annahmen!$D$25:$F$25,U$5)*INDEX(Annahmen!$D$24:$F$24,U$5)+INDEX(Annahmen!$D$26:$F$26,U$5)</f>
        <v>101440</v>
      </c>
      <c r="V19" s="7" t="n">
        <f aca="false">INDEX(Annahmen!$D$25:$F$25,V$5)*INDEX(Annahmen!$D$24:$F$24,V$5)+INDEX(Annahmen!$D$26:$F$26,V$5)</f>
        <v>101440</v>
      </c>
    </row>
    <row r="20" customFormat="false" ht="15" hidden="false" customHeight="false" outlineLevel="0" collapsed="false">
      <c r="A20" s="6" t="s">
        <v>427</v>
      </c>
      <c r="B20" s="12" t="s">
        <v>76</v>
      </c>
      <c r="C20" s="7" t="n">
        <f aca="false">C17+C18+C19</f>
        <v>5816187.2</v>
      </c>
      <c r="D20" s="7" t="n">
        <f aca="false">D17+D18+D19</f>
        <v>4798219.5</v>
      </c>
      <c r="E20" s="7" t="n">
        <f aca="false">E17+E18+E19</f>
        <v>4163954.64</v>
      </c>
      <c r="F20" s="7" t="n">
        <f aca="false">F17+F18+F19</f>
        <v>5816187.2</v>
      </c>
      <c r="G20" s="7" t="n">
        <f aca="false">G17+G18+G19</f>
        <v>5816187.2</v>
      </c>
      <c r="H20" s="7" t="n">
        <f aca="false">H17+H18+H19</f>
        <v>5816187.2</v>
      </c>
      <c r="I20" s="7" t="n">
        <f aca="false">I17+I18+I19</f>
        <v>4798219.5</v>
      </c>
      <c r="J20" s="7" t="n">
        <f aca="false">J17+J18+J19</f>
        <v>4798219.5</v>
      </c>
      <c r="K20" s="7" t="n">
        <f aca="false">K17+K18+K19</f>
        <v>4798219.5</v>
      </c>
      <c r="L20" s="7" t="n">
        <f aca="false">L17+L18+L19</f>
        <v>4163954.64</v>
      </c>
      <c r="M20" s="7" t="n">
        <f aca="false">M17+M18+M19</f>
        <v>4163954.64</v>
      </c>
      <c r="N20" s="7" t="n">
        <f aca="false">N17+N18+N19</f>
        <v>4163954.64</v>
      </c>
      <c r="O20" s="7" t="n">
        <f aca="false">O17+O18+O19</f>
        <v>4798219.5</v>
      </c>
      <c r="P20" s="7" t="n">
        <f aca="false">P17+P18+P19</f>
        <v>5255297.45</v>
      </c>
      <c r="Q20" s="7" t="n">
        <f aca="false">Q17+Q18+Q19</f>
        <v>5712375.4</v>
      </c>
      <c r="R20" s="7" t="n">
        <f aca="false">R17+R18+R19</f>
        <v>4798219.5</v>
      </c>
      <c r="S20" s="7" t="n">
        <f aca="false">S17+S18+S19</f>
        <v>4798219.5</v>
      </c>
      <c r="T20" s="7" t="n">
        <f aca="false">T17+T18+T19</f>
        <v>4798219.5</v>
      </c>
      <c r="U20" s="7" t="n">
        <f aca="false">U17+U18+U19</f>
        <v>4798219.5</v>
      </c>
      <c r="V20" s="7" t="n">
        <f aca="false">V17+V18+V19</f>
        <v>4798219.5</v>
      </c>
    </row>
    <row r="21" customFormat="false" ht="15" hidden="false" customHeight="false" outlineLevel="0" collapsed="false">
      <c r="A21" s="6" t="s">
        <v>289</v>
      </c>
      <c r="B21" s="12" t="s">
        <v>76</v>
      </c>
      <c r="C21" s="7" t="n">
        <f aca="false">C20*INDEX(Annahmen!$D$28:$F$28,C$5)/100</f>
        <v>756104.336</v>
      </c>
      <c r="D21" s="7" t="n">
        <f aca="false">D20*INDEX(Annahmen!$D$28:$F$28,D$5)/100</f>
        <v>575786.34</v>
      </c>
      <c r="E21" s="7" t="n">
        <f aca="false">E20*INDEX(Annahmen!$D$28:$F$28,E$5)/100</f>
        <v>458035.0104</v>
      </c>
      <c r="F21" s="7" t="n">
        <f aca="false">F20*INDEX(Annahmen!$D$28:$F$28,F$5)/100</f>
        <v>756104.336</v>
      </c>
      <c r="G21" s="7" t="n">
        <f aca="false">G20*INDEX(Annahmen!$D$28:$F$28,G$5)/100</f>
        <v>756104.336</v>
      </c>
      <c r="H21" s="7" t="n">
        <f aca="false">H20*INDEX(Annahmen!$D$28:$F$28,H$5)/100</f>
        <v>756104.336</v>
      </c>
      <c r="I21" s="7" t="n">
        <f aca="false">I20*INDEX(Annahmen!$D$28:$F$28,I$5)/100</f>
        <v>575786.34</v>
      </c>
      <c r="J21" s="7" t="n">
        <f aca="false">J20*INDEX(Annahmen!$D$28:$F$28,J$5)/100</f>
        <v>575786.34</v>
      </c>
      <c r="K21" s="7" t="n">
        <f aca="false">K20*INDEX(Annahmen!$D$28:$F$28,K$5)/100</f>
        <v>575786.34</v>
      </c>
      <c r="L21" s="7" t="n">
        <f aca="false">L20*INDEX(Annahmen!$D$28:$F$28,L$5)/100</f>
        <v>458035.0104</v>
      </c>
      <c r="M21" s="7" t="n">
        <f aca="false">M20*INDEX(Annahmen!$D$28:$F$28,M$5)/100</f>
        <v>458035.0104</v>
      </c>
      <c r="N21" s="7" t="n">
        <f aca="false">N20*INDEX(Annahmen!$D$28:$F$28,N$5)/100</f>
        <v>458035.0104</v>
      </c>
      <c r="O21" s="7" t="n">
        <f aca="false">O20*INDEX(Annahmen!$D$28:$F$28,O$5)/100</f>
        <v>575786.34</v>
      </c>
      <c r="P21" s="7" t="n">
        <f aca="false">P20*INDEX(Annahmen!$D$28:$F$28,P$5)/100</f>
        <v>630635.694</v>
      </c>
      <c r="Q21" s="7" t="n">
        <f aca="false">Q20*INDEX(Annahmen!$D$28:$F$28,Q$5)/100</f>
        <v>685485.048</v>
      </c>
      <c r="R21" s="7" t="n">
        <f aca="false">R20*INDEX(Annahmen!$D$28:$F$28,R$5)/100</f>
        <v>575786.34</v>
      </c>
      <c r="S21" s="7" t="n">
        <f aca="false">S20*INDEX(Annahmen!$D$28:$F$28,S$5)/100</f>
        <v>575786.34</v>
      </c>
      <c r="T21" s="7" t="n">
        <f aca="false">T20*INDEX(Annahmen!$D$28:$F$28,T$5)/100</f>
        <v>575786.34</v>
      </c>
      <c r="U21" s="7" t="n">
        <f aca="false">U20*INDEX(Annahmen!$D$28:$F$28,U$5)/100</f>
        <v>575786.34</v>
      </c>
      <c r="V21" s="7" t="n">
        <f aca="false">V20*INDEX(Annahmen!$D$28:$F$28,V$5)/100</f>
        <v>575786.34</v>
      </c>
    </row>
    <row r="22" customFormat="false" ht="15" hidden="false" customHeight="false" outlineLevel="0" collapsed="false">
      <c r="A22" s="6" t="s">
        <v>428</v>
      </c>
      <c r="B22" s="12" t="s">
        <v>76</v>
      </c>
      <c r="C22" s="7" t="n">
        <f aca="false">C20*INDEX(Annahmen!$D$29:$F$29,C$5)/100</f>
        <v>378052.168</v>
      </c>
      <c r="D22" s="7" t="n">
        <f aca="false">D20*INDEX(Annahmen!$D$29:$F$29,D$5)/100</f>
        <v>263902.0725</v>
      </c>
      <c r="E22" s="7" t="n">
        <f aca="false">E20*INDEX(Annahmen!$D$29:$F$29,E$5)/100</f>
        <v>187377.9588</v>
      </c>
      <c r="F22" s="7" t="n">
        <f aca="false">F20*INDEX(Annahmen!$D$29:$F$29,F$5)/100</f>
        <v>378052.168</v>
      </c>
      <c r="G22" s="7" t="n">
        <f aca="false">G20*INDEX(Annahmen!$D$29:$F$29,G$5)/100</f>
        <v>378052.168</v>
      </c>
      <c r="H22" s="7" t="n">
        <f aca="false">H20*INDEX(Annahmen!$D$29:$F$29,H$5)/100</f>
        <v>378052.168</v>
      </c>
      <c r="I22" s="7" t="n">
        <f aca="false">I20*INDEX(Annahmen!$D$29:$F$29,I$5)/100</f>
        <v>263902.0725</v>
      </c>
      <c r="J22" s="7" t="n">
        <f aca="false">J20*INDEX(Annahmen!$D$29:$F$29,J$5)/100</f>
        <v>263902.0725</v>
      </c>
      <c r="K22" s="7" t="n">
        <f aca="false">K20*INDEX(Annahmen!$D$29:$F$29,K$5)/100</f>
        <v>263902.0725</v>
      </c>
      <c r="L22" s="7" t="n">
        <f aca="false">L20*INDEX(Annahmen!$D$29:$F$29,L$5)/100</f>
        <v>187377.9588</v>
      </c>
      <c r="M22" s="7" t="n">
        <f aca="false">M20*INDEX(Annahmen!$D$29:$F$29,M$5)/100</f>
        <v>187377.9588</v>
      </c>
      <c r="N22" s="7" t="n">
        <f aca="false">N20*INDEX(Annahmen!$D$29:$F$29,N$5)/100</f>
        <v>187377.9588</v>
      </c>
      <c r="O22" s="7" t="n">
        <f aca="false">O20*INDEX(Annahmen!$D$29:$F$29,O$5)/100</f>
        <v>263902.0725</v>
      </c>
      <c r="P22" s="7" t="n">
        <f aca="false">P20*INDEX(Annahmen!$D$29:$F$29,P$5)/100</f>
        <v>289041.35975</v>
      </c>
      <c r="Q22" s="7" t="n">
        <f aca="false">Q20*INDEX(Annahmen!$D$29:$F$29,Q$5)/100</f>
        <v>314180.647</v>
      </c>
      <c r="R22" s="7" t="n">
        <f aca="false">R20*INDEX(Annahmen!$D$29:$F$29,R$5)/100</f>
        <v>263902.0725</v>
      </c>
      <c r="S22" s="7" t="n">
        <f aca="false">S20*INDEX(Annahmen!$D$29:$F$29,S$5)/100</f>
        <v>263902.0725</v>
      </c>
      <c r="T22" s="7" t="n">
        <f aca="false">T20*INDEX(Annahmen!$D$29:$F$29,T$5)/100</f>
        <v>263902.0725</v>
      </c>
      <c r="U22" s="7" t="n">
        <f aca="false">U20*INDEX(Annahmen!$D$29:$F$29,U$5)/100</f>
        <v>263902.0725</v>
      </c>
      <c r="V22" s="7" t="n">
        <f aca="false">V20*INDEX(Annahmen!$D$29:$F$29,V$5)/100</f>
        <v>263902.0725</v>
      </c>
    </row>
    <row r="23" customFormat="false" ht="15" hidden="false" customHeight="false" outlineLevel="0" collapsed="false">
      <c r="A23" s="6" t="s">
        <v>291</v>
      </c>
      <c r="B23" s="12" t="s">
        <v>76</v>
      </c>
      <c r="C23" s="7" t="n">
        <f aca="false">C20*INDEX(Annahmen!$D$30:$F$30,C$5)/100</f>
        <v>87242.808</v>
      </c>
      <c r="D23" s="7" t="n">
        <f aca="false">D20*INDEX(Annahmen!$D$30:$F$30,D$5)/100</f>
        <v>57578.634</v>
      </c>
      <c r="E23" s="7" t="n">
        <f aca="false">E20*INDEX(Annahmen!$D$30:$F$30,E$5)/100</f>
        <v>41639.5464</v>
      </c>
      <c r="F23" s="7" t="n">
        <f aca="false">F20*INDEX(Annahmen!$D$30:$F$30,F$5)/100</f>
        <v>87242.808</v>
      </c>
      <c r="G23" s="7" t="n">
        <f aca="false">G20*INDEX(Annahmen!$D$30:$F$30,G$5)/100</f>
        <v>87242.808</v>
      </c>
      <c r="H23" s="7" t="n">
        <f aca="false">H20*INDEX(Annahmen!$D$30:$F$30,H$5)/100</f>
        <v>87242.808</v>
      </c>
      <c r="I23" s="7" t="n">
        <f aca="false">I20*INDEX(Annahmen!$D$30:$F$30,I$5)/100</f>
        <v>57578.634</v>
      </c>
      <c r="J23" s="7" t="n">
        <f aca="false">J20*INDEX(Annahmen!$D$30:$F$30,J$5)/100</f>
        <v>57578.634</v>
      </c>
      <c r="K23" s="7" t="n">
        <f aca="false">K20*INDEX(Annahmen!$D$30:$F$30,K$5)/100</f>
        <v>57578.634</v>
      </c>
      <c r="L23" s="7" t="n">
        <f aca="false">L20*INDEX(Annahmen!$D$30:$F$30,L$5)/100</f>
        <v>41639.5464</v>
      </c>
      <c r="M23" s="7" t="n">
        <f aca="false">M20*INDEX(Annahmen!$D$30:$F$30,M$5)/100</f>
        <v>41639.5464</v>
      </c>
      <c r="N23" s="7" t="n">
        <f aca="false">N20*INDEX(Annahmen!$D$30:$F$30,N$5)/100</f>
        <v>41639.5464</v>
      </c>
      <c r="O23" s="7" t="n">
        <f aca="false">O20*INDEX(Annahmen!$D$30:$F$30,O$5)/100</f>
        <v>57578.634</v>
      </c>
      <c r="P23" s="7" t="n">
        <f aca="false">P20*INDEX(Annahmen!$D$30:$F$30,P$5)/100</f>
        <v>63063.5694</v>
      </c>
      <c r="Q23" s="7" t="n">
        <f aca="false">Q20*INDEX(Annahmen!$D$30:$F$30,Q$5)/100</f>
        <v>68548.5048</v>
      </c>
      <c r="R23" s="7" t="n">
        <f aca="false">R20*INDEX(Annahmen!$D$30:$F$30,R$5)/100</f>
        <v>57578.634</v>
      </c>
      <c r="S23" s="7" t="n">
        <f aca="false">S20*INDEX(Annahmen!$D$30:$F$30,S$5)/100</f>
        <v>57578.634</v>
      </c>
      <c r="T23" s="7" t="n">
        <f aca="false">T20*INDEX(Annahmen!$D$30:$F$30,T$5)/100</f>
        <v>57578.634</v>
      </c>
      <c r="U23" s="7" t="n">
        <f aca="false">U20*INDEX(Annahmen!$D$30:$F$30,U$5)/100</f>
        <v>57578.634</v>
      </c>
      <c r="V23" s="7" t="n">
        <f aca="false">V20*INDEX(Annahmen!$D$30:$F$30,V$5)/100</f>
        <v>57578.634</v>
      </c>
    </row>
    <row r="24" customFormat="false" ht="15" hidden="false" customHeight="false" outlineLevel="0" collapsed="false">
      <c r="A24" s="6" t="s">
        <v>292</v>
      </c>
      <c r="B24" s="12" t="s">
        <v>76</v>
      </c>
      <c r="C24" s="7" t="n">
        <f aca="false">C20*INDEX(Annahmen!$D$31:$F$31,C$5)/100</f>
        <v>87242.808</v>
      </c>
      <c r="D24" s="7" t="n">
        <f aca="false">D20*INDEX(Annahmen!$D$31:$F$31,D$5)/100</f>
        <v>57578.634</v>
      </c>
      <c r="E24" s="7" t="n">
        <f aca="false">E20*INDEX(Annahmen!$D$31:$F$31,E$5)/100</f>
        <v>41639.5464</v>
      </c>
      <c r="F24" s="7" t="n">
        <f aca="false">F20*INDEX(Annahmen!$D$31:$F$31,F$5)/100</f>
        <v>87242.808</v>
      </c>
      <c r="G24" s="7" t="n">
        <f aca="false">G20*INDEX(Annahmen!$D$31:$F$31,G$5)/100</f>
        <v>87242.808</v>
      </c>
      <c r="H24" s="7" t="n">
        <f aca="false">H20*INDEX(Annahmen!$D$31:$F$31,H$5)/100</f>
        <v>87242.808</v>
      </c>
      <c r="I24" s="7" t="n">
        <f aca="false">I20*INDEX(Annahmen!$D$31:$F$31,I$5)/100</f>
        <v>57578.634</v>
      </c>
      <c r="J24" s="7" t="n">
        <f aca="false">J20*INDEX(Annahmen!$D$31:$F$31,J$5)/100</f>
        <v>57578.634</v>
      </c>
      <c r="K24" s="7" t="n">
        <f aca="false">K20*INDEX(Annahmen!$D$31:$F$31,K$5)/100</f>
        <v>57578.634</v>
      </c>
      <c r="L24" s="7" t="n">
        <f aca="false">L20*INDEX(Annahmen!$D$31:$F$31,L$5)/100</f>
        <v>41639.5464</v>
      </c>
      <c r="M24" s="7" t="n">
        <f aca="false">M20*INDEX(Annahmen!$D$31:$F$31,M$5)/100</f>
        <v>41639.5464</v>
      </c>
      <c r="N24" s="7" t="n">
        <f aca="false">N20*INDEX(Annahmen!$D$31:$F$31,N$5)/100</f>
        <v>41639.5464</v>
      </c>
      <c r="O24" s="7" t="n">
        <f aca="false">O20*INDEX(Annahmen!$D$31:$F$31,O$5)/100</f>
        <v>57578.634</v>
      </c>
      <c r="P24" s="7" t="n">
        <f aca="false">P20*INDEX(Annahmen!$D$31:$F$31,P$5)/100</f>
        <v>63063.5694</v>
      </c>
      <c r="Q24" s="7" t="n">
        <f aca="false">Q20*INDEX(Annahmen!$D$31:$F$31,Q$5)/100</f>
        <v>68548.5048</v>
      </c>
      <c r="R24" s="7" t="n">
        <f aca="false">R20*INDEX(Annahmen!$D$31:$F$31,R$5)/100</f>
        <v>57578.634</v>
      </c>
      <c r="S24" s="7" t="n">
        <f aca="false">S20*INDEX(Annahmen!$D$31:$F$31,S$5)/100</f>
        <v>57578.634</v>
      </c>
      <c r="T24" s="7" t="n">
        <f aca="false">T20*INDEX(Annahmen!$D$31:$F$31,T$5)/100</f>
        <v>57578.634</v>
      </c>
      <c r="U24" s="7" t="n">
        <f aca="false">U20*INDEX(Annahmen!$D$31:$F$31,U$5)/100</f>
        <v>57578.634</v>
      </c>
      <c r="V24" s="7" t="n">
        <f aca="false">V20*INDEX(Annahmen!$D$31:$F$31,V$5)/100</f>
        <v>57578.634</v>
      </c>
    </row>
    <row r="25" customFormat="false" ht="15" hidden="false" customHeight="false" outlineLevel="0" collapsed="false">
      <c r="A25" s="6" t="s">
        <v>429</v>
      </c>
      <c r="B25" s="12" t="s">
        <v>76</v>
      </c>
      <c r="C25" s="7" t="n">
        <f aca="false">C21+C22+C23+C24</f>
        <v>1308642.12</v>
      </c>
      <c r="D25" s="7" t="n">
        <f aca="false">D21+D22+D23+D24</f>
        <v>954845.6805</v>
      </c>
      <c r="E25" s="7" t="n">
        <f aca="false">E21+E22+E23+E24</f>
        <v>728692.062</v>
      </c>
      <c r="F25" s="7" t="n">
        <f aca="false">F21+F22+F23+F24</f>
        <v>1308642.12</v>
      </c>
      <c r="G25" s="7" t="n">
        <f aca="false">G21+G22+G23+G24</f>
        <v>1308642.12</v>
      </c>
      <c r="H25" s="7" t="n">
        <f aca="false">H21+H22+H23+H24</f>
        <v>1308642.12</v>
      </c>
      <c r="I25" s="7" t="n">
        <f aca="false">I21+I22+I23+I24</f>
        <v>954845.6805</v>
      </c>
      <c r="J25" s="7" t="n">
        <f aca="false">J21+J22+J23+J24</f>
        <v>954845.6805</v>
      </c>
      <c r="K25" s="7" t="n">
        <f aca="false">K21+K22+K23+K24</f>
        <v>954845.6805</v>
      </c>
      <c r="L25" s="7" t="n">
        <f aca="false">L21+L22+L23+L24</f>
        <v>728692.062</v>
      </c>
      <c r="M25" s="7" t="n">
        <f aca="false">M21+M22+M23+M24</f>
        <v>728692.062</v>
      </c>
      <c r="N25" s="7" t="n">
        <f aca="false">N21+N22+N23+N24</f>
        <v>728692.062</v>
      </c>
      <c r="O25" s="7" t="n">
        <f aca="false">O21+O22+O23+O24</f>
        <v>954845.6805</v>
      </c>
      <c r="P25" s="7" t="n">
        <f aca="false">P21+P22+P23+P24</f>
        <v>1045804.19255</v>
      </c>
      <c r="Q25" s="7" t="n">
        <f aca="false">Q21+Q22+Q23+Q24</f>
        <v>1136762.7046</v>
      </c>
      <c r="R25" s="7" t="n">
        <f aca="false">R21+R22+R23+R24</f>
        <v>954845.6805</v>
      </c>
      <c r="S25" s="7" t="n">
        <f aca="false">S21+S22+S23+S24</f>
        <v>954845.6805</v>
      </c>
      <c r="T25" s="7" t="n">
        <f aca="false">T21+T22+T23+T24</f>
        <v>954845.6805</v>
      </c>
      <c r="U25" s="7" t="n">
        <f aca="false">U21+U22+U23+U24</f>
        <v>954845.6805</v>
      </c>
      <c r="V25" s="7" t="n">
        <f aca="false">V21+V22+V23+V24</f>
        <v>954845.6805</v>
      </c>
    </row>
    <row r="26" customFormat="false" ht="15" hidden="false" customHeight="false" outlineLevel="0" collapsed="false">
      <c r="A26" s="6" t="s">
        <v>293</v>
      </c>
      <c r="B26" s="12" t="s">
        <v>76</v>
      </c>
      <c r="C26" s="7" t="n">
        <f aca="false">(C15+C20)*INDEX(Annahmen!$D$32:$F$32,C$5)/100</f>
        <v>470094.976</v>
      </c>
      <c r="D26" s="7" t="n">
        <f aca="false">(D15+D20)*INDEX(Annahmen!$D$32:$F$32,D$5)/100</f>
        <v>290293.17</v>
      </c>
      <c r="E26" s="7" t="n">
        <f aca="false">(E15+E20)*INDEX(Annahmen!$D$32:$F$32,E$5)/100</f>
        <v>167558.1856</v>
      </c>
      <c r="F26" s="7" t="n">
        <f aca="false">(F15+F20)*INDEX(Annahmen!$D$32:$F$32,F$5)/100</f>
        <v>470094.976</v>
      </c>
      <c r="G26" s="7" t="n">
        <f aca="false">(G15+G20)*INDEX(Annahmen!$D$32:$F$32,G$5)/100</f>
        <v>470094.976</v>
      </c>
      <c r="H26" s="7" t="n">
        <f aca="false">(H15+H20)*INDEX(Annahmen!$D$32:$F$32,H$5)/100</f>
        <v>470094.976</v>
      </c>
      <c r="I26" s="7" t="n">
        <f aca="false">(I15+I20)*INDEX(Annahmen!$D$32:$F$32,I$5)/100</f>
        <v>290293.17</v>
      </c>
      <c r="J26" s="7" t="n">
        <f aca="false">(J15+J20)*INDEX(Annahmen!$D$32:$F$32,J$5)/100</f>
        <v>290293.17</v>
      </c>
      <c r="K26" s="7" t="n">
        <f aca="false">(K15+K20)*INDEX(Annahmen!$D$32:$F$32,K$5)/100</f>
        <v>290293.17</v>
      </c>
      <c r="L26" s="7" t="n">
        <f aca="false">(L15+L20)*INDEX(Annahmen!$D$32:$F$32,L$5)/100</f>
        <v>167558.1856</v>
      </c>
      <c r="M26" s="7" t="n">
        <f aca="false">(M15+M20)*INDEX(Annahmen!$D$32:$F$32,M$5)/100</f>
        <v>167558.1856</v>
      </c>
      <c r="N26" s="7" t="n">
        <f aca="false">(N15+N20)*INDEX(Annahmen!$D$32:$F$32,N$5)/100</f>
        <v>167558.1856</v>
      </c>
      <c r="O26" s="7" t="n">
        <f aca="false">(O15+O20)*INDEX(Annahmen!$D$32:$F$32,O$5)/100</f>
        <v>290293.17</v>
      </c>
      <c r="P26" s="7" t="n">
        <f aca="false">(P15+P20)*INDEX(Annahmen!$D$32:$F$32,P$5)/100</f>
        <v>317717.847</v>
      </c>
      <c r="Q26" s="7" t="n">
        <f aca="false">(Q15+Q20)*INDEX(Annahmen!$D$32:$F$32,Q$5)/100</f>
        <v>345142.524</v>
      </c>
      <c r="R26" s="7" t="n">
        <f aca="false">(R15+R20)*INDEX(Annahmen!$D$32:$F$32,R$5)/100</f>
        <v>290293.17</v>
      </c>
      <c r="S26" s="7" t="n">
        <f aca="false">(S15+S20)*INDEX(Annahmen!$D$32:$F$32,S$5)/100</f>
        <v>290293.17</v>
      </c>
      <c r="T26" s="7" t="n">
        <f aca="false">(T15+T20)*INDEX(Annahmen!$D$32:$F$32,T$5)/100</f>
        <v>290293.17</v>
      </c>
      <c r="U26" s="7" t="n">
        <f aca="false">(U15+U20)*INDEX(Annahmen!$D$32:$F$32,U$5)/100</f>
        <v>290293.17</v>
      </c>
      <c r="V26" s="7" t="n">
        <f aca="false">(V15+V20)*INDEX(Annahmen!$D$32:$F$32,V$5)/100</f>
        <v>290293.17</v>
      </c>
    </row>
    <row r="27" customFormat="false" ht="15" hidden="false" customHeight="false" outlineLevel="0" collapsed="false">
      <c r="A27" s="6" t="s">
        <v>430</v>
      </c>
      <c r="B27" s="12" t="s">
        <v>76</v>
      </c>
      <c r="C27" s="7" t="n">
        <f aca="false">C14+C15+C20+C25+C26</f>
        <v>7891180.296</v>
      </c>
      <c r="D27" s="7" t="n">
        <f aca="false">D14+D15+D20+D25+D26</f>
        <v>6319614.3505</v>
      </c>
      <c r="E27" s="7" t="n">
        <f aca="false">E14+E15+E20+E25+E26</f>
        <v>5321460.8876</v>
      </c>
      <c r="F27" s="7" t="n">
        <f aca="false">F14+F15+F20+F25+F26</f>
        <v>7891180.296</v>
      </c>
      <c r="G27" s="7" t="n">
        <f aca="false">G14+G15+G20+G25+G26</f>
        <v>7891180.296</v>
      </c>
      <c r="H27" s="7" t="n">
        <f aca="false">H14+H15+H20+H25+H26</f>
        <v>7891180.296</v>
      </c>
      <c r="I27" s="7" t="n">
        <f aca="false">I14+I15+I20+I25+I26</f>
        <v>6319614.3505</v>
      </c>
      <c r="J27" s="7" t="n">
        <f aca="false">J14+J15+J20+J25+J26</f>
        <v>6319614.3505</v>
      </c>
      <c r="K27" s="7" t="n">
        <f aca="false">K14+K15+K20+K25+K26</f>
        <v>6319614.3505</v>
      </c>
      <c r="L27" s="7" t="n">
        <f aca="false">L14+L15+L20+L25+L26</f>
        <v>5321460.8876</v>
      </c>
      <c r="M27" s="7" t="n">
        <f aca="false">M14+M15+M20+M25+M26</f>
        <v>5321460.8876</v>
      </c>
      <c r="N27" s="7" t="n">
        <f aca="false">N14+N15+N20+N25+N26</f>
        <v>5321460.8876</v>
      </c>
      <c r="O27" s="7" t="n">
        <f aca="false">O14+O15+O20+O25+O26</f>
        <v>6319614.3505</v>
      </c>
      <c r="P27" s="7" t="n">
        <f aca="false">P14+P15+P20+P25+P26</f>
        <v>6895075.48955</v>
      </c>
      <c r="Q27" s="7" t="n">
        <f aca="false">Q14+Q15+Q20+Q25+Q26</f>
        <v>7470536.6286</v>
      </c>
      <c r="R27" s="7" t="n">
        <f aca="false">R14+R15+R20+R25+R26</f>
        <v>6319614.3505</v>
      </c>
      <c r="S27" s="7" t="n">
        <f aca="false">S14+S15+S20+S25+S26</f>
        <v>6319614.3505</v>
      </c>
      <c r="T27" s="7" t="n">
        <f aca="false">T14+T15+T20+T25+T26</f>
        <v>6319614.3505</v>
      </c>
      <c r="U27" s="7" t="n">
        <f aca="false">U14+U15+U20+U25+U26</f>
        <v>6319614.3505</v>
      </c>
      <c r="V27" s="7" t="n">
        <f aca="false">V14+V15+V20+V25+V26</f>
        <v>6319614.3505</v>
      </c>
    </row>
    <row r="28" customFormat="false" ht="15" hidden="false" customHeight="false" outlineLevel="0" collapsed="false">
      <c r="A28" s="6" t="s">
        <v>431</v>
      </c>
      <c r="B28" s="12" t="s">
        <v>67</v>
      </c>
      <c r="C28" s="10" t="n">
        <f aca="false">INDEX(Annahmen!$D$39:$F$39,C$5)+C8</f>
        <v>4.9</v>
      </c>
      <c r="D28" s="10" t="n">
        <f aca="false">INDEX(Annahmen!$D$39:$F$39,D$5)+D8</f>
        <v>4.5</v>
      </c>
      <c r="E28" s="10" t="n">
        <f aca="false">INDEX(Annahmen!$D$39:$F$39,E$5)+E8</f>
        <v>4.1</v>
      </c>
      <c r="F28" s="10" t="n">
        <f aca="false">INDEX(Annahmen!$D$39:$F$39,F$5)+F8</f>
        <v>4.9</v>
      </c>
      <c r="G28" s="10" t="n">
        <f aca="false">INDEX(Annahmen!$D$39:$F$39,G$5)+G8</f>
        <v>4.9</v>
      </c>
      <c r="H28" s="10" t="n">
        <f aca="false">INDEX(Annahmen!$D$39:$F$39,H$5)+H8</f>
        <v>4.9</v>
      </c>
      <c r="I28" s="10" t="n">
        <f aca="false">INDEX(Annahmen!$D$39:$F$39,I$5)+I8</f>
        <v>4.5</v>
      </c>
      <c r="J28" s="10" t="n">
        <f aca="false">INDEX(Annahmen!$D$39:$F$39,J$5)+J8</f>
        <v>4.5</v>
      </c>
      <c r="K28" s="10" t="n">
        <f aca="false">INDEX(Annahmen!$D$39:$F$39,K$5)+K8</f>
        <v>4.5</v>
      </c>
      <c r="L28" s="10" t="n">
        <f aca="false">INDEX(Annahmen!$D$39:$F$39,L$5)+L8</f>
        <v>4.1</v>
      </c>
      <c r="M28" s="10" t="n">
        <f aca="false">INDEX(Annahmen!$D$39:$F$39,M$5)+M8</f>
        <v>4.1</v>
      </c>
      <c r="N28" s="10" t="n">
        <f aca="false">INDEX(Annahmen!$D$39:$F$39,N$5)+N8</f>
        <v>4.1</v>
      </c>
      <c r="O28" s="10" t="n">
        <f aca="false">INDEX(Annahmen!$D$39:$F$39,O$5)+O8</f>
        <v>4.5</v>
      </c>
      <c r="P28" s="10" t="n">
        <f aca="false">INDEX(Annahmen!$D$39:$F$39,P$5)+P8</f>
        <v>4.5</v>
      </c>
      <c r="Q28" s="10" t="n">
        <f aca="false">INDEX(Annahmen!$D$39:$F$39,Q$5)+Q8</f>
        <v>4.5</v>
      </c>
      <c r="R28" s="10" t="n">
        <f aca="false">INDEX(Annahmen!$D$39:$F$39,R$5)+R8</f>
        <v>5.5</v>
      </c>
      <c r="S28" s="10" t="n">
        <f aca="false">INDEX(Annahmen!$D$39:$F$39,S$5)+S8</f>
        <v>6.5</v>
      </c>
      <c r="T28" s="10" t="n">
        <f aca="false">INDEX(Annahmen!$D$39:$F$39,T$5)+T8</f>
        <v>4.5</v>
      </c>
      <c r="U28" s="10" t="n">
        <f aca="false">INDEX(Annahmen!$D$39:$F$39,U$5)+U8</f>
        <v>4.5</v>
      </c>
      <c r="V28" s="10" t="n">
        <f aca="false">INDEX(Annahmen!$D$39:$F$39,V$5)+V8</f>
        <v>4.5</v>
      </c>
    </row>
    <row r="29" customFormat="false" ht="15" hidden="false" customHeight="false" outlineLevel="0" collapsed="false">
      <c r="A29" s="6" t="s">
        <v>135</v>
      </c>
      <c r="B29" s="12" t="s">
        <v>67</v>
      </c>
      <c r="C29" s="10" t="n">
        <f aca="false">IF(C11="",INDEX(Annahmen!$D$42:$F$42,C$5),C11)</f>
        <v>2</v>
      </c>
      <c r="D29" s="10" t="n">
        <f aca="false">IF(D11="",INDEX(Annahmen!$D$42:$F$42,D$5),D11)</f>
        <v>2</v>
      </c>
      <c r="E29" s="10" t="n">
        <f aca="false">IF(E11="",INDEX(Annahmen!$D$42:$F$42,E$5),E11)</f>
        <v>2</v>
      </c>
      <c r="F29" s="10" t="n">
        <f aca="false">IF(F11="",INDEX(Annahmen!$D$42:$F$42,F$5),F11)</f>
        <v>2</v>
      </c>
      <c r="G29" s="10" t="n">
        <f aca="false">IF(G11="",INDEX(Annahmen!$D$42:$F$42,G$5),G11)</f>
        <v>2</v>
      </c>
      <c r="H29" s="10" t="n">
        <f aca="false">IF(H11="",INDEX(Annahmen!$D$42:$F$42,H$5),H11)</f>
        <v>2</v>
      </c>
      <c r="I29" s="10" t="n">
        <f aca="false">IF(I11="",INDEX(Annahmen!$D$42:$F$42,I$5),I11)</f>
        <v>2</v>
      </c>
      <c r="J29" s="10" t="n">
        <f aca="false">IF(J11="",INDEX(Annahmen!$D$42:$F$42,J$5),J11)</f>
        <v>2</v>
      </c>
      <c r="K29" s="10" t="n">
        <f aca="false">IF(K11="",INDEX(Annahmen!$D$42:$F$42,K$5),K11)</f>
        <v>2</v>
      </c>
      <c r="L29" s="10" t="n">
        <f aca="false">IF(L11="",INDEX(Annahmen!$D$42:$F$42,L$5),L11)</f>
        <v>2</v>
      </c>
      <c r="M29" s="10" t="n">
        <f aca="false">IF(M11="",INDEX(Annahmen!$D$42:$F$42,M$5),M11)</f>
        <v>2</v>
      </c>
      <c r="N29" s="10" t="n">
        <f aca="false">IF(N11="",INDEX(Annahmen!$D$42:$F$42,N$5),N11)</f>
        <v>2</v>
      </c>
      <c r="O29" s="10" t="n">
        <f aca="false">IF(O11="",INDEX(Annahmen!$D$42:$F$42,O$5),O11)</f>
        <v>1</v>
      </c>
      <c r="P29" s="10" t="n">
        <f aca="false">IF(P11="",INDEX(Annahmen!$D$42:$F$42,P$5),P11)</f>
        <v>2</v>
      </c>
      <c r="Q29" s="10" t="n">
        <f aca="false">IF(Q11="",INDEX(Annahmen!$D$42:$F$42,Q$5),Q11)</f>
        <v>2</v>
      </c>
      <c r="R29" s="10" t="n">
        <f aca="false">IF(R11="",INDEX(Annahmen!$D$42:$F$42,R$5),R11)</f>
        <v>2</v>
      </c>
      <c r="S29" s="10" t="n">
        <f aca="false">IF(S11="",INDEX(Annahmen!$D$42:$F$42,S$5),S11)</f>
        <v>2</v>
      </c>
      <c r="T29" s="10" t="n">
        <f aca="false">IF(T11="",INDEX(Annahmen!$D$42:$F$42,T$5),T11)</f>
        <v>2</v>
      </c>
      <c r="U29" s="10" t="n">
        <f aca="false">IF(U11="",INDEX(Annahmen!$D$42:$F$42,U$5),U11)</f>
        <v>2</v>
      </c>
      <c r="V29" s="10" t="n">
        <f aca="false">IF(V11="",INDEX(Annahmen!$D$42:$F$42,V$5),V11)</f>
        <v>2</v>
      </c>
    </row>
    <row r="30" customFormat="false" ht="15" hidden="false" customHeight="false" outlineLevel="0" collapsed="false">
      <c r="A30" s="6" t="s">
        <v>432</v>
      </c>
      <c r="B30" s="12"/>
      <c r="C30" s="30" t="n">
        <f aca="false">C28/100*(INDEX(Annahmen!$D$34:$F$34,C$5)/12*INDEX(Annahmen!$D$35:$F$35,C$5)/100+INDEX(Annahmen!$D$36:$F$36,C$5)/12)+INDEX(Annahmen!$D$37:$F$37,C$5)/100</f>
        <v>0.077375</v>
      </c>
      <c r="D30" s="30" t="n">
        <f aca="false">D28/100*(INDEX(Annahmen!$D$34:$F$34,D$5)/12*INDEX(Annahmen!$D$35:$F$35,D$5)/100+INDEX(Annahmen!$D$36:$F$36,D$5)/12)+INDEX(Annahmen!$D$37:$F$37,D$5)/100</f>
        <v>0.060625</v>
      </c>
      <c r="E30" s="30" t="n">
        <f aca="false">E28/100*(INDEX(Annahmen!$D$34:$F$34,E$5)/12*INDEX(Annahmen!$D$35:$F$35,E$5)/100+INDEX(Annahmen!$D$36:$F$36,E$5)/12)+INDEX(Annahmen!$D$37:$F$37,E$5)/100</f>
        <v>0.045875</v>
      </c>
      <c r="F30" s="30" t="n">
        <f aca="false">F28/100*(INDEX(Annahmen!$D$34:$F$34,F$5)/12*INDEX(Annahmen!$D$35:$F$35,F$5)/100+INDEX(Annahmen!$D$36:$F$36,F$5)/12)+INDEX(Annahmen!$D$37:$F$37,F$5)/100</f>
        <v>0.077375</v>
      </c>
      <c r="G30" s="30" t="n">
        <f aca="false">G28/100*(INDEX(Annahmen!$D$34:$F$34,G$5)/12*INDEX(Annahmen!$D$35:$F$35,G$5)/100+INDEX(Annahmen!$D$36:$F$36,G$5)/12)+INDEX(Annahmen!$D$37:$F$37,G$5)/100</f>
        <v>0.077375</v>
      </c>
      <c r="H30" s="30" t="n">
        <f aca="false">H28/100*(INDEX(Annahmen!$D$34:$F$34,H$5)/12*INDEX(Annahmen!$D$35:$F$35,H$5)/100+INDEX(Annahmen!$D$36:$F$36,H$5)/12)+INDEX(Annahmen!$D$37:$F$37,H$5)/100</f>
        <v>0.077375</v>
      </c>
      <c r="I30" s="30" t="n">
        <f aca="false">I28/100*(INDEX(Annahmen!$D$34:$F$34,I$5)/12*INDEX(Annahmen!$D$35:$F$35,I$5)/100+INDEX(Annahmen!$D$36:$F$36,I$5)/12)+INDEX(Annahmen!$D$37:$F$37,I$5)/100</f>
        <v>0.060625</v>
      </c>
      <c r="J30" s="30" t="n">
        <f aca="false">J28/100*(INDEX(Annahmen!$D$34:$F$34,J$5)/12*INDEX(Annahmen!$D$35:$F$35,J$5)/100+INDEX(Annahmen!$D$36:$F$36,J$5)/12)+INDEX(Annahmen!$D$37:$F$37,J$5)/100</f>
        <v>0.060625</v>
      </c>
      <c r="K30" s="30" t="n">
        <f aca="false">K28/100*(INDEX(Annahmen!$D$34:$F$34,K$5)/12*INDEX(Annahmen!$D$35:$F$35,K$5)/100+INDEX(Annahmen!$D$36:$F$36,K$5)/12)+INDEX(Annahmen!$D$37:$F$37,K$5)/100</f>
        <v>0.060625</v>
      </c>
      <c r="L30" s="30" t="n">
        <f aca="false">L28/100*(INDEX(Annahmen!$D$34:$F$34,L$5)/12*INDEX(Annahmen!$D$35:$F$35,L$5)/100+INDEX(Annahmen!$D$36:$F$36,L$5)/12)+INDEX(Annahmen!$D$37:$F$37,L$5)/100</f>
        <v>0.045875</v>
      </c>
      <c r="M30" s="30" t="n">
        <f aca="false">M28/100*(INDEX(Annahmen!$D$34:$F$34,M$5)/12*INDEX(Annahmen!$D$35:$F$35,M$5)/100+INDEX(Annahmen!$D$36:$F$36,M$5)/12)+INDEX(Annahmen!$D$37:$F$37,M$5)/100</f>
        <v>0.045875</v>
      </c>
      <c r="N30" s="30" t="n">
        <f aca="false">N28/100*(INDEX(Annahmen!$D$34:$F$34,N$5)/12*INDEX(Annahmen!$D$35:$F$35,N$5)/100+INDEX(Annahmen!$D$36:$F$36,N$5)/12)+INDEX(Annahmen!$D$37:$F$37,N$5)/100</f>
        <v>0.045875</v>
      </c>
      <c r="O30" s="30" t="n">
        <f aca="false">O28/100*(INDEX(Annahmen!$D$34:$F$34,O$5)/12*INDEX(Annahmen!$D$35:$F$35,O$5)/100+INDEX(Annahmen!$D$36:$F$36,O$5)/12)+INDEX(Annahmen!$D$37:$F$37,O$5)/100</f>
        <v>0.060625</v>
      </c>
      <c r="P30" s="30" t="n">
        <f aca="false">P28/100*(INDEX(Annahmen!$D$34:$F$34,P$5)/12*INDEX(Annahmen!$D$35:$F$35,P$5)/100+INDEX(Annahmen!$D$36:$F$36,P$5)/12)+INDEX(Annahmen!$D$37:$F$37,P$5)/100</f>
        <v>0.060625</v>
      </c>
      <c r="Q30" s="30" t="n">
        <f aca="false">Q28/100*(INDEX(Annahmen!$D$34:$F$34,Q$5)/12*INDEX(Annahmen!$D$35:$F$35,Q$5)/100+INDEX(Annahmen!$D$36:$F$36,Q$5)/12)+INDEX(Annahmen!$D$37:$F$37,Q$5)/100</f>
        <v>0.060625</v>
      </c>
      <c r="R30" s="30" t="n">
        <f aca="false">R28/100*(INDEX(Annahmen!$D$34:$F$34,R$5)/12*INDEX(Annahmen!$D$35:$F$35,R$5)/100+INDEX(Annahmen!$D$36:$F$36,R$5)/12)+INDEX(Annahmen!$D$37:$F$37,R$5)/100</f>
        <v>0.071875</v>
      </c>
      <c r="S30" s="30" t="n">
        <f aca="false">S28/100*(INDEX(Annahmen!$D$34:$F$34,S$5)/12*INDEX(Annahmen!$D$35:$F$35,S$5)/100+INDEX(Annahmen!$D$36:$F$36,S$5)/12)+INDEX(Annahmen!$D$37:$F$37,S$5)/100</f>
        <v>0.083125</v>
      </c>
      <c r="T30" s="30" t="n">
        <f aca="false">T28/100*(INDEX(Annahmen!$D$34:$F$34,T$5)/12*INDEX(Annahmen!$D$35:$F$35,T$5)/100+INDEX(Annahmen!$D$36:$F$36,T$5)/12)+INDEX(Annahmen!$D$37:$F$37,T$5)/100</f>
        <v>0.060625</v>
      </c>
      <c r="U30" s="30" t="n">
        <f aca="false">U28/100*(INDEX(Annahmen!$D$34:$F$34,U$5)/12*INDEX(Annahmen!$D$35:$F$35,U$5)/100+INDEX(Annahmen!$D$36:$F$36,U$5)/12)+INDEX(Annahmen!$D$37:$F$37,U$5)/100</f>
        <v>0.060625</v>
      </c>
      <c r="V30" s="30" t="n">
        <f aca="false">V28/100*(INDEX(Annahmen!$D$34:$F$34,V$5)/12*INDEX(Annahmen!$D$35:$F$35,V$5)/100+INDEX(Annahmen!$D$36:$F$36,V$5)/12)+INDEX(Annahmen!$D$37:$F$37,V$5)/100</f>
        <v>0.060625</v>
      </c>
    </row>
    <row r="31" customFormat="false" ht="15" hidden="false" customHeight="false" outlineLevel="0" collapsed="false">
      <c r="A31" s="4" t="s">
        <v>433</v>
      </c>
      <c r="B31" s="12" t="s">
        <v>76</v>
      </c>
      <c r="C31" s="25" t="n">
        <f aca="false">C27/(1-(1-C6)*C30)</f>
        <v>8411875.38215542</v>
      </c>
      <c r="D31" s="25" t="n">
        <f aca="false">D27/(1-(1-D6)*D30)</f>
        <v>6641738.67630058</v>
      </c>
      <c r="E31" s="25" t="n">
        <f aca="false">E27/(1-(1-E6)*E30)</f>
        <v>5524198.99055331</v>
      </c>
      <c r="F31" s="25" t="n">
        <f aca="false">F27/(1-(1-F6)*F30)</f>
        <v>8552966.04362552</v>
      </c>
      <c r="G31" s="25" t="n">
        <f aca="false">G27/(1-(1-G6)*G30)</f>
        <v>8481834.01201145</v>
      </c>
      <c r="H31" s="25" t="n">
        <f aca="false">H27/(1-(1-H6)*H30)</f>
        <v>8343061.35673411</v>
      </c>
      <c r="I31" s="25" t="n">
        <f aca="false">I27/(1-(1-I6)*I30)</f>
        <v>6727467.03978709</v>
      </c>
      <c r="J31" s="25" t="n">
        <f aca="false">J27/(1-(1-J6)*J30)</f>
        <v>6684327.99682687</v>
      </c>
      <c r="K31" s="25" t="n">
        <f aca="false">K27/(1-(1-K6)*K30)</f>
        <v>6599688.63703414</v>
      </c>
      <c r="L31" s="25" t="n">
        <f aca="false">L27/(1-(1-L6)*L30)</f>
        <v>5577320.46388052</v>
      </c>
      <c r="M31" s="25" t="n">
        <f aca="false">M27/(1-(1-M6)*M30)</f>
        <v>5550632.63241066</v>
      </c>
      <c r="N31" s="25" t="n">
        <f aca="false">N27/(1-(1-N6)*N30)</f>
        <v>5498015.92395811</v>
      </c>
      <c r="O31" s="25" t="n">
        <f aca="false">O27/(1-(1-O6)*O30)</f>
        <v>6641738.67630058</v>
      </c>
      <c r="P31" s="25" t="n">
        <f aca="false">P27/(1-(1-P6)*P30)</f>
        <v>7246532.30641093</v>
      </c>
      <c r="Q31" s="25" t="n">
        <f aca="false">Q27/(1-(1-Q6)*Q30)</f>
        <v>7851325.93652128</v>
      </c>
      <c r="R31" s="25" t="n">
        <f aca="false">R27/(1-(1-R6)*R30)</f>
        <v>6705161.11458886</v>
      </c>
      <c r="S31" s="25" t="n">
        <f aca="false">S27/(1-(1-S6)*S30)</f>
        <v>6769806.48152116</v>
      </c>
      <c r="T31" s="25" t="n">
        <f aca="false">T27/(1-(1-T6)*T30)</f>
        <v>6641738.67630058</v>
      </c>
      <c r="U31" s="25" t="n">
        <f aca="false">U27/(1-(1-U6)*U30)</f>
        <v>6641738.67630058</v>
      </c>
      <c r="V31" s="25" t="n">
        <f aca="false">V27/(1-(1-V6)*V30)</f>
        <v>6641738.67630058</v>
      </c>
    </row>
    <row r="32" customFormat="false" ht="15" hidden="false" customHeight="false" outlineLevel="0" collapsed="false">
      <c r="A32" s="6" t="s">
        <v>434</v>
      </c>
      <c r="B32" s="12" t="s">
        <v>76</v>
      </c>
      <c r="C32" s="7" t="n">
        <f aca="false">C31-C27</f>
        <v>520695.08615542</v>
      </c>
      <c r="D32" s="7" t="n">
        <f aca="false">D31-D27</f>
        <v>322124.325800578</v>
      </c>
      <c r="E32" s="7" t="n">
        <f aca="false">E31-E27</f>
        <v>202738.102953306</v>
      </c>
      <c r="F32" s="7" t="n">
        <f aca="false">F31-F27</f>
        <v>661785.747625524</v>
      </c>
      <c r="G32" s="7" t="n">
        <f aca="false">G31-G27</f>
        <v>590653.716011448</v>
      </c>
      <c r="H32" s="7" t="n">
        <f aca="false">H31-H27</f>
        <v>451881.060734111</v>
      </c>
      <c r="I32" s="7" t="n">
        <f aca="false">I31-I27</f>
        <v>407852.689287093</v>
      </c>
      <c r="J32" s="7" t="n">
        <f aca="false">J31-J27</f>
        <v>364713.646326866</v>
      </c>
      <c r="K32" s="7" t="n">
        <f aca="false">K31-K27</f>
        <v>280074.286534136</v>
      </c>
      <c r="L32" s="7" t="n">
        <f aca="false">L31-L27</f>
        <v>255859.576280518</v>
      </c>
      <c r="M32" s="7" t="n">
        <f aca="false">M31-M27</f>
        <v>229171.744810655</v>
      </c>
      <c r="N32" s="7" t="n">
        <f aca="false">N31-N27</f>
        <v>176555.036358105</v>
      </c>
      <c r="O32" s="7" t="n">
        <f aca="false">O31-O27</f>
        <v>322124.325800578</v>
      </c>
      <c r="P32" s="7" t="n">
        <f aca="false">P31-P27</f>
        <v>351456.81686093</v>
      </c>
      <c r="Q32" s="7" t="n">
        <f aca="false">Q31-Q27</f>
        <v>380789.307921282</v>
      </c>
      <c r="R32" s="7" t="n">
        <f aca="false">R31-R27</f>
        <v>385546.76408886</v>
      </c>
      <c r="S32" s="7" t="n">
        <f aca="false">S31-S27</f>
        <v>450192.131021157</v>
      </c>
      <c r="T32" s="7" t="n">
        <f aca="false">T31-T27</f>
        <v>322124.325800578</v>
      </c>
      <c r="U32" s="7" t="n">
        <f aca="false">U31-U27</f>
        <v>322124.325800578</v>
      </c>
      <c r="V32" s="7" t="n">
        <f aca="false">V31-V27</f>
        <v>322124.325800578</v>
      </c>
    </row>
    <row r="33" customFormat="false" ht="15" hidden="false" customHeight="false" outlineLevel="0" collapsed="false">
      <c r="A33" s="4" t="s">
        <v>9</v>
      </c>
      <c r="B33" s="12" t="s">
        <v>76</v>
      </c>
      <c r="C33" s="7" t="n">
        <f aca="false">(1-C6)*C31</f>
        <v>6729500.30572434</v>
      </c>
      <c r="D33" s="7" t="n">
        <f aca="false">(1-D6)*D31</f>
        <v>5313390.94104046</v>
      </c>
      <c r="E33" s="7" t="n">
        <f aca="false">(1-E6)*E31</f>
        <v>4419359.19244265</v>
      </c>
      <c r="F33" s="7" t="n">
        <f aca="false">(1-F6)*F31</f>
        <v>8552966.04362552</v>
      </c>
      <c r="G33" s="7" t="n">
        <f aca="false">(1-G6)*G31</f>
        <v>7633650.6108103</v>
      </c>
      <c r="H33" s="7" t="n">
        <f aca="false">(1-H6)*H31</f>
        <v>5840142.94971388</v>
      </c>
      <c r="I33" s="7" t="n">
        <f aca="false">(1-I6)*I31</f>
        <v>6727467.03978709</v>
      </c>
      <c r="J33" s="7" t="n">
        <f aca="false">(1-J6)*J31</f>
        <v>6015895.19714418</v>
      </c>
      <c r="K33" s="7" t="n">
        <f aca="false">(1-K6)*K31</f>
        <v>4619782.0459239</v>
      </c>
      <c r="L33" s="7" t="n">
        <f aca="false">(1-L6)*L31</f>
        <v>5577320.46388052</v>
      </c>
      <c r="M33" s="7" t="n">
        <f aca="false">(1-M6)*M31</f>
        <v>4995569.36916959</v>
      </c>
      <c r="N33" s="7" t="n">
        <f aca="false">(1-N6)*N31</f>
        <v>3848611.14677067</v>
      </c>
      <c r="O33" s="7" t="n">
        <f aca="false">(1-O6)*O31</f>
        <v>5313390.94104046</v>
      </c>
      <c r="P33" s="7" t="n">
        <f aca="false">(1-P6)*P31</f>
        <v>5797225.84512875</v>
      </c>
      <c r="Q33" s="7" t="n">
        <f aca="false">(1-Q6)*Q31</f>
        <v>6281060.74921703</v>
      </c>
      <c r="R33" s="7" t="n">
        <f aca="false">(1-R6)*R31</f>
        <v>5364128.89167109</v>
      </c>
      <c r="S33" s="7" t="n">
        <f aca="false">(1-S6)*S31</f>
        <v>5415845.18521693</v>
      </c>
      <c r="T33" s="7" t="n">
        <f aca="false">(1-T6)*T31</f>
        <v>5313390.94104046</v>
      </c>
      <c r="U33" s="7" t="n">
        <f aca="false">(1-U6)*U31</f>
        <v>5313390.94104046</v>
      </c>
      <c r="V33" s="7" t="n">
        <f aca="false">(1-V6)*V31</f>
        <v>5313390.94104046</v>
      </c>
    </row>
    <row r="34" customFormat="false" ht="15" hidden="false" customHeight="false" outlineLevel="0" collapsed="false">
      <c r="A34" s="6" t="s">
        <v>8</v>
      </c>
      <c r="B34" s="12" t="s">
        <v>76</v>
      </c>
      <c r="C34" s="7" t="n">
        <f aca="false">C6*C31</f>
        <v>1682375.07643108</v>
      </c>
      <c r="D34" s="7" t="n">
        <f aca="false">D6*D31</f>
        <v>1328347.73526012</v>
      </c>
      <c r="E34" s="7" t="n">
        <f aca="false">E6*E31</f>
        <v>1104839.79811066</v>
      </c>
      <c r="F34" s="7" t="n">
        <f aca="false">F6*F31</f>
        <v>0</v>
      </c>
      <c r="G34" s="7" t="n">
        <f aca="false">G6*G31</f>
        <v>848183.401201145</v>
      </c>
      <c r="H34" s="7" t="n">
        <f aca="false">H6*H31</f>
        <v>2502918.40702023</v>
      </c>
      <c r="I34" s="7" t="n">
        <f aca="false">I6*I31</f>
        <v>0</v>
      </c>
      <c r="J34" s="7" t="n">
        <f aca="false">J6*J31</f>
        <v>668432.799682687</v>
      </c>
      <c r="K34" s="7" t="n">
        <f aca="false">K6*K31</f>
        <v>1979906.59111024</v>
      </c>
      <c r="L34" s="7" t="n">
        <f aca="false">L6*L31</f>
        <v>0</v>
      </c>
      <c r="M34" s="7" t="n">
        <f aca="false">M6*M31</f>
        <v>555063.263241066</v>
      </c>
      <c r="N34" s="7" t="n">
        <f aca="false">N6*N31</f>
        <v>1649404.77718743</v>
      </c>
      <c r="O34" s="7" t="n">
        <f aca="false">O6*O31</f>
        <v>1328347.73526012</v>
      </c>
      <c r="P34" s="7" t="n">
        <f aca="false">P6*P31</f>
        <v>1449306.46128219</v>
      </c>
      <c r="Q34" s="7" t="n">
        <f aca="false">Q6*Q31</f>
        <v>1570265.18730426</v>
      </c>
      <c r="R34" s="7" t="n">
        <f aca="false">R6*R31</f>
        <v>1341032.22291777</v>
      </c>
      <c r="S34" s="7" t="n">
        <f aca="false">S6*S31</f>
        <v>1353961.29630423</v>
      </c>
      <c r="T34" s="7" t="n">
        <f aca="false">T6*T31</f>
        <v>1328347.73526012</v>
      </c>
      <c r="U34" s="7" t="n">
        <f aca="false">U6*U31</f>
        <v>1328347.73526012</v>
      </c>
      <c r="V34" s="7" t="n">
        <f aca="false">V6*V31</f>
        <v>1328347.73526012</v>
      </c>
    </row>
    <row r="35" customFormat="false" ht="15" hidden="false" customHeight="false" outlineLevel="0" collapsed="false">
      <c r="A35" s="6" t="s">
        <v>435</v>
      </c>
      <c r="B35" s="12" t="s">
        <v>76</v>
      </c>
      <c r="C35" s="7" t="n">
        <f aca="false">C33*C28/100</f>
        <v>329745.514980493</v>
      </c>
      <c r="D35" s="7" t="n">
        <f aca="false">D33*D28/100</f>
        <v>239102.592346821</v>
      </c>
      <c r="E35" s="7" t="n">
        <f aca="false">E33*E28/100</f>
        <v>181193.726890148</v>
      </c>
      <c r="F35" s="7" t="n">
        <f aca="false">F33*F28/100</f>
        <v>419095.336137651</v>
      </c>
      <c r="G35" s="7" t="n">
        <f aca="false">G33*G28/100</f>
        <v>374048.879929705</v>
      </c>
      <c r="H35" s="7" t="n">
        <f aca="false">H33*H28/100</f>
        <v>286167.00453598</v>
      </c>
      <c r="I35" s="7" t="n">
        <f aca="false">I33*I28/100</f>
        <v>302736.016790419</v>
      </c>
      <c r="J35" s="7" t="n">
        <f aca="false">J33*J28/100</f>
        <v>270715.283871488</v>
      </c>
      <c r="K35" s="7" t="n">
        <f aca="false">K33*K28/100</f>
        <v>207890.192066575</v>
      </c>
      <c r="L35" s="7" t="n">
        <f aca="false">L33*L28/100</f>
        <v>228670.139019101</v>
      </c>
      <c r="M35" s="7" t="n">
        <f aca="false">M33*M28/100</f>
        <v>204818.344135953</v>
      </c>
      <c r="N35" s="7" t="n">
        <f aca="false">N33*N28/100</f>
        <v>157793.057017598</v>
      </c>
      <c r="O35" s="7" t="n">
        <f aca="false">O33*O28/100</f>
        <v>239102.592346821</v>
      </c>
      <c r="P35" s="7" t="n">
        <f aca="false">P33*P28/100</f>
        <v>260875.163030794</v>
      </c>
      <c r="Q35" s="7" t="n">
        <f aca="false">Q33*Q28/100</f>
        <v>282647.733714766</v>
      </c>
      <c r="R35" s="7" t="n">
        <f aca="false">R33*R28/100</f>
        <v>295027.08904191</v>
      </c>
      <c r="S35" s="7" t="n">
        <f aca="false">S33*S28/100</f>
        <v>352029.9370391</v>
      </c>
      <c r="T35" s="7" t="n">
        <f aca="false">T33*T28/100</f>
        <v>239102.592346821</v>
      </c>
      <c r="U35" s="7" t="n">
        <f aca="false">U33*U28/100</f>
        <v>239102.592346821</v>
      </c>
      <c r="V35" s="7" t="n">
        <f aca="false">V33*V28/100</f>
        <v>239102.592346821</v>
      </c>
    </row>
    <row r="36" customFormat="false" ht="15" hidden="false" customHeight="false" outlineLevel="0" collapsed="false">
      <c r="A36" s="6" t="s">
        <v>436</v>
      </c>
      <c r="B36" s="12" t="s">
        <v>76</v>
      </c>
      <c r="C36" s="7" t="n">
        <f aca="false">C33*C29/100</f>
        <v>134590.006114487</v>
      </c>
      <c r="D36" s="7" t="n">
        <f aca="false">D33*D29/100</f>
        <v>106267.818820809</v>
      </c>
      <c r="E36" s="7" t="n">
        <f aca="false">E33*E29/100</f>
        <v>88387.1838488529</v>
      </c>
      <c r="F36" s="7" t="n">
        <f aca="false">F33*F29/100</f>
        <v>171059.320872511</v>
      </c>
      <c r="G36" s="7" t="n">
        <f aca="false">G33*G29/100</f>
        <v>152673.012216206</v>
      </c>
      <c r="H36" s="7" t="n">
        <f aca="false">H33*H29/100</f>
        <v>116802.858994278</v>
      </c>
      <c r="I36" s="7" t="n">
        <f aca="false">I33*I29/100</f>
        <v>134549.340795742</v>
      </c>
      <c r="J36" s="7" t="n">
        <f aca="false">J33*J29/100</f>
        <v>120317.903942884</v>
      </c>
      <c r="K36" s="7" t="n">
        <f aca="false">K33*K29/100</f>
        <v>92395.6409184779</v>
      </c>
      <c r="L36" s="7" t="n">
        <f aca="false">L33*L29/100</f>
        <v>111546.40927761</v>
      </c>
      <c r="M36" s="7" t="n">
        <f aca="false">M33*M29/100</f>
        <v>99911.3873833918</v>
      </c>
      <c r="N36" s="7" t="n">
        <f aca="false">N33*N29/100</f>
        <v>76972.2229354135</v>
      </c>
      <c r="O36" s="7" t="n">
        <f aca="false">O33*O29/100</f>
        <v>53133.9094104046</v>
      </c>
      <c r="P36" s="7" t="n">
        <f aca="false">P33*P29/100</f>
        <v>115944.516902575</v>
      </c>
      <c r="Q36" s="7" t="n">
        <f aca="false">Q33*Q29/100</f>
        <v>125621.214984341</v>
      </c>
      <c r="R36" s="7" t="n">
        <f aca="false">R33*R29/100</f>
        <v>107282.577833422</v>
      </c>
      <c r="S36" s="7" t="n">
        <f aca="false">S33*S29/100</f>
        <v>108316.903704339</v>
      </c>
      <c r="T36" s="7" t="n">
        <f aca="false">T33*T29/100</f>
        <v>106267.818820809</v>
      </c>
      <c r="U36" s="7" t="n">
        <f aca="false">U33*U29/100</f>
        <v>106267.818820809</v>
      </c>
      <c r="V36" s="7" t="n">
        <f aca="false">V33*V29/100</f>
        <v>106267.818820809</v>
      </c>
    </row>
    <row r="37" customFormat="false" ht="15" hidden="false" customHeight="false" outlineLevel="0" collapsed="false">
      <c r="A37" s="6" t="s">
        <v>12</v>
      </c>
      <c r="B37" s="12" t="s">
        <v>76</v>
      </c>
      <c r="C37" s="7" t="n">
        <f aca="false">C35+C36</f>
        <v>464335.521094979</v>
      </c>
      <c r="D37" s="7" t="n">
        <f aca="false">D35+D36</f>
        <v>345370.41116763</v>
      </c>
      <c r="E37" s="7" t="n">
        <f aca="false">E35+E36</f>
        <v>269580.910739001</v>
      </c>
      <c r="F37" s="7" t="n">
        <f aca="false">F35+F36</f>
        <v>590154.657010161</v>
      </c>
      <c r="G37" s="7" t="n">
        <f aca="false">G35+G36</f>
        <v>526721.892145911</v>
      </c>
      <c r="H37" s="7" t="n">
        <f aca="false">H35+H36</f>
        <v>402969.863530258</v>
      </c>
      <c r="I37" s="7" t="n">
        <f aca="false">I35+I36</f>
        <v>437285.357586161</v>
      </c>
      <c r="J37" s="7" t="n">
        <f aca="false">J35+J36</f>
        <v>391033.187814372</v>
      </c>
      <c r="K37" s="7" t="n">
        <f aca="false">K35+K36</f>
        <v>300285.832985053</v>
      </c>
      <c r="L37" s="7" t="n">
        <f aca="false">L35+L36</f>
        <v>340216.548296712</v>
      </c>
      <c r="M37" s="7" t="n">
        <f aca="false">M35+M36</f>
        <v>304729.731519345</v>
      </c>
      <c r="N37" s="7" t="n">
        <f aca="false">N35+N36</f>
        <v>234765.279953011</v>
      </c>
      <c r="O37" s="7" t="n">
        <f aca="false">O35+O36</f>
        <v>292236.501757226</v>
      </c>
      <c r="P37" s="7" t="n">
        <f aca="false">P35+P36</f>
        <v>376819.679933368</v>
      </c>
      <c r="Q37" s="7" t="n">
        <f aca="false">Q35+Q36</f>
        <v>408268.948699107</v>
      </c>
      <c r="R37" s="7" t="n">
        <f aca="false">R35+R36</f>
        <v>402309.666875332</v>
      </c>
      <c r="S37" s="7" t="n">
        <f aca="false">S35+S36</f>
        <v>460346.840743439</v>
      </c>
      <c r="T37" s="7" t="n">
        <f aca="false">T35+T36</f>
        <v>345370.41116763</v>
      </c>
      <c r="U37" s="7" t="n">
        <f aca="false">U35+U36</f>
        <v>345370.41116763</v>
      </c>
      <c r="V37" s="7" t="n">
        <f aca="false">V35+V36</f>
        <v>345370.41116763</v>
      </c>
    </row>
    <row r="38" customFormat="false" ht="15" hidden="false" customHeight="false" outlineLevel="0" collapsed="false">
      <c r="A38" s="6" t="s">
        <v>318</v>
      </c>
      <c r="B38" s="12" t="s">
        <v>76</v>
      </c>
      <c r="C38" s="7" t="n">
        <f aca="false">C37/12</f>
        <v>38694.6267579149</v>
      </c>
      <c r="D38" s="7" t="n">
        <f aca="false">D37/12</f>
        <v>28780.8675973025</v>
      </c>
      <c r="E38" s="7" t="n">
        <f aca="false">E37/12</f>
        <v>22465.0758949168</v>
      </c>
      <c r="F38" s="7" t="n">
        <f aca="false">F37/12</f>
        <v>49179.5547508468</v>
      </c>
      <c r="G38" s="7" t="n">
        <f aca="false">G37/12</f>
        <v>43893.4910121593</v>
      </c>
      <c r="H38" s="7" t="n">
        <f aca="false">H37/12</f>
        <v>33580.8219608548</v>
      </c>
      <c r="I38" s="7" t="n">
        <f aca="false">I37/12</f>
        <v>36440.4464655134</v>
      </c>
      <c r="J38" s="7" t="n">
        <f aca="false">J37/12</f>
        <v>32586.098984531</v>
      </c>
      <c r="K38" s="7" t="n">
        <f aca="false">K37/12</f>
        <v>25023.8194154211</v>
      </c>
      <c r="L38" s="7" t="n">
        <f aca="false">L37/12</f>
        <v>28351.379024726</v>
      </c>
      <c r="M38" s="7" t="n">
        <f aca="false">M37/12</f>
        <v>25394.1442932788</v>
      </c>
      <c r="N38" s="7" t="n">
        <f aca="false">N37/12</f>
        <v>19563.7733294176</v>
      </c>
      <c r="O38" s="7" t="n">
        <f aca="false">O37/12</f>
        <v>24353.0418131021</v>
      </c>
      <c r="P38" s="7" t="n">
        <f aca="false">P37/12</f>
        <v>31401.6399944474</v>
      </c>
      <c r="Q38" s="7" t="n">
        <f aca="false">Q37/12</f>
        <v>34022.4123915922</v>
      </c>
      <c r="R38" s="7" t="n">
        <f aca="false">R37/12</f>
        <v>33525.8055729443</v>
      </c>
      <c r="S38" s="7" t="n">
        <f aca="false">S37/12</f>
        <v>38362.2367286199</v>
      </c>
      <c r="T38" s="7" t="n">
        <f aca="false">T37/12</f>
        <v>28780.8675973025</v>
      </c>
      <c r="U38" s="7" t="n">
        <f aca="false">U37/12</f>
        <v>28780.8675973025</v>
      </c>
      <c r="V38" s="7" t="n">
        <f aca="false">V37/12</f>
        <v>28780.8675973025</v>
      </c>
    </row>
    <row r="39" customFormat="false" ht="15" hidden="false" customHeight="false" outlineLevel="0" collapsed="false">
      <c r="A39" s="6" t="s">
        <v>10</v>
      </c>
      <c r="B39" s="12" t="s">
        <v>76</v>
      </c>
      <c r="C39" s="7" t="n">
        <f aca="false">C35/12</f>
        <v>27478.792915041</v>
      </c>
      <c r="D39" s="7" t="n">
        <f aca="false">D35/12</f>
        <v>19925.2160289017</v>
      </c>
      <c r="E39" s="7" t="n">
        <f aca="false">E35/12</f>
        <v>15099.4772408457</v>
      </c>
      <c r="F39" s="7" t="n">
        <f aca="false">F35/12</f>
        <v>34924.6113448042</v>
      </c>
      <c r="G39" s="7" t="n">
        <f aca="false">G35/12</f>
        <v>31170.7399941421</v>
      </c>
      <c r="H39" s="7" t="n">
        <f aca="false">H35/12</f>
        <v>23847.2503779983</v>
      </c>
      <c r="I39" s="7" t="n">
        <f aca="false">I35/12</f>
        <v>25228.0013992016</v>
      </c>
      <c r="J39" s="7" t="n">
        <f aca="false">J35/12</f>
        <v>22559.6069892907</v>
      </c>
      <c r="K39" s="7" t="n">
        <f aca="false">K35/12</f>
        <v>17324.1826722146</v>
      </c>
      <c r="L39" s="7" t="n">
        <f aca="false">L35/12</f>
        <v>19055.8449182584</v>
      </c>
      <c r="M39" s="7" t="n">
        <f aca="false">M35/12</f>
        <v>17068.1953446628</v>
      </c>
      <c r="N39" s="7" t="n">
        <f aca="false">N35/12</f>
        <v>13149.4214181331</v>
      </c>
      <c r="O39" s="7" t="n">
        <f aca="false">O35/12</f>
        <v>19925.2160289017</v>
      </c>
      <c r="P39" s="7" t="n">
        <f aca="false">P35/12</f>
        <v>21739.5969192328</v>
      </c>
      <c r="Q39" s="7" t="n">
        <f aca="false">Q35/12</f>
        <v>23553.9778095638</v>
      </c>
      <c r="R39" s="7" t="n">
        <f aca="false">R35/12</f>
        <v>24585.5907534925</v>
      </c>
      <c r="S39" s="7" t="n">
        <f aca="false">S35/12</f>
        <v>29335.8280865917</v>
      </c>
      <c r="T39" s="7" t="n">
        <f aca="false">T35/12</f>
        <v>19925.2160289017</v>
      </c>
      <c r="U39" s="7" t="n">
        <f aca="false">U35/12</f>
        <v>19925.2160289017</v>
      </c>
      <c r="V39" s="7" t="n">
        <f aca="false">V35/12</f>
        <v>19925.2160289017</v>
      </c>
    </row>
    <row r="40" customFormat="false" ht="15" hidden="false" customHeight="false" outlineLevel="0" collapsed="false">
      <c r="A40" s="6" t="s">
        <v>437</v>
      </c>
      <c r="B40" s="12" t="s">
        <v>76</v>
      </c>
      <c r="C40" s="7" t="n">
        <f aca="false">INDEX(Annahmen!$D$9:$F$9,C$5)*INDEX(Annahmen!$D$44:$F$44,C$5)*C10*12</f>
        <v>96436.02</v>
      </c>
      <c r="D40" s="7" t="n">
        <f aca="false">INDEX(Annahmen!$D$9:$F$9,D$5)*INDEX(Annahmen!$D$44:$F$44,D$5)*D10*12</f>
        <v>106587.18</v>
      </c>
      <c r="E40" s="7" t="n">
        <f aca="false">INDEX(Annahmen!$D$9:$F$9,E$5)*INDEX(Annahmen!$D$44:$F$44,E$5)*E10*12</f>
        <v>116738.34</v>
      </c>
      <c r="F40" s="7" t="n">
        <f aca="false">INDEX(Annahmen!$D$9:$F$9,F$5)*INDEX(Annahmen!$D$44:$F$44,F$5)*F10*12</f>
        <v>96436.02</v>
      </c>
      <c r="G40" s="7" t="n">
        <f aca="false">INDEX(Annahmen!$D$9:$F$9,G$5)*INDEX(Annahmen!$D$44:$F$44,G$5)*G10*12</f>
        <v>96436.02</v>
      </c>
      <c r="H40" s="7" t="n">
        <f aca="false">INDEX(Annahmen!$D$9:$F$9,H$5)*INDEX(Annahmen!$D$44:$F$44,H$5)*H10*12</f>
        <v>96436.02</v>
      </c>
      <c r="I40" s="7" t="n">
        <f aca="false">INDEX(Annahmen!$D$9:$F$9,I$5)*INDEX(Annahmen!$D$44:$F$44,I$5)*I10*12</f>
        <v>106587.18</v>
      </c>
      <c r="J40" s="7" t="n">
        <f aca="false">INDEX(Annahmen!$D$9:$F$9,J$5)*INDEX(Annahmen!$D$44:$F$44,J$5)*J10*12</f>
        <v>106587.18</v>
      </c>
      <c r="K40" s="7" t="n">
        <f aca="false">INDEX(Annahmen!$D$9:$F$9,K$5)*INDEX(Annahmen!$D$44:$F$44,K$5)*K10*12</f>
        <v>106587.18</v>
      </c>
      <c r="L40" s="7" t="n">
        <f aca="false">INDEX(Annahmen!$D$9:$F$9,L$5)*INDEX(Annahmen!$D$44:$F$44,L$5)*L10*12</f>
        <v>116738.34</v>
      </c>
      <c r="M40" s="7" t="n">
        <f aca="false">INDEX(Annahmen!$D$9:$F$9,M$5)*INDEX(Annahmen!$D$44:$F$44,M$5)*M10*12</f>
        <v>116738.34</v>
      </c>
      <c r="N40" s="7" t="n">
        <f aca="false">INDEX(Annahmen!$D$9:$F$9,N$5)*INDEX(Annahmen!$D$44:$F$44,N$5)*N10*12</f>
        <v>116738.34</v>
      </c>
      <c r="O40" s="7" t="n">
        <f aca="false">INDEX(Annahmen!$D$9:$F$9,O$5)*INDEX(Annahmen!$D$44:$F$44,O$5)*O10*12</f>
        <v>106587.18</v>
      </c>
      <c r="P40" s="7" t="n">
        <f aca="false">INDEX(Annahmen!$D$9:$F$9,P$5)*INDEX(Annahmen!$D$44:$F$44,P$5)*P10*12</f>
        <v>106587.18</v>
      </c>
      <c r="Q40" s="7" t="n">
        <f aca="false">INDEX(Annahmen!$D$9:$F$9,Q$5)*INDEX(Annahmen!$D$44:$F$44,Q$5)*Q10*12</f>
        <v>106587.18</v>
      </c>
      <c r="R40" s="7" t="n">
        <f aca="false">INDEX(Annahmen!$D$9:$F$9,R$5)*INDEX(Annahmen!$D$44:$F$44,R$5)*R10*12</f>
        <v>106587.18</v>
      </c>
      <c r="S40" s="7" t="n">
        <f aca="false">INDEX(Annahmen!$D$9:$F$9,S$5)*INDEX(Annahmen!$D$44:$F$44,S$5)*S10*12</f>
        <v>106587.18</v>
      </c>
      <c r="T40" s="7" t="n">
        <f aca="false">INDEX(Annahmen!$D$9:$F$9,T$5)*INDEX(Annahmen!$D$44:$F$44,T$5)*T10*12</f>
        <v>106587.18</v>
      </c>
      <c r="U40" s="7" t="n">
        <f aca="false">INDEX(Annahmen!$D$9:$F$9,U$5)*INDEX(Annahmen!$D$44:$F$44,U$5)*U10*12</f>
        <v>106587.18</v>
      </c>
      <c r="V40" s="7" t="n">
        <f aca="false">INDEX(Annahmen!$D$9:$F$9,V$5)*INDEX(Annahmen!$D$44:$F$44,V$5)*V10*12</f>
        <v>95928.462</v>
      </c>
    </row>
    <row r="41" customFormat="false" ht="15" hidden="false" customHeight="false" outlineLevel="0" collapsed="false">
      <c r="A41" s="6" t="s">
        <v>438</v>
      </c>
      <c r="B41" s="12" t="s">
        <v>76</v>
      </c>
      <c r="C41" s="7" t="n">
        <f aca="false">INDEX(Annahmen!$D$11:$F$11,C$5)*INDEX(Annahmen!$D$46:$F$46,C$5)*C10*12</f>
        <v>42240</v>
      </c>
      <c r="D41" s="7" t="n">
        <f aca="false">INDEX(Annahmen!$D$11:$F$11,D$5)*INDEX(Annahmen!$D$46:$F$46,D$5)*D10*12</f>
        <v>52800</v>
      </c>
      <c r="E41" s="7" t="n">
        <f aca="false">INDEX(Annahmen!$D$11:$F$11,E$5)*INDEX(Annahmen!$D$46:$F$46,E$5)*E10*12</f>
        <v>63360</v>
      </c>
      <c r="F41" s="7" t="n">
        <f aca="false">INDEX(Annahmen!$D$11:$F$11,F$5)*INDEX(Annahmen!$D$46:$F$46,F$5)*F10*12</f>
        <v>42240</v>
      </c>
      <c r="G41" s="7" t="n">
        <f aca="false">INDEX(Annahmen!$D$11:$F$11,G$5)*INDEX(Annahmen!$D$46:$F$46,G$5)*G10*12</f>
        <v>42240</v>
      </c>
      <c r="H41" s="7" t="n">
        <f aca="false">INDEX(Annahmen!$D$11:$F$11,H$5)*INDEX(Annahmen!$D$46:$F$46,H$5)*H10*12</f>
        <v>42240</v>
      </c>
      <c r="I41" s="7" t="n">
        <f aca="false">INDEX(Annahmen!$D$11:$F$11,I$5)*INDEX(Annahmen!$D$46:$F$46,I$5)*I10*12</f>
        <v>52800</v>
      </c>
      <c r="J41" s="7" t="n">
        <f aca="false">INDEX(Annahmen!$D$11:$F$11,J$5)*INDEX(Annahmen!$D$46:$F$46,J$5)*J10*12</f>
        <v>52800</v>
      </c>
      <c r="K41" s="7" t="n">
        <f aca="false">INDEX(Annahmen!$D$11:$F$11,K$5)*INDEX(Annahmen!$D$46:$F$46,K$5)*K10*12</f>
        <v>52800</v>
      </c>
      <c r="L41" s="7" t="n">
        <f aca="false">INDEX(Annahmen!$D$11:$F$11,L$5)*INDEX(Annahmen!$D$46:$F$46,L$5)*L10*12</f>
        <v>63360</v>
      </c>
      <c r="M41" s="7" t="n">
        <f aca="false">INDEX(Annahmen!$D$11:$F$11,M$5)*INDEX(Annahmen!$D$46:$F$46,M$5)*M10*12</f>
        <v>63360</v>
      </c>
      <c r="N41" s="7" t="n">
        <f aca="false">INDEX(Annahmen!$D$11:$F$11,N$5)*INDEX(Annahmen!$D$46:$F$46,N$5)*N10*12</f>
        <v>63360</v>
      </c>
      <c r="O41" s="7" t="n">
        <f aca="false">INDEX(Annahmen!$D$11:$F$11,O$5)*INDEX(Annahmen!$D$46:$F$46,O$5)*O10*12</f>
        <v>52800</v>
      </c>
      <c r="P41" s="7" t="n">
        <f aca="false">INDEX(Annahmen!$D$11:$F$11,P$5)*INDEX(Annahmen!$D$46:$F$46,P$5)*P10*12</f>
        <v>52800</v>
      </c>
      <c r="Q41" s="7" t="n">
        <f aca="false">INDEX(Annahmen!$D$11:$F$11,Q$5)*INDEX(Annahmen!$D$46:$F$46,Q$5)*Q10*12</f>
        <v>52800</v>
      </c>
      <c r="R41" s="7" t="n">
        <f aca="false">INDEX(Annahmen!$D$11:$F$11,R$5)*INDEX(Annahmen!$D$46:$F$46,R$5)*R10*12</f>
        <v>52800</v>
      </c>
      <c r="S41" s="7" t="n">
        <f aca="false">INDEX(Annahmen!$D$11:$F$11,S$5)*INDEX(Annahmen!$D$46:$F$46,S$5)*S10*12</f>
        <v>52800</v>
      </c>
      <c r="T41" s="7" t="n">
        <f aca="false">INDEX(Annahmen!$D$11:$F$11,T$5)*INDEX(Annahmen!$D$46:$F$46,T$5)*T10*12</f>
        <v>52800</v>
      </c>
      <c r="U41" s="7" t="n">
        <f aca="false">INDEX(Annahmen!$D$11:$F$11,U$5)*INDEX(Annahmen!$D$46:$F$46,U$5)*U10*12</f>
        <v>52800</v>
      </c>
      <c r="V41" s="7" t="n">
        <f aca="false">INDEX(Annahmen!$D$11:$F$11,V$5)*INDEX(Annahmen!$D$46:$F$46,V$5)*V10*12</f>
        <v>47520</v>
      </c>
    </row>
    <row r="42" customFormat="false" ht="15" hidden="false" customHeight="false" outlineLevel="0" collapsed="false">
      <c r="A42" s="6" t="s">
        <v>439</v>
      </c>
      <c r="B42" s="12" t="s">
        <v>76</v>
      </c>
      <c r="C42" s="7" t="n">
        <f aca="false">INDEX(Annahmen!$D$12:$F$12,C$5)*INDEX(Annahmen!$D$48:$F$48,C$5)*C10*12</f>
        <v>5744.64</v>
      </c>
      <c r="D42" s="7" t="n">
        <f aca="false">INDEX(Annahmen!$D$12:$F$12,D$5)*INDEX(Annahmen!$D$48:$F$48,D$5)*D10*12</f>
        <v>6420.48</v>
      </c>
      <c r="E42" s="7" t="n">
        <f aca="false">INDEX(Annahmen!$D$12:$F$12,E$5)*INDEX(Annahmen!$D$48:$F$48,E$5)*E10*12</f>
        <v>7096.32</v>
      </c>
      <c r="F42" s="7" t="n">
        <f aca="false">INDEX(Annahmen!$D$12:$F$12,F$5)*INDEX(Annahmen!$D$48:$F$48,F$5)*F10*12</f>
        <v>5744.64</v>
      </c>
      <c r="G42" s="7" t="n">
        <f aca="false">INDEX(Annahmen!$D$12:$F$12,G$5)*INDEX(Annahmen!$D$48:$F$48,G$5)*G10*12</f>
        <v>5744.64</v>
      </c>
      <c r="H42" s="7" t="n">
        <f aca="false">INDEX(Annahmen!$D$12:$F$12,H$5)*INDEX(Annahmen!$D$48:$F$48,H$5)*H10*12</f>
        <v>5744.64</v>
      </c>
      <c r="I42" s="7" t="n">
        <f aca="false">INDEX(Annahmen!$D$12:$F$12,I$5)*INDEX(Annahmen!$D$48:$F$48,I$5)*I10*12</f>
        <v>6420.48</v>
      </c>
      <c r="J42" s="7" t="n">
        <f aca="false">INDEX(Annahmen!$D$12:$F$12,J$5)*INDEX(Annahmen!$D$48:$F$48,J$5)*J10*12</f>
        <v>6420.48</v>
      </c>
      <c r="K42" s="7" t="n">
        <f aca="false">INDEX(Annahmen!$D$12:$F$12,K$5)*INDEX(Annahmen!$D$48:$F$48,K$5)*K10*12</f>
        <v>6420.48</v>
      </c>
      <c r="L42" s="7" t="n">
        <f aca="false">INDEX(Annahmen!$D$12:$F$12,L$5)*INDEX(Annahmen!$D$48:$F$48,L$5)*L10*12</f>
        <v>7096.32</v>
      </c>
      <c r="M42" s="7" t="n">
        <f aca="false">INDEX(Annahmen!$D$12:$F$12,M$5)*INDEX(Annahmen!$D$48:$F$48,M$5)*M10*12</f>
        <v>7096.32</v>
      </c>
      <c r="N42" s="7" t="n">
        <f aca="false">INDEX(Annahmen!$D$12:$F$12,N$5)*INDEX(Annahmen!$D$48:$F$48,N$5)*N10*12</f>
        <v>7096.32</v>
      </c>
      <c r="O42" s="7" t="n">
        <f aca="false">INDEX(Annahmen!$D$12:$F$12,O$5)*INDEX(Annahmen!$D$48:$F$48,O$5)*O10*12</f>
        <v>6420.48</v>
      </c>
      <c r="P42" s="7" t="n">
        <f aca="false">INDEX(Annahmen!$D$12:$F$12,P$5)*INDEX(Annahmen!$D$48:$F$48,P$5)*P10*12</f>
        <v>6420.48</v>
      </c>
      <c r="Q42" s="7" t="n">
        <f aca="false">INDEX(Annahmen!$D$12:$F$12,Q$5)*INDEX(Annahmen!$D$48:$F$48,Q$5)*Q10*12</f>
        <v>6420.48</v>
      </c>
      <c r="R42" s="7" t="n">
        <f aca="false">INDEX(Annahmen!$D$12:$F$12,R$5)*INDEX(Annahmen!$D$48:$F$48,R$5)*R10*12</f>
        <v>6420.48</v>
      </c>
      <c r="S42" s="7" t="n">
        <f aca="false">INDEX(Annahmen!$D$12:$F$12,S$5)*INDEX(Annahmen!$D$48:$F$48,S$5)*S10*12</f>
        <v>6420.48</v>
      </c>
      <c r="T42" s="7" t="n">
        <f aca="false">INDEX(Annahmen!$D$12:$F$12,T$5)*INDEX(Annahmen!$D$48:$F$48,T$5)*T10*12</f>
        <v>6420.48</v>
      </c>
      <c r="U42" s="7" t="n">
        <f aca="false">INDEX(Annahmen!$D$12:$F$12,U$5)*INDEX(Annahmen!$D$48:$F$48,U$5)*U10*12</f>
        <v>6420.48</v>
      </c>
      <c r="V42" s="7" t="n">
        <f aca="false">INDEX(Annahmen!$D$12:$F$12,V$5)*INDEX(Annahmen!$D$48:$F$48,V$5)*V10*12</f>
        <v>5778.432</v>
      </c>
    </row>
    <row r="43" customFormat="false" ht="15" hidden="false" customHeight="false" outlineLevel="0" collapsed="false">
      <c r="A43" s="6" t="s">
        <v>440</v>
      </c>
      <c r="B43" s="12" t="s">
        <v>76</v>
      </c>
      <c r="C43" s="7" t="n">
        <f aca="false">C40+C41+C42</f>
        <v>144420.66</v>
      </c>
      <c r="D43" s="7" t="n">
        <f aca="false">D40+D41+D42</f>
        <v>165807.66</v>
      </c>
      <c r="E43" s="7" t="n">
        <f aca="false">E40+E41+E42</f>
        <v>187194.66</v>
      </c>
      <c r="F43" s="7" t="n">
        <f aca="false">F40+F41+F42</f>
        <v>144420.66</v>
      </c>
      <c r="G43" s="7" t="n">
        <f aca="false">G40+G41+G42</f>
        <v>144420.66</v>
      </c>
      <c r="H43" s="7" t="n">
        <f aca="false">H40+H41+H42</f>
        <v>144420.66</v>
      </c>
      <c r="I43" s="7" t="n">
        <f aca="false">I40+I41+I42</f>
        <v>165807.66</v>
      </c>
      <c r="J43" s="7" t="n">
        <f aca="false">J40+J41+J42</f>
        <v>165807.66</v>
      </c>
      <c r="K43" s="7" t="n">
        <f aca="false">K40+K41+K42</f>
        <v>165807.66</v>
      </c>
      <c r="L43" s="7" t="n">
        <f aca="false">L40+L41+L42</f>
        <v>187194.66</v>
      </c>
      <c r="M43" s="7" t="n">
        <f aca="false">M40+M41+M42</f>
        <v>187194.66</v>
      </c>
      <c r="N43" s="7" t="n">
        <f aca="false">N40+N41+N42</f>
        <v>187194.66</v>
      </c>
      <c r="O43" s="7" t="n">
        <f aca="false">O40+O41+O42</f>
        <v>165807.66</v>
      </c>
      <c r="P43" s="7" t="n">
        <f aca="false">P40+P41+P42</f>
        <v>165807.66</v>
      </c>
      <c r="Q43" s="7" t="n">
        <f aca="false">Q40+Q41+Q42</f>
        <v>165807.66</v>
      </c>
      <c r="R43" s="7" t="n">
        <f aca="false">R40+R41+R42</f>
        <v>165807.66</v>
      </c>
      <c r="S43" s="7" t="n">
        <f aca="false">S40+S41+S42</f>
        <v>165807.66</v>
      </c>
      <c r="T43" s="7" t="n">
        <f aca="false">T40+T41+T42</f>
        <v>165807.66</v>
      </c>
      <c r="U43" s="7" t="n">
        <f aca="false">U40+U41+U42</f>
        <v>165807.66</v>
      </c>
      <c r="V43" s="7" t="n">
        <f aca="false">V40+V41+V42</f>
        <v>149226.894</v>
      </c>
    </row>
    <row r="44" customFormat="false" ht="15" hidden="false" customHeight="false" outlineLevel="0" collapsed="false">
      <c r="A44" s="6" t="s">
        <v>441</v>
      </c>
      <c r="B44" s="12" t="s">
        <v>76</v>
      </c>
      <c r="C44" s="7" t="n">
        <f aca="false">C40*(1-(INDEX(Annahmen!$D$45:$F$45,C$5)+C9)/100)</f>
        <v>92578.5792</v>
      </c>
      <c r="D44" s="7" t="n">
        <f aca="false">D40*(1-(INDEX(Annahmen!$D$45:$F$45,D$5)+D9)/100)</f>
        <v>103922.5005</v>
      </c>
      <c r="E44" s="7" t="n">
        <f aca="false">E40*(1-(INDEX(Annahmen!$D$45:$F$45,E$5)+E9)/100)</f>
        <v>114987.2649</v>
      </c>
      <c r="F44" s="7" t="n">
        <f aca="false">F40*(1-(INDEX(Annahmen!$D$45:$F$45,F$5)+F9)/100)</f>
        <v>92578.5792</v>
      </c>
      <c r="G44" s="7" t="n">
        <f aca="false">G40*(1-(INDEX(Annahmen!$D$45:$F$45,G$5)+G9)/100)</f>
        <v>92578.5792</v>
      </c>
      <c r="H44" s="7" t="n">
        <f aca="false">H40*(1-(INDEX(Annahmen!$D$45:$F$45,H$5)+H9)/100)</f>
        <v>92578.5792</v>
      </c>
      <c r="I44" s="7" t="n">
        <f aca="false">I40*(1-(INDEX(Annahmen!$D$45:$F$45,I$5)+I9)/100)</f>
        <v>103922.5005</v>
      </c>
      <c r="J44" s="7" t="n">
        <f aca="false">J40*(1-(INDEX(Annahmen!$D$45:$F$45,J$5)+J9)/100)</f>
        <v>103922.5005</v>
      </c>
      <c r="K44" s="7" t="n">
        <f aca="false">K40*(1-(INDEX(Annahmen!$D$45:$F$45,K$5)+K9)/100)</f>
        <v>103922.5005</v>
      </c>
      <c r="L44" s="7" t="n">
        <f aca="false">L40*(1-(INDEX(Annahmen!$D$45:$F$45,L$5)+L9)/100)</f>
        <v>114987.2649</v>
      </c>
      <c r="M44" s="7" t="n">
        <f aca="false">M40*(1-(INDEX(Annahmen!$D$45:$F$45,M$5)+M9)/100)</f>
        <v>114987.2649</v>
      </c>
      <c r="N44" s="7" t="n">
        <f aca="false">N40*(1-(INDEX(Annahmen!$D$45:$F$45,N$5)+N9)/100)</f>
        <v>114987.2649</v>
      </c>
      <c r="O44" s="7" t="n">
        <f aca="false">O40*(1-(INDEX(Annahmen!$D$45:$F$45,O$5)+O9)/100)</f>
        <v>103922.5005</v>
      </c>
      <c r="P44" s="7" t="n">
        <f aca="false">P40*(1-(INDEX(Annahmen!$D$45:$F$45,P$5)+P9)/100)</f>
        <v>103922.5005</v>
      </c>
      <c r="Q44" s="7" t="n">
        <f aca="false">Q40*(1-(INDEX(Annahmen!$D$45:$F$45,Q$5)+Q9)/100)</f>
        <v>103922.5005</v>
      </c>
      <c r="R44" s="7" t="n">
        <f aca="false">R40*(1-(INDEX(Annahmen!$D$45:$F$45,R$5)+R9)/100)</f>
        <v>103922.5005</v>
      </c>
      <c r="S44" s="7" t="n">
        <f aca="false">S40*(1-(INDEX(Annahmen!$D$45:$F$45,S$5)+S9)/100)</f>
        <v>103922.5005</v>
      </c>
      <c r="T44" s="7" t="n">
        <f aca="false">T40*(1-(INDEX(Annahmen!$D$45:$F$45,T$5)+T9)/100)</f>
        <v>98593.1415</v>
      </c>
      <c r="U44" s="7" t="n">
        <f aca="false">U40*(1-(INDEX(Annahmen!$D$45:$F$45,U$5)+U9)/100)</f>
        <v>93263.7825</v>
      </c>
      <c r="V44" s="7" t="n">
        <f aca="false">V40*(1-(INDEX(Annahmen!$D$45:$F$45,V$5)+V9)/100)</f>
        <v>93530.25045</v>
      </c>
    </row>
    <row r="45" customFormat="false" ht="15" hidden="false" customHeight="false" outlineLevel="0" collapsed="false">
      <c r="A45" s="6" t="s">
        <v>442</v>
      </c>
      <c r="B45" s="12" t="s">
        <v>76</v>
      </c>
      <c r="C45" s="7" t="n">
        <f aca="false">C41*(1-(INDEX(Annahmen!$D$47:$F$47,C$5)+C9)/100)</f>
        <v>38860.8</v>
      </c>
      <c r="D45" s="7" t="n">
        <f aca="false">D41*(1-(INDEX(Annahmen!$D$47:$F$47,D$5)+D9)/100)</f>
        <v>50160</v>
      </c>
      <c r="E45" s="7" t="n">
        <f aca="false">E41*(1-(INDEX(Annahmen!$D$47:$F$47,E$5)+E9)/100)</f>
        <v>61459.2</v>
      </c>
      <c r="F45" s="7" t="n">
        <f aca="false">F41*(1-(INDEX(Annahmen!$D$47:$F$47,F$5)+F9)/100)</f>
        <v>38860.8</v>
      </c>
      <c r="G45" s="7" t="n">
        <f aca="false">G41*(1-(INDEX(Annahmen!$D$47:$F$47,G$5)+G9)/100)</f>
        <v>38860.8</v>
      </c>
      <c r="H45" s="7" t="n">
        <f aca="false">H41*(1-(INDEX(Annahmen!$D$47:$F$47,H$5)+H9)/100)</f>
        <v>38860.8</v>
      </c>
      <c r="I45" s="7" t="n">
        <f aca="false">I41*(1-(INDEX(Annahmen!$D$47:$F$47,I$5)+I9)/100)</f>
        <v>50160</v>
      </c>
      <c r="J45" s="7" t="n">
        <f aca="false">J41*(1-(INDEX(Annahmen!$D$47:$F$47,J$5)+J9)/100)</f>
        <v>50160</v>
      </c>
      <c r="K45" s="7" t="n">
        <f aca="false">K41*(1-(INDEX(Annahmen!$D$47:$F$47,K$5)+K9)/100)</f>
        <v>50160</v>
      </c>
      <c r="L45" s="7" t="n">
        <f aca="false">L41*(1-(INDEX(Annahmen!$D$47:$F$47,L$5)+L9)/100)</f>
        <v>61459.2</v>
      </c>
      <c r="M45" s="7" t="n">
        <f aca="false">M41*(1-(INDEX(Annahmen!$D$47:$F$47,M$5)+M9)/100)</f>
        <v>61459.2</v>
      </c>
      <c r="N45" s="7" t="n">
        <f aca="false">N41*(1-(INDEX(Annahmen!$D$47:$F$47,N$5)+N9)/100)</f>
        <v>61459.2</v>
      </c>
      <c r="O45" s="7" t="n">
        <f aca="false">O41*(1-(INDEX(Annahmen!$D$47:$F$47,O$5)+O9)/100)</f>
        <v>50160</v>
      </c>
      <c r="P45" s="7" t="n">
        <f aca="false">P41*(1-(INDEX(Annahmen!$D$47:$F$47,P$5)+P9)/100)</f>
        <v>50160</v>
      </c>
      <c r="Q45" s="7" t="n">
        <f aca="false">Q41*(1-(INDEX(Annahmen!$D$47:$F$47,Q$5)+Q9)/100)</f>
        <v>50160</v>
      </c>
      <c r="R45" s="7" t="n">
        <f aca="false">R41*(1-(INDEX(Annahmen!$D$47:$F$47,R$5)+R9)/100)</f>
        <v>50160</v>
      </c>
      <c r="S45" s="7" t="n">
        <f aca="false">S41*(1-(INDEX(Annahmen!$D$47:$F$47,S$5)+S9)/100)</f>
        <v>50160</v>
      </c>
      <c r="T45" s="7" t="n">
        <f aca="false">T41*(1-(INDEX(Annahmen!$D$47:$F$47,T$5)+T9)/100)</f>
        <v>47520</v>
      </c>
      <c r="U45" s="7" t="n">
        <f aca="false">U41*(1-(INDEX(Annahmen!$D$47:$F$47,U$5)+U9)/100)</f>
        <v>44880</v>
      </c>
      <c r="V45" s="7" t="n">
        <f aca="false">V41*(1-(INDEX(Annahmen!$D$47:$F$47,V$5)+V9)/100)</f>
        <v>45144</v>
      </c>
    </row>
    <row r="46" customFormat="false" ht="15" hidden="false" customHeight="false" outlineLevel="0" collapsed="false">
      <c r="A46" s="6" t="s">
        <v>443</v>
      </c>
      <c r="B46" s="12" t="s">
        <v>76</v>
      </c>
      <c r="C46" s="7" t="n">
        <f aca="false">C42*(1-(INDEX(Annahmen!$D$49:$F$49,C$5)+C9)/100)</f>
        <v>4595.712</v>
      </c>
      <c r="D46" s="7" t="n">
        <f aca="false">D42*(1-(INDEX(Annahmen!$D$49:$F$49,D$5)+D9)/100)</f>
        <v>5650.0224</v>
      </c>
      <c r="E46" s="7" t="n">
        <f aca="false">E42*(1-(INDEX(Annahmen!$D$49:$F$49,E$5)+E9)/100)</f>
        <v>6528.6144</v>
      </c>
      <c r="F46" s="7" t="n">
        <f aca="false">F42*(1-(INDEX(Annahmen!$D$49:$F$49,F$5)+F9)/100)</f>
        <v>4595.712</v>
      </c>
      <c r="G46" s="7" t="n">
        <f aca="false">G42*(1-(INDEX(Annahmen!$D$49:$F$49,G$5)+G9)/100)</f>
        <v>4595.712</v>
      </c>
      <c r="H46" s="7" t="n">
        <f aca="false">H42*(1-(INDEX(Annahmen!$D$49:$F$49,H$5)+H9)/100)</f>
        <v>4595.712</v>
      </c>
      <c r="I46" s="7" t="n">
        <f aca="false">I42*(1-(INDEX(Annahmen!$D$49:$F$49,I$5)+I9)/100)</f>
        <v>5650.0224</v>
      </c>
      <c r="J46" s="7" t="n">
        <f aca="false">J42*(1-(INDEX(Annahmen!$D$49:$F$49,J$5)+J9)/100)</f>
        <v>5650.0224</v>
      </c>
      <c r="K46" s="7" t="n">
        <f aca="false">K42*(1-(INDEX(Annahmen!$D$49:$F$49,K$5)+K9)/100)</f>
        <v>5650.0224</v>
      </c>
      <c r="L46" s="7" t="n">
        <f aca="false">L42*(1-(INDEX(Annahmen!$D$49:$F$49,L$5)+L9)/100)</f>
        <v>6528.6144</v>
      </c>
      <c r="M46" s="7" t="n">
        <f aca="false">M42*(1-(INDEX(Annahmen!$D$49:$F$49,M$5)+M9)/100)</f>
        <v>6528.6144</v>
      </c>
      <c r="N46" s="7" t="n">
        <f aca="false">N42*(1-(INDEX(Annahmen!$D$49:$F$49,N$5)+N9)/100)</f>
        <v>6528.6144</v>
      </c>
      <c r="O46" s="7" t="n">
        <f aca="false">O42*(1-(INDEX(Annahmen!$D$49:$F$49,O$5)+O9)/100)</f>
        <v>5650.0224</v>
      </c>
      <c r="P46" s="7" t="n">
        <f aca="false">P42*(1-(INDEX(Annahmen!$D$49:$F$49,P$5)+P9)/100)</f>
        <v>5650.0224</v>
      </c>
      <c r="Q46" s="7" t="n">
        <f aca="false">Q42*(1-(INDEX(Annahmen!$D$49:$F$49,Q$5)+Q9)/100)</f>
        <v>5650.0224</v>
      </c>
      <c r="R46" s="7" t="n">
        <f aca="false">R42*(1-(INDEX(Annahmen!$D$49:$F$49,R$5)+R9)/100)</f>
        <v>5650.0224</v>
      </c>
      <c r="S46" s="7" t="n">
        <f aca="false">S42*(1-(INDEX(Annahmen!$D$49:$F$49,S$5)+S9)/100)</f>
        <v>5650.0224</v>
      </c>
      <c r="T46" s="7" t="n">
        <f aca="false">T42*(1-(INDEX(Annahmen!$D$49:$F$49,T$5)+T9)/100)</f>
        <v>5328.9984</v>
      </c>
      <c r="U46" s="7" t="n">
        <f aca="false">U42*(1-(INDEX(Annahmen!$D$49:$F$49,U$5)+U9)/100)</f>
        <v>5007.9744</v>
      </c>
      <c r="V46" s="7" t="n">
        <f aca="false">V42*(1-(INDEX(Annahmen!$D$49:$F$49,V$5)+V9)/100)</f>
        <v>5085.02016</v>
      </c>
    </row>
    <row r="47" customFormat="false" ht="15" hidden="false" customHeight="false" outlineLevel="0" collapsed="false">
      <c r="A47" s="6" t="s">
        <v>444</v>
      </c>
      <c r="B47" s="12" t="s">
        <v>76</v>
      </c>
      <c r="C47" s="7" t="n">
        <f aca="false">C44+C45+C46</f>
        <v>136035.0912</v>
      </c>
      <c r="D47" s="7" t="n">
        <f aca="false">D44+D45+D46</f>
        <v>159732.5229</v>
      </c>
      <c r="E47" s="7" t="n">
        <f aca="false">E44+E45+E46</f>
        <v>182975.0793</v>
      </c>
      <c r="F47" s="7" t="n">
        <f aca="false">F44+F45+F46</f>
        <v>136035.0912</v>
      </c>
      <c r="G47" s="7" t="n">
        <f aca="false">G44+G45+G46</f>
        <v>136035.0912</v>
      </c>
      <c r="H47" s="7" t="n">
        <f aca="false">H44+H45+H46</f>
        <v>136035.0912</v>
      </c>
      <c r="I47" s="7" t="n">
        <f aca="false">I44+I45+I46</f>
        <v>159732.5229</v>
      </c>
      <c r="J47" s="7" t="n">
        <f aca="false">J44+J45+J46</f>
        <v>159732.5229</v>
      </c>
      <c r="K47" s="7" t="n">
        <f aca="false">K44+K45+K46</f>
        <v>159732.5229</v>
      </c>
      <c r="L47" s="7" t="n">
        <f aca="false">L44+L45+L46</f>
        <v>182975.0793</v>
      </c>
      <c r="M47" s="7" t="n">
        <f aca="false">M44+M45+M46</f>
        <v>182975.0793</v>
      </c>
      <c r="N47" s="7" t="n">
        <f aca="false">N44+N45+N46</f>
        <v>182975.0793</v>
      </c>
      <c r="O47" s="7" t="n">
        <f aca="false">O44+O45+O46</f>
        <v>159732.5229</v>
      </c>
      <c r="P47" s="7" t="n">
        <f aca="false">P44+P45+P46</f>
        <v>159732.5229</v>
      </c>
      <c r="Q47" s="7" t="n">
        <f aca="false">Q44+Q45+Q46</f>
        <v>159732.5229</v>
      </c>
      <c r="R47" s="7" t="n">
        <f aca="false">R44+R45+R46</f>
        <v>159732.5229</v>
      </c>
      <c r="S47" s="7" t="n">
        <f aca="false">S44+S45+S46</f>
        <v>159732.5229</v>
      </c>
      <c r="T47" s="7" t="n">
        <f aca="false">T44+T45+T46</f>
        <v>151442.1399</v>
      </c>
      <c r="U47" s="7" t="n">
        <f aca="false">U44+U45+U46</f>
        <v>143151.7569</v>
      </c>
      <c r="V47" s="7" t="n">
        <f aca="false">V44+V45+V46</f>
        <v>143759.27061</v>
      </c>
    </row>
    <row r="48" customFormat="false" ht="15" hidden="false" customHeight="false" outlineLevel="0" collapsed="false">
      <c r="A48" s="6" t="s">
        <v>445</v>
      </c>
      <c r="B48" s="12" t="s">
        <v>76</v>
      </c>
      <c r="C48" s="7" t="n">
        <f aca="false">INDEX(Annahmen!$D$9:$F$9,C$5)*INDEX(Annahmen!$D$51:$F$51,C$5)+INDEX(Annahmen!$D$10:$F$10,C$5)*INDEX(Annahmen!$D$52:$F$52,C$5)+INDEX(Annahmen!$D$9:$F$9,C$5)*INDEX(Annahmen!$D$53:$F$53,C$5)</f>
        <v>20826.74</v>
      </c>
      <c r="D48" s="7" t="n">
        <f aca="false">INDEX(Annahmen!$D$9:$F$9,D$5)*INDEX(Annahmen!$D$51:$F$51,D$5)+INDEX(Annahmen!$D$10:$F$10,D$5)*INDEX(Annahmen!$D$52:$F$52,D$5)+INDEX(Annahmen!$D$9:$F$9,D$5)*INDEX(Annahmen!$D$53:$F$53,D$5)</f>
        <v>16643.02</v>
      </c>
      <c r="E48" s="7" t="n">
        <f aca="false">INDEX(Annahmen!$D$9:$F$9,E$5)*INDEX(Annahmen!$D$51:$F$51,E$5)+INDEX(Annahmen!$D$10:$F$10,E$5)*INDEX(Annahmen!$D$52:$F$52,E$5)+INDEX(Annahmen!$D$9:$F$9,E$5)*INDEX(Annahmen!$D$53:$F$53,E$5)</f>
        <v>14151.16</v>
      </c>
      <c r="F48" s="7" t="n">
        <f aca="false">INDEX(Annahmen!$D$9:$F$9,F$5)*INDEX(Annahmen!$D$51:$F$51,F$5)+INDEX(Annahmen!$D$10:$F$10,F$5)*INDEX(Annahmen!$D$52:$F$52,F$5)+INDEX(Annahmen!$D$9:$F$9,F$5)*INDEX(Annahmen!$D$53:$F$53,F$5)</f>
        <v>20826.74</v>
      </c>
      <c r="G48" s="7" t="n">
        <f aca="false">INDEX(Annahmen!$D$9:$F$9,G$5)*INDEX(Annahmen!$D$51:$F$51,G$5)+INDEX(Annahmen!$D$10:$F$10,G$5)*INDEX(Annahmen!$D$52:$F$52,G$5)+INDEX(Annahmen!$D$9:$F$9,G$5)*INDEX(Annahmen!$D$53:$F$53,G$5)</f>
        <v>20826.74</v>
      </c>
      <c r="H48" s="7" t="n">
        <f aca="false">INDEX(Annahmen!$D$9:$F$9,H$5)*INDEX(Annahmen!$D$51:$F$51,H$5)+INDEX(Annahmen!$D$10:$F$10,H$5)*INDEX(Annahmen!$D$52:$F$52,H$5)+INDEX(Annahmen!$D$9:$F$9,H$5)*INDEX(Annahmen!$D$53:$F$53,H$5)</f>
        <v>20826.74</v>
      </c>
      <c r="I48" s="7" t="n">
        <f aca="false">INDEX(Annahmen!$D$9:$F$9,I$5)*INDEX(Annahmen!$D$51:$F$51,I$5)+INDEX(Annahmen!$D$10:$F$10,I$5)*INDEX(Annahmen!$D$52:$F$52,I$5)+INDEX(Annahmen!$D$9:$F$9,I$5)*INDEX(Annahmen!$D$53:$F$53,I$5)</f>
        <v>16643.02</v>
      </c>
      <c r="J48" s="7" t="n">
        <f aca="false">INDEX(Annahmen!$D$9:$F$9,J$5)*INDEX(Annahmen!$D$51:$F$51,J$5)+INDEX(Annahmen!$D$10:$F$10,J$5)*INDEX(Annahmen!$D$52:$F$52,J$5)+INDEX(Annahmen!$D$9:$F$9,J$5)*INDEX(Annahmen!$D$53:$F$53,J$5)</f>
        <v>16643.02</v>
      </c>
      <c r="K48" s="7" t="n">
        <f aca="false">INDEX(Annahmen!$D$9:$F$9,K$5)*INDEX(Annahmen!$D$51:$F$51,K$5)+INDEX(Annahmen!$D$10:$F$10,K$5)*INDEX(Annahmen!$D$52:$F$52,K$5)+INDEX(Annahmen!$D$9:$F$9,K$5)*INDEX(Annahmen!$D$53:$F$53,K$5)</f>
        <v>16643.02</v>
      </c>
      <c r="L48" s="7" t="n">
        <f aca="false">INDEX(Annahmen!$D$9:$F$9,L$5)*INDEX(Annahmen!$D$51:$F$51,L$5)+INDEX(Annahmen!$D$10:$F$10,L$5)*INDEX(Annahmen!$D$52:$F$52,L$5)+INDEX(Annahmen!$D$9:$F$9,L$5)*INDEX(Annahmen!$D$53:$F$53,L$5)</f>
        <v>14151.16</v>
      </c>
      <c r="M48" s="7" t="n">
        <f aca="false">INDEX(Annahmen!$D$9:$F$9,M$5)*INDEX(Annahmen!$D$51:$F$51,M$5)+INDEX(Annahmen!$D$10:$F$10,M$5)*INDEX(Annahmen!$D$52:$F$52,M$5)+INDEX(Annahmen!$D$9:$F$9,M$5)*INDEX(Annahmen!$D$53:$F$53,M$5)</f>
        <v>14151.16</v>
      </c>
      <c r="N48" s="7" t="n">
        <f aca="false">INDEX(Annahmen!$D$9:$F$9,N$5)*INDEX(Annahmen!$D$51:$F$51,N$5)+INDEX(Annahmen!$D$10:$F$10,N$5)*INDEX(Annahmen!$D$52:$F$52,N$5)+INDEX(Annahmen!$D$9:$F$9,N$5)*INDEX(Annahmen!$D$53:$F$53,N$5)</f>
        <v>14151.16</v>
      </c>
      <c r="O48" s="7" t="n">
        <f aca="false">INDEX(Annahmen!$D$9:$F$9,O$5)*INDEX(Annahmen!$D$51:$F$51,O$5)+INDEX(Annahmen!$D$10:$F$10,O$5)*INDEX(Annahmen!$D$52:$F$52,O$5)+INDEX(Annahmen!$D$9:$F$9,O$5)*INDEX(Annahmen!$D$53:$F$53,O$5)</f>
        <v>16643.02</v>
      </c>
      <c r="P48" s="7" t="n">
        <f aca="false">INDEX(Annahmen!$D$9:$F$9,P$5)*INDEX(Annahmen!$D$51:$F$51,P$5)+INDEX(Annahmen!$D$10:$F$10,P$5)*INDEX(Annahmen!$D$52:$F$52,P$5)+INDEX(Annahmen!$D$9:$F$9,P$5)*INDEX(Annahmen!$D$53:$F$53,P$5)</f>
        <v>16643.02</v>
      </c>
      <c r="Q48" s="7" t="n">
        <f aca="false">INDEX(Annahmen!$D$9:$F$9,Q$5)*INDEX(Annahmen!$D$51:$F$51,Q$5)+INDEX(Annahmen!$D$10:$F$10,Q$5)*INDEX(Annahmen!$D$52:$F$52,Q$5)+INDEX(Annahmen!$D$9:$F$9,Q$5)*INDEX(Annahmen!$D$53:$F$53,Q$5)</f>
        <v>16643.02</v>
      </c>
      <c r="R48" s="7" t="n">
        <f aca="false">INDEX(Annahmen!$D$9:$F$9,R$5)*INDEX(Annahmen!$D$51:$F$51,R$5)+INDEX(Annahmen!$D$10:$F$10,R$5)*INDEX(Annahmen!$D$52:$F$52,R$5)+INDEX(Annahmen!$D$9:$F$9,R$5)*INDEX(Annahmen!$D$53:$F$53,R$5)</f>
        <v>16643.02</v>
      </c>
      <c r="S48" s="7" t="n">
        <f aca="false">INDEX(Annahmen!$D$9:$F$9,S$5)*INDEX(Annahmen!$D$51:$F$51,S$5)+INDEX(Annahmen!$D$10:$F$10,S$5)*INDEX(Annahmen!$D$52:$F$52,S$5)+INDEX(Annahmen!$D$9:$F$9,S$5)*INDEX(Annahmen!$D$53:$F$53,S$5)</f>
        <v>16643.02</v>
      </c>
      <c r="T48" s="7" t="n">
        <f aca="false">INDEX(Annahmen!$D$9:$F$9,T$5)*INDEX(Annahmen!$D$51:$F$51,T$5)+INDEX(Annahmen!$D$10:$F$10,T$5)*INDEX(Annahmen!$D$52:$F$52,T$5)+INDEX(Annahmen!$D$9:$F$9,T$5)*INDEX(Annahmen!$D$53:$F$53,T$5)</f>
        <v>16643.02</v>
      </c>
      <c r="U48" s="7" t="n">
        <f aca="false">INDEX(Annahmen!$D$9:$F$9,U$5)*INDEX(Annahmen!$D$51:$F$51,U$5)+INDEX(Annahmen!$D$10:$F$10,U$5)*INDEX(Annahmen!$D$52:$F$52,U$5)+INDEX(Annahmen!$D$9:$F$9,U$5)*INDEX(Annahmen!$D$53:$F$53,U$5)</f>
        <v>16643.02</v>
      </c>
      <c r="V48" s="7" t="n">
        <f aca="false">INDEX(Annahmen!$D$9:$F$9,V$5)*INDEX(Annahmen!$D$51:$F$51,V$5)+INDEX(Annahmen!$D$10:$F$10,V$5)*INDEX(Annahmen!$D$52:$F$52,V$5)+INDEX(Annahmen!$D$9:$F$9,V$5)*INDEX(Annahmen!$D$53:$F$53,V$5)</f>
        <v>16643.02</v>
      </c>
    </row>
    <row r="49" customFormat="false" ht="15" hidden="false" customHeight="false" outlineLevel="0" collapsed="false">
      <c r="A49" s="6" t="s">
        <v>267</v>
      </c>
      <c r="B49" s="12" t="s">
        <v>76</v>
      </c>
      <c r="C49" s="7" t="n">
        <f aca="false">(INDEX(Annahmen!$D$11:$F$11,C$5)+INDEX(Annahmen!$D$12:$F$12,C$5))*(INDEX(Annahmen!$D$54:$F$54,C$5)+INDEX(Annahmen!$D$56:$F$56,C$5))</f>
        <v>5955.84</v>
      </c>
      <c r="D49" s="7" t="n">
        <f aca="false">(INDEX(Annahmen!$D$11:$F$11,D$5)+INDEX(Annahmen!$D$12:$F$12,D$5))*(INDEX(Annahmen!$D$54:$F$54,D$5)+INDEX(Annahmen!$D$56:$F$56,D$5))</f>
        <v>4466.88</v>
      </c>
      <c r="E49" s="7" t="n">
        <f aca="false">(INDEX(Annahmen!$D$11:$F$11,E$5)+INDEX(Annahmen!$D$12:$F$12,E$5))*(INDEX(Annahmen!$D$54:$F$54,E$5)+INDEX(Annahmen!$D$56:$F$56,E$5))</f>
        <v>3474.24</v>
      </c>
      <c r="F49" s="7" t="n">
        <f aca="false">(INDEX(Annahmen!$D$11:$F$11,F$5)+INDEX(Annahmen!$D$12:$F$12,F$5))*(INDEX(Annahmen!$D$54:$F$54,F$5)+INDEX(Annahmen!$D$56:$F$56,F$5))</f>
        <v>5955.84</v>
      </c>
      <c r="G49" s="7" t="n">
        <f aca="false">(INDEX(Annahmen!$D$11:$F$11,G$5)+INDEX(Annahmen!$D$12:$F$12,G$5))*(INDEX(Annahmen!$D$54:$F$54,G$5)+INDEX(Annahmen!$D$56:$F$56,G$5))</f>
        <v>5955.84</v>
      </c>
      <c r="H49" s="7" t="n">
        <f aca="false">(INDEX(Annahmen!$D$11:$F$11,H$5)+INDEX(Annahmen!$D$12:$F$12,H$5))*(INDEX(Annahmen!$D$54:$F$54,H$5)+INDEX(Annahmen!$D$56:$F$56,H$5))</f>
        <v>5955.84</v>
      </c>
      <c r="I49" s="7" t="n">
        <f aca="false">(INDEX(Annahmen!$D$11:$F$11,I$5)+INDEX(Annahmen!$D$12:$F$12,I$5))*(INDEX(Annahmen!$D$54:$F$54,I$5)+INDEX(Annahmen!$D$56:$F$56,I$5))</f>
        <v>4466.88</v>
      </c>
      <c r="J49" s="7" t="n">
        <f aca="false">(INDEX(Annahmen!$D$11:$F$11,J$5)+INDEX(Annahmen!$D$12:$F$12,J$5))*(INDEX(Annahmen!$D$54:$F$54,J$5)+INDEX(Annahmen!$D$56:$F$56,J$5))</f>
        <v>4466.88</v>
      </c>
      <c r="K49" s="7" t="n">
        <f aca="false">(INDEX(Annahmen!$D$11:$F$11,K$5)+INDEX(Annahmen!$D$12:$F$12,K$5))*(INDEX(Annahmen!$D$54:$F$54,K$5)+INDEX(Annahmen!$D$56:$F$56,K$5))</f>
        <v>4466.88</v>
      </c>
      <c r="L49" s="7" t="n">
        <f aca="false">(INDEX(Annahmen!$D$11:$F$11,L$5)+INDEX(Annahmen!$D$12:$F$12,L$5))*(INDEX(Annahmen!$D$54:$F$54,L$5)+INDEX(Annahmen!$D$56:$F$56,L$5))</f>
        <v>3474.24</v>
      </c>
      <c r="M49" s="7" t="n">
        <f aca="false">(INDEX(Annahmen!$D$11:$F$11,M$5)+INDEX(Annahmen!$D$12:$F$12,M$5))*(INDEX(Annahmen!$D$54:$F$54,M$5)+INDEX(Annahmen!$D$56:$F$56,M$5))</f>
        <v>3474.24</v>
      </c>
      <c r="N49" s="7" t="n">
        <f aca="false">(INDEX(Annahmen!$D$11:$F$11,N$5)+INDEX(Annahmen!$D$12:$F$12,N$5))*(INDEX(Annahmen!$D$54:$F$54,N$5)+INDEX(Annahmen!$D$56:$F$56,N$5))</f>
        <v>3474.24</v>
      </c>
      <c r="O49" s="7" t="n">
        <f aca="false">(INDEX(Annahmen!$D$11:$F$11,O$5)+INDEX(Annahmen!$D$12:$F$12,O$5))*(INDEX(Annahmen!$D$54:$F$54,O$5)+INDEX(Annahmen!$D$56:$F$56,O$5))</f>
        <v>4466.88</v>
      </c>
      <c r="P49" s="7" t="n">
        <f aca="false">(INDEX(Annahmen!$D$11:$F$11,P$5)+INDEX(Annahmen!$D$12:$F$12,P$5))*(INDEX(Annahmen!$D$54:$F$54,P$5)+INDEX(Annahmen!$D$56:$F$56,P$5))</f>
        <v>4466.88</v>
      </c>
      <c r="Q49" s="7" t="n">
        <f aca="false">(INDEX(Annahmen!$D$11:$F$11,Q$5)+INDEX(Annahmen!$D$12:$F$12,Q$5))*(INDEX(Annahmen!$D$54:$F$54,Q$5)+INDEX(Annahmen!$D$56:$F$56,Q$5))</f>
        <v>4466.88</v>
      </c>
      <c r="R49" s="7" t="n">
        <f aca="false">(INDEX(Annahmen!$D$11:$F$11,R$5)+INDEX(Annahmen!$D$12:$F$12,R$5))*(INDEX(Annahmen!$D$54:$F$54,R$5)+INDEX(Annahmen!$D$56:$F$56,R$5))</f>
        <v>4466.88</v>
      </c>
      <c r="S49" s="7" t="n">
        <f aca="false">(INDEX(Annahmen!$D$11:$F$11,S$5)+INDEX(Annahmen!$D$12:$F$12,S$5))*(INDEX(Annahmen!$D$54:$F$54,S$5)+INDEX(Annahmen!$D$56:$F$56,S$5))</f>
        <v>4466.88</v>
      </c>
      <c r="T49" s="7" t="n">
        <f aca="false">(INDEX(Annahmen!$D$11:$F$11,T$5)+INDEX(Annahmen!$D$12:$F$12,T$5))*(INDEX(Annahmen!$D$54:$F$54,T$5)+INDEX(Annahmen!$D$56:$F$56,T$5))</f>
        <v>4466.88</v>
      </c>
      <c r="U49" s="7" t="n">
        <f aca="false">(INDEX(Annahmen!$D$11:$F$11,U$5)+INDEX(Annahmen!$D$12:$F$12,U$5))*(INDEX(Annahmen!$D$54:$F$54,U$5)+INDEX(Annahmen!$D$56:$F$56,U$5))</f>
        <v>4466.88</v>
      </c>
      <c r="V49" s="7" t="n">
        <f aca="false">(INDEX(Annahmen!$D$11:$F$11,V$5)+INDEX(Annahmen!$D$12:$F$12,V$5))*(INDEX(Annahmen!$D$54:$F$54,V$5)+INDEX(Annahmen!$D$56:$F$56,V$5))</f>
        <v>4466.88</v>
      </c>
    </row>
    <row r="50" customFormat="false" ht="15" hidden="false" customHeight="false" outlineLevel="0" collapsed="false">
      <c r="A50" s="6" t="s">
        <v>171</v>
      </c>
      <c r="B50" s="12" t="s">
        <v>76</v>
      </c>
      <c r="C50" s="7" t="n">
        <f aca="false">(C41+C42)*INDEX(Annahmen!$D$55:$F$55,C$5)/100</f>
        <v>1919.3856</v>
      </c>
      <c r="D50" s="7" t="n">
        <f aca="false">(D41+D42)*INDEX(Annahmen!$D$55:$F$55,D$5)/100</f>
        <v>1776.6144</v>
      </c>
      <c r="E50" s="7" t="n">
        <f aca="false">(E41+E42)*INDEX(Annahmen!$D$55:$F$55,E$5)/100</f>
        <v>1761.408</v>
      </c>
      <c r="F50" s="7" t="n">
        <f aca="false">(F41+F42)*INDEX(Annahmen!$D$55:$F$55,F$5)/100</f>
        <v>1919.3856</v>
      </c>
      <c r="G50" s="7" t="n">
        <f aca="false">(G41+G42)*INDEX(Annahmen!$D$55:$F$55,G$5)/100</f>
        <v>1919.3856</v>
      </c>
      <c r="H50" s="7" t="n">
        <f aca="false">(H41+H42)*INDEX(Annahmen!$D$55:$F$55,H$5)/100</f>
        <v>1919.3856</v>
      </c>
      <c r="I50" s="7" t="n">
        <f aca="false">(I41+I42)*INDEX(Annahmen!$D$55:$F$55,I$5)/100</f>
        <v>1776.6144</v>
      </c>
      <c r="J50" s="7" t="n">
        <f aca="false">(J41+J42)*INDEX(Annahmen!$D$55:$F$55,J$5)/100</f>
        <v>1776.6144</v>
      </c>
      <c r="K50" s="7" t="n">
        <f aca="false">(K41+K42)*INDEX(Annahmen!$D$55:$F$55,K$5)/100</f>
        <v>1776.6144</v>
      </c>
      <c r="L50" s="7" t="n">
        <f aca="false">(L41+L42)*INDEX(Annahmen!$D$55:$F$55,L$5)/100</f>
        <v>1761.408</v>
      </c>
      <c r="M50" s="7" t="n">
        <f aca="false">(M41+M42)*INDEX(Annahmen!$D$55:$F$55,M$5)/100</f>
        <v>1761.408</v>
      </c>
      <c r="N50" s="7" t="n">
        <f aca="false">(N41+N42)*INDEX(Annahmen!$D$55:$F$55,N$5)/100</f>
        <v>1761.408</v>
      </c>
      <c r="O50" s="7" t="n">
        <f aca="false">(O41+O42)*INDEX(Annahmen!$D$55:$F$55,O$5)/100</f>
        <v>1776.6144</v>
      </c>
      <c r="P50" s="7" t="n">
        <f aca="false">(P41+P42)*INDEX(Annahmen!$D$55:$F$55,P$5)/100</f>
        <v>1776.6144</v>
      </c>
      <c r="Q50" s="7" t="n">
        <f aca="false">(Q41+Q42)*INDEX(Annahmen!$D$55:$F$55,Q$5)/100</f>
        <v>1776.6144</v>
      </c>
      <c r="R50" s="7" t="n">
        <f aca="false">(R41+R42)*INDEX(Annahmen!$D$55:$F$55,R$5)/100</f>
        <v>1776.6144</v>
      </c>
      <c r="S50" s="7" t="n">
        <f aca="false">(S41+S42)*INDEX(Annahmen!$D$55:$F$55,S$5)/100</f>
        <v>1776.6144</v>
      </c>
      <c r="T50" s="7" t="n">
        <f aca="false">(T41+T42)*INDEX(Annahmen!$D$55:$F$55,T$5)/100</f>
        <v>1776.6144</v>
      </c>
      <c r="U50" s="7" t="n">
        <f aca="false">(U41+U42)*INDEX(Annahmen!$D$55:$F$55,U$5)/100</f>
        <v>1776.6144</v>
      </c>
      <c r="V50" s="7" t="n">
        <f aca="false">(V41+V42)*INDEX(Annahmen!$D$55:$F$55,V$5)/100</f>
        <v>1598.95296</v>
      </c>
    </row>
    <row r="51" customFormat="false" ht="15" hidden="false" customHeight="false" outlineLevel="0" collapsed="false">
      <c r="A51" s="6" t="s">
        <v>268</v>
      </c>
      <c r="B51" s="12" t="s">
        <v>76</v>
      </c>
      <c r="C51" s="7" t="n">
        <f aca="false">C48+C49+C50</f>
        <v>28701.9656</v>
      </c>
      <c r="D51" s="7" t="n">
        <f aca="false">D48+D49+D50</f>
        <v>22886.5144</v>
      </c>
      <c r="E51" s="7" t="n">
        <f aca="false">E48+E49+E50</f>
        <v>19386.808</v>
      </c>
      <c r="F51" s="7" t="n">
        <f aca="false">F48+F49+F50</f>
        <v>28701.9656</v>
      </c>
      <c r="G51" s="7" t="n">
        <f aca="false">G48+G49+G50</f>
        <v>28701.9656</v>
      </c>
      <c r="H51" s="7" t="n">
        <f aca="false">H48+H49+H50</f>
        <v>28701.9656</v>
      </c>
      <c r="I51" s="7" t="n">
        <f aca="false">I48+I49+I50</f>
        <v>22886.5144</v>
      </c>
      <c r="J51" s="7" t="n">
        <f aca="false">J48+J49+J50</f>
        <v>22886.5144</v>
      </c>
      <c r="K51" s="7" t="n">
        <f aca="false">K48+K49+K50</f>
        <v>22886.5144</v>
      </c>
      <c r="L51" s="7" t="n">
        <f aca="false">L48+L49+L50</f>
        <v>19386.808</v>
      </c>
      <c r="M51" s="7" t="n">
        <f aca="false">M48+M49+M50</f>
        <v>19386.808</v>
      </c>
      <c r="N51" s="7" t="n">
        <f aca="false">N48+N49+N50</f>
        <v>19386.808</v>
      </c>
      <c r="O51" s="7" t="n">
        <f aca="false">O48+O49+O50</f>
        <v>22886.5144</v>
      </c>
      <c r="P51" s="7" t="n">
        <f aca="false">P48+P49+P50</f>
        <v>22886.5144</v>
      </c>
      <c r="Q51" s="7" t="n">
        <f aca="false">Q48+Q49+Q50</f>
        <v>22886.5144</v>
      </c>
      <c r="R51" s="7" t="n">
        <f aca="false">R48+R49+R50</f>
        <v>22886.5144</v>
      </c>
      <c r="S51" s="7" t="n">
        <f aca="false">S48+S49+S50</f>
        <v>22886.5144</v>
      </c>
      <c r="T51" s="7" t="n">
        <f aca="false">T48+T49+T50</f>
        <v>22886.5144</v>
      </c>
      <c r="U51" s="7" t="n">
        <f aca="false">U48+U49+U50</f>
        <v>22886.5144</v>
      </c>
      <c r="V51" s="7" t="n">
        <f aca="false">V48+V49+V50</f>
        <v>22708.85296</v>
      </c>
    </row>
    <row r="52" customFormat="false" ht="15" hidden="false" customHeight="false" outlineLevel="0" collapsed="false">
      <c r="A52" s="4" t="s">
        <v>446</v>
      </c>
      <c r="B52" s="12" t="s">
        <v>76</v>
      </c>
      <c r="C52" s="25" t="n">
        <f aca="false">C47-C51</f>
        <v>107333.1256</v>
      </c>
      <c r="D52" s="25" t="n">
        <f aca="false">D47-D51</f>
        <v>136846.0085</v>
      </c>
      <c r="E52" s="25" t="n">
        <f aca="false">E47-E51</f>
        <v>163588.2713</v>
      </c>
      <c r="F52" s="25" t="n">
        <f aca="false">F47-F51</f>
        <v>107333.1256</v>
      </c>
      <c r="G52" s="25" t="n">
        <f aca="false">G47-G51</f>
        <v>107333.1256</v>
      </c>
      <c r="H52" s="25" t="n">
        <f aca="false">H47-H51</f>
        <v>107333.1256</v>
      </c>
      <c r="I52" s="25" t="n">
        <f aca="false">I47-I51</f>
        <v>136846.0085</v>
      </c>
      <c r="J52" s="25" t="n">
        <f aca="false">J47-J51</f>
        <v>136846.0085</v>
      </c>
      <c r="K52" s="25" t="n">
        <f aca="false">K47-K51</f>
        <v>136846.0085</v>
      </c>
      <c r="L52" s="25" t="n">
        <f aca="false">L47-L51</f>
        <v>163588.2713</v>
      </c>
      <c r="M52" s="25" t="n">
        <f aca="false">M47-M51</f>
        <v>163588.2713</v>
      </c>
      <c r="N52" s="25" t="n">
        <f aca="false">N47-N51</f>
        <v>163588.2713</v>
      </c>
      <c r="O52" s="25" t="n">
        <f aca="false">O47-O51</f>
        <v>136846.0085</v>
      </c>
      <c r="P52" s="25" t="n">
        <f aca="false">P47-P51</f>
        <v>136846.0085</v>
      </c>
      <c r="Q52" s="25" t="n">
        <f aca="false">Q47-Q51</f>
        <v>136846.0085</v>
      </c>
      <c r="R52" s="25" t="n">
        <f aca="false">R47-R51</f>
        <v>136846.0085</v>
      </c>
      <c r="S52" s="25" t="n">
        <f aca="false">S47-S51</f>
        <v>136846.0085</v>
      </c>
      <c r="T52" s="25" t="n">
        <f aca="false">T47-T51</f>
        <v>128555.6255</v>
      </c>
      <c r="U52" s="25" t="n">
        <f aca="false">U47-U51</f>
        <v>120265.2425</v>
      </c>
      <c r="V52" s="25" t="n">
        <f aca="false">V47-V51</f>
        <v>121050.41765</v>
      </c>
    </row>
    <row r="53" customFormat="false" ht="15" hidden="false" customHeight="false" outlineLevel="0" collapsed="false">
      <c r="A53" s="6" t="s">
        <v>16</v>
      </c>
      <c r="B53" s="12" t="s">
        <v>76</v>
      </c>
      <c r="C53" s="7" t="n">
        <f aca="false">C52-C37</f>
        <v>-357002.395494979</v>
      </c>
      <c r="D53" s="7" t="n">
        <f aca="false">D52-D37</f>
        <v>-208524.40266763</v>
      </c>
      <c r="E53" s="7" t="n">
        <f aca="false">E52-E37</f>
        <v>-105992.639439001</v>
      </c>
      <c r="F53" s="7" t="n">
        <f aca="false">F52-F37</f>
        <v>-482821.531410161</v>
      </c>
      <c r="G53" s="7" t="n">
        <f aca="false">G52-G37</f>
        <v>-419388.766545911</v>
      </c>
      <c r="H53" s="7" t="n">
        <f aca="false">H52-H37</f>
        <v>-295636.737930258</v>
      </c>
      <c r="I53" s="7" t="n">
        <f aca="false">I52-I37</f>
        <v>-300439.349086161</v>
      </c>
      <c r="J53" s="7" t="n">
        <f aca="false">J52-J37</f>
        <v>-254187.179314372</v>
      </c>
      <c r="K53" s="7" t="n">
        <f aca="false">K52-K37</f>
        <v>-163439.824485053</v>
      </c>
      <c r="L53" s="7" t="n">
        <f aca="false">L52-L37</f>
        <v>-176628.276996712</v>
      </c>
      <c r="M53" s="7" t="n">
        <f aca="false">M52-M37</f>
        <v>-141141.460219345</v>
      </c>
      <c r="N53" s="7" t="n">
        <f aca="false">N52-N37</f>
        <v>-71177.0086530111</v>
      </c>
      <c r="O53" s="7" t="n">
        <f aca="false">O52-O37</f>
        <v>-155390.493257226</v>
      </c>
      <c r="P53" s="7" t="n">
        <f aca="false">P52-P37</f>
        <v>-239973.671433368</v>
      </c>
      <c r="Q53" s="7" t="n">
        <f aca="false">Q52-Q37</f>
        <v>-271422.940199107</v>
      </c>
      <c r="R53" s="7" t="n">
        <f aca="false">R52-R37</f>
        <v>-265463.658375332</v>
      </c>
      <c r="S53" s="7" t="n">
        <f aca="false">S52-S37</f>
        <v>-323500.832243439</v>
      </c>
      <c r="T53" s="7" t="n">
        <f aca="false">T52-T37</f>
        <v>-216814.78566763</v>
      </c>
      <c r="U53" s="7" t="n">
        <f aca="false">U52-U37</f>
        <v>-225105.16866763</v>
      </c>
      <c r="V53" s="7" t="n">
        <f aca="false">V52-V37</f>
        <v>-224319.99351763</v>
      </c>
    </row>
    <row r="54" customFormat="false" ht="15" hidden="false" customHeight="false" outlineLevel="0" collapsed="false">
      <c r="A54" s="6" t="s">
        <v>319</v>
      </c>
      <c r="B54" s="12" t="s">
        <v>76</v>
      </c>
      <c r="C54" s="7" t="n">
        <f aca="false">C53/12</f>
        <v>-29750.1996245816</v>
      </c>
      <c r="D54" s="7" t="n">
        <f aca="false">D53/12</f>
        <v>-17377.0335556358</v>
      </c>
      <c r="E54" s="7" t="n">
        <f aca="false">E53/12</f>
        <v>-8832.71995325012</v>
      </c>
      <c r="F54" s="7" t="n">
        <f aca="false">F53/12</f>
        <v>-40235.1276175134</v>
      </c>
      <c r="G54" s="7" t="n">
        <f aca="false">G53/12</f>
        <v>-34949.0638788259</v>
      </c>
      <c r="H54" s="7" t="n">
        <f aca="false">H53/12</f>
        <v>-24636.3948275215</v>
      </c>
      <c r="I54" s="7" t="n">
        <f aca="false">I53/12</f>
        <v>-25036.6124238468</v>
      </c>
      <c r="J54" s="7" t="n">
        <f aca="false">J53/12</f>
        <v>-21182.2649428643</v>
      </c>
      <c r="K54" s="7" t="n">
        <f aca="false">K53/12</f>
        <v>-13619.9853737544</v>
      </c>
      <c r="L54" s="7" t="n">
        <f aca="false">L53/12</f>
        <v>-14719.0230830593</v>
      </c>
      <c r="M54" s="7" t="n">
        <f aca="false">M53/12</f>
        <v>-11761.7883516121</v>
      </c>
      <c r="N54" s="7" t="n">
        <f aca="false">N53/12</f>
        <v>-5931.41738775092</v>
      </c>
      <c r="O54" s="7" t="n">
        <f aca="false">O53/12</f>
        <v>-12949.2077714355</v>
      </c>
      <c r="P54" s="7" t="n">
        <f aca="false">P53/12</f>
        <v>-19997.8059527807</v>
      </c>
      <c r="Q54" s="7" t="n">
        <f aca="false">Q53/12</f>
        <v>-22618.5783499256</v>
      </c>
      <c r="R54" s="7" t="n">
        <f aca="false">R53/12</f>
        <v>-22121.9715312776</v>
      </c>
      <c r="S54" s="7" t="n">
        <f aca="false">S53/12</f>
        <v>-26958.4026869532</v>
      </c>
      <c r="T54" s="7" t="n">
        <f aca="false">T53/12</f>
        <v>-18067.8988056358</v>
      </c>
      <c r="U54" s="7" t="n">
        <f aca="false">U53/12</f>
        <v>-18758.7640556358</v>
      </c>
      <c r="V54" s="7" t="n">
        <f aca="false">V53/12</f>
        <v>-18693.3327931358</v>
      </c>
    </row>
    <row r="55" customFormat="false" ht="15" hidden="false" customHeight="false" outlineLevel="0" collapsed="false">
      <c r="A55" s="4" t="s">
        <v>447</v>
      </c>
      <c r="B55" s="12" t="s">
        <v>448</v>
      </c>
      <c r="C55" s="8" t="n">
        <f aca="false">C52/C37</f>
        <v>0.231154242404051</v>
      </c>
      <c r="D55" s="8" t="n">
        <f aca="false">D52/D37</f>
        <v>0.396229682900021</v>
      </c>
      <c r="E55" s="8" t="n">
        <f aca="false">E52/E37</f>
        <v>0.606824388461171</v>
      </c>
      <c r="F55" s="8" t="n">
        <f aca="false">F52/F37</f>
        <v>0.181872877431436</v>
      </c>
      <c r="G55" s="8" t="n">
        <f aca="false">G52/G37</f>
        <v>0.203775706308153</v>
      </c>
      <c r="H55" s="8" t="n">
        <f aca="false">H52/H37</f>
        <v>0.26635521738449</v>
      </c>
      <c r="I55" s="8" t="n">
        <f aca="false">I52/I37</f>
        <v>0.312944410614152</v>
      </c>
      <c r="J55" s="8" t="n">
        <f aca="false">J52/J37</f>
        <v>0.34996008718565</v>
      </c>
      <c r="K55" s="8" t="n">
        <f aca="false">K52/K37</f>
        <v>0.455719163104213</v>
      </c>
      <c r="L55" s="8" t="n">
        <f aca="false">L52/L37</f>
        <v>0.480835726889247</v>
      </c>
      <c r="M55" s="8" t="n">
        <f aca="false">M52/M37</f>
        <v>0.53683068758788</v>
      </c>
      <c r="N55" s="8" t="n">
        <f aca="false">N52/N37</f>
        <v>0.696816289583974</v>
      </c>
      <c r="O55" s="8" t="n">
        <f aca="false">O52/O37</f>
        <v>0.468271443427298</v>
      </c>
      <c r="P55" s="8" t="n">
        <f aca="false">P52/P37</f>
        <v>0.363160460526366</v>
      </c>
      <c r="Q55" s="8" t="n">
        <f aca="false">Q52/Q37</f>
        <v>0.335185933037624</v>
      </c>
      <c r="R55" s="8" t="n">
        <f aca="false">R52/R37</f>
        <v>0.340150932894203</v>
      </c>
      <c r="S55" s="8" t="n">
        <f aca="false">S52/S37</f>
        <v>0.297267182889753</v>
      </c>
      <c r="T55" s="8" t="n">
        <f aca="false">T52/T37</f>
        <v>0.372225359622958</v>
      </c>
      <c r="U55" s="8" t="n">
        <f aca="false">U52/U37</f>
        <v>0.348221036345895</v>
      </c>
      <c r="V55" s="8" t="n">
        <f aca="false">V52/V37</f>
        <v>0.350494465466084</v>
      </c>
    </row>
    <row r="56" customFormat="false" ht="15" hidden="false" customHeight="false" outlineLevel="0" collapsed="false">
      <c r="A56" s="6" t="s">
        <v>449</v>
      </c>
      <c r="B56" s="12" t="s">
        <v>67</v>
      </c>
      <c r="C56" s="9" t="n">
        <f aca="false">C52/C31</f>
        <v>0.0127597141807036</v>
      </c>
      <c r="D56" s="9" t="n">
        <f aca="false">D52/D31</f>
        <v>0.0206039435108011</v>
      </c>
      <c r="E56" s="9" t="n">
        <f aca="false">E52/E31</f>
        <v>0.0296130301569051</v>
      </c>
      <c r="F56" s="9" t="n">
        <f aca="false">F52/F31</f>
        <v>0.0125492285427691</v>
      </c>
      <c r="G56" s="9" t="n">
        <f aca="false">G52/G31</f>
        <v>0.0126544713617363</v>
      </c>
      <c r="H56" s="9" t="n">
        <f aca="false">H52/H31</f>
        <v>0.0128649569996709</v>
      </c>
      <c r="I56" s="9" t="n">
        <f aca="false">I52/I31</f>
        <v>0.0203413866899199</v>
      </c>
      <c r="J56" s="9" t="n">
        <f aca="false">J52/J31</f>
        <v>0.0204726651003605</v>
      </c>
      <c r="K56" s="9" t="n">
        <f aca="false">K52/K31</f>
        <v>0.0207352219212417</v>
      </c>
      <c r="L56" s="9" t="n">
        <f aca="false">L52/L31</f>
        <v>0.0293309793402441</v>
      </c>
      <c r="M56" s="9" t="n">
        <f aca="false">M52/M31</f>
        <v>0.0294720047485746</v>
      </c>
      <c r="N56" s="9" t="n">
        <f aca="false">N52/N31</f>
        <v>0.0297540555652357</v>
      </c>
      <c r="O56" s="9" t="n">
        <f aca="false">O52/O31</f>
        <v>0.0206039435108011</v>
      </c>
      <c r="P56" s="9" t="n">
        <f aca="false">P52/P31</f>
        <v>0.018884343947371</v>
      </c>
      <c r="Q56" s="9" t="n">
        <f aca="false">Q52/Q31</f>
        <v>0.0174296685179565</v>
      </c>
      <c r="R56" s="9" t="n">
        <f aca="false">R52/R31</f>
        <v>0.0204090559736522</v>
      </c>
      <c r="S56" s="9" t="n">
        <f aca="false">S52/S31</f>
        <v>0.0202141684365032</v>
      </c>
      <c r="T56" s="9" t="n">
        <f aca="false">T52/T31</f>
        <v>0.0193557187003938</v>
      </c>
      <c r="U56" s="9" t="n">
        <f aca="false">U52/U31</f>
        <v>0.0181074938899865</v>
      </c>
      <c r="V56" s="9" t="n">
        <f aca="false">V52/V31</f>
        <v>0.0182257122042363</v>
      </c>
    </row>
    <row r="57" customFormat="false" ht="15" hidden="false" customHeight="false" outlineLevel="0" collapsed="false">
      <c r="A57" s="6" t="s">
        <v>450</v>
      </c>
      <c r="B57" s="12" t="s">
        <v>64</v>
      </c>
      <c r="C57" s="10" t="n">
        <f aca="false">(1*C37-(C52-C44))/(INDEX(Annahmen!$D$9:$F$9,C$5)*12*(1-(INDEX(Annahmen!$D$45:$F$45,C$5)+C9)/100))</f>
        <v>46.1339901358338</v>
      </c>
      <c r="D57" s="10" t="n">
        <f aca="false">(1*D37-(D52-D44))/(INDEX(Annahmen!$D$9:$F$9,D$5)*12*(1-(INDEX(Annahmen!$D$45:$F$45,D$5)+D9)/100))</f>
        <v>31.5686445906882</v>
      </c>
      <c r="E57" s="10" t="n">
        <f aca="false">(1*E37-(E52-E44))/(INDEX(Annahmen!$D$9:$F$9,E$5)*12*(1-(INDEX(Annahmen!$D$45:$F$45,E$5)+E9)/100))</f>
        <v>22.1004378363861</v>
      </c>
      <c r="F57" s="10" t="n">
        <f aca="false">(1*F37-(F52-F44))/(INDEX(Annahmen!$D$9:$F$9,F$5)*12*(1-(INDEX(Annahmen!$D$45:$F$45,F$5)+F9)/100))</f>
        <v>59.0449874909782</v>
      </c>
      <c r="G57" s="10" t="n">
        <f aca="false">(1*G37-(G52-G44))/(INDEX(Annahmen!$D$9:$F$9,G$5)*12*(1-(INDEX(Annahmen!$D$45:$F$45,G$5)+G9)/100))</f>
        <v>52.5358006853723</v>
      </c>
      <c r="H57" s="10" t="n">
        <f aca="false">(1*H37-(H52-H44))/(INDEX(Annahmen!$D$9:$F$9,H$5)*12*(1-(INDEX(Annahmen!$D$45:$F$45,H$5)+H9)/100))</f>
        <v>39.8369206419777</v>
      </c>
      <c r="I57" s="10" t="n">
        <f aca="false">(1*I37-(I52-I44))/(INDEX(Annahmen!$D$9:$F$9,I$5)*12*(1-(INDEX(Annahmen!$D$45:$F$45,I$5)+I9)/100))</f>
        <v>40.855439392114</v>
      </c>
      <c r="J57" s="10" t="n">
        <f aca="false">(1*J37-(J52-J44))/(INDEX(Annahmen!$D$9:$F$9,J$5)*12*(1-(INDEX(Annahmen!$D$45:$F$45,J$5)+J9)/100))</f>
        <v>36.1822667849577</v>
      </c>
      <c r="K57" s="10" t="n">
        <f aca="false">(1*K37-(K52-K44))/(INDEX(Annahmen!$D$9:$F$9,K$5)*12*(1-(INDEX(Annahmen!$D$45:$F$45,K$5)+K9)/100))</f>
        <v>27.0134417362586</v>
      </c>
      <c r="L57" s="10" t="n">
        <f aca="false">(1*L37-(L52-L44))/(INDEX(Annahmen!$D$9:$F$9,L$5)*12*(1-(INDEX(Annahmen!$D$45:$F$45,L$5)+L9)/100))</f>
        <v>29.16478389784</v>
      </c>
      <c r="M57" s="10" t="n">
        <f aca="false">(1*M37-(M52-M44))/(INDEX(Annahmen!$D$9:$F$9,M$5)*12*(1-(INDEX(Annahmen!$D$45:$F$45,M$5)+M9)/100))</f>
        <v>25.6157091955708</v>
      </c>
      <c r="N57" s="10" t="n">
        <f aca="false">(1*N37-(N52-N44))/(INDEX(Annahmen!$D$9:$F$9,N$5)*12*(1-(INDEX(Annahmen!$D$45:$F$45,N$5)+N9)/100))</f>
        <v>18.6184891667914</v>
      </c>
      <c r="O57" s="10" t="n">
        <f aca="false">(1*O37-(O52-O44))/(INDEX(Annahmen!$D$9:$F$9,O$5)*12*(1-(INDEX(Annahmen!$D$45:$F$45,O$5)+O9)/100))</f>
        <v>26.2001628266332</v>
      </c>
      <c r="P57" s="10" t="n">
        <f aca="false">(1*P37-(P52-P44))/(INDEX(Annahmen!$D$9:$F$9,P$5)*12*(1-(INDEX(Annahmen!$D$45:$F$45,P$5)+P9)/100))</f>
        <v>34.7461790076959</v>
      </c>
      <c r="Q57" s="10" t="n">
        <f aca="false">(1*Q37-(Q52-Q44))/(INDEX(Annahmen!$D$9:$F$9,Q$5)*12*(1-(INDEX(Annahmen!$D$45:$F$45,Q$5)+Q9)/100))</f>
        <v>37.9237134247036</v>
      </c>
      <c r="R57" s="10" t="n">
        <f aca="false">(1*R37-(R52-R44))/(INDEX(Annahmen!$D$9:$F$9,R$5)*12*(1-(INDEX(Annahmen!$D$45:$F$45,R$5)+R9)/100))</f>
        <v>37.3216064810814</v>
      </c>
      <c r="S57" s="10" t="n">
        <f aca="false">(1*S37-(S52-S44))/(INDEX(Annahmen!$D$9:$F$9,S$5)*12*(1-(INDEX(Annahmen!$D$45:$F$45,S$5)+S9)/100))</f>
        <v>43.1854985418303</v>
      </c>
      <c r="T57" s="10" t="n">
        <f aca="false">(1*T37-(T52-T44))/(INDEX(Annahmen!$D$9:$F$9,T$5)*12*(1-(INDEX(Annahmen!$D$45:$F$45,T$5)+T9)/100))</f>
        <v>33.5904017751591</v>
      </c>
      <c r="U57" s="10" t="n">
        <f aca="false">(1*U37-(U52-U44))/(INDEX(Annahmen!$D$9:$F$9,U$5)*12*(1-(INDEX(Annahmen!$D$45:$F$45,U$5)+U9)/100))</f>
        <v>35.8432169235696</v>
      </c>
      <c r="V57" s="10" t="n">
        <f aca="false">(1*V37-(V52-V44))/(INDEX(Annahmen!$D$9:$F$9,V$5)*12*(1-(INDEX(Annahmen!$D$45:$F$45,V$5)+V9)/100))</f>
        <v>32.1145810156879</v>
      </c>
    </row>
    <row r="58" customFormat="false" ht="15" hidden="false" customHeight="false" outlineLevel="0" collapsed="false">
      <c r="A58" s="6" t="s">
        <v>451</v>
      </c>
      <c r="B58" s="12" t="s">
        <v>64</v>
      </c>
      <c r="C58" s="10" t="n">
        <f aca="false">(1.2*C37-(C52-C44))/(INDEX(Annahmen!$D$9:$F$9,C$5)*12*(1-(INDEX(Annahmen!$D$45:$F$45,C$5)+C9)/100))</f>
        <v>55.6635972836659</v>
      </c>
      <c r="D58" s="10" t="n">
        <f aca="false">(1.2*D37-(D52-D44))/(INDEX(Annahmen!$D$9:$F$9,D$5)*12*(1-(INDEX(Annahmen!$D$45:$F$45,D$5)+D9)/100))</f>
        <v>38.5476708839597</v>
      </c>
      <c r="E58" s="10" t="n">
        <f aca="false">(1.2*E37-(E52-E44))/(INDEX(Annahmen!$D$9:$F$9,E$5)*12*(1-(INDEX(Annahmen!$D$45:$F$45,E$5)+E9)/100))</f>
        <v>27.4926531850939</v>
      </c>
      <c r="F58" s="10" t="n">
        <f aca="false">(1.2*F37-(F52-F44))/(INDEX(Annahmen!$D$9:$F$9,F$5)*12*(1-(INDEX(Annahmen!$D$45:$F$45,F$5)+F9)/100))</f>
        <v>71.1567941098392</v>
      </c>
      <c r="G58" s="10" t="n">
        <f aca="false">(1.2*G37-(G52-G44))/(INDEX(Annahmen!$D$9:$F$9,G$5)*12*(1-(INDEX(Annahmen!$D$45:$F$45,G$5)+G9)/100))</f>
        <v>63.3457699431121</v>
      </c>
      <c r="H58" s="10" t="n">
        <f aca="false">(1.2*H37-(H52-H44))/(INDEX(Annahmen!$D$9:$F$9,H$5)*12*(1-(INDEX(Annahmen!$D$45:$F$45,H$5)+H9)/100))</f>
        <v>48.1071138910386</v>
      </c>
      <c r="I58" s="10" t="n">
        <f aca="false">(1.2*I37-(I52-I44))/(INDEX(Annahmen!$D$9:$F$9,I$5)*12*(1-(INDEX(Annahmen!$D$45:$F$45,I$5)+I9)/100))</f>
        <v>49.6918246456707</v>
      </c>
      <c r="J58" s="10" t="n">
        <f aca="false">(1.2*J37-(J52-J44))/(INDEX(Annahmen!$D$9:$F$9,J$5)*12*(1-(INDEX(Annahmen!$D$45:$F$45,J$5)+J9)/100))</f>
        <v>44.0840175170832</v>
      </c>
      <c r="K58" s="10" t="n">
        <f aca="false">(1.2*K37-(K52-K44))/(INDEX(Annahmen!$D$9:$F$9,K$5)*12*(1-(INDEX(Annahmen!$D$45:$F$45,K$5)+K9)/100))</f>
        <v>33.0814274586443</v>
      </c>
      <c r="L58" s="10" t="n">
        <f aca="false">(1.2*L37-(L52-L44))/(INDEX(Annahmen!$D$9:$F$9,L$5)*12*(1-(INDEX(Annahmen!$D$45:$F$45,L$5)+L9)/100))</f>
        <v>35.9698684588385</v>
      </c>
      <c r="M58" s="10" t="n">
        <f aca="false">(1.2*M37-(M52-M44))/(INDEX(Annahmen!$D$9:$F$9,M$5)*12*(1-(INDEX(Annahmen!$D$45:$F$45,M$5)+M9)/100))</f>
        <v>31.7109788161155</v>
      </c>
      <c r="N58" s="10" t="n">
        <f aca="false">(1.2*N37-(N52-N44))/(INDEX(Annahmen!$D$9:$F$9,N$5)*12*(1-(INDEX(Annahmen!$D$45:$F$45,N$5)+N9)/100))</f>
        <v>23.3143147815802</v>
      </c>
      <c r="O58" s="10" t="n">
        <f aca="false">(1.2*O37-(O52-O44))/(INDEX(Annahmen!$D$9:$F$9,O$5)*12*(1-(INDEX(Annahmen!$D$45:$F$45,O$5)+O9)/100))</f>
        <v>32.1054927670937</v>
      </c>
      <c r="P58" s="10" t="n">
        <f aca="false">(1.2*P37-(P52-P44))/(INDEX(Annahmen!$D$9:$F$9,P$5)*12*(1-(INDEX(Annahmen!$D$45:$F$45,P$5)+P9)/100))</f>
        <v>42.360712184369</v>
      </c>
      <c r="Q58" s="10" t="n">
        <f aca="false">(1.2*Q37-(Q52-Q44))/(INDEX(Annahmen!$D$9:$F$9,Q$5)*12*(1-(INDEX(Annahmen!$D$45:$F$45,Q$5)+Q9)/100))</f>
        <v>46.1737534847782</v>
      </c>
      <c r="R58" s="10" t="n">
        <f aca="false">(1.2*R37-(R52-R44))/(INDEX(Annahmen!$D$9:$F$9,R$5)*12*(1-(INDEX(Annahmen!$D$45:$F$45,R$5)+R9)/100))</f>
        <v>45.4512251524315</v>
      </c>
      <c r="S58" s="10" t="n">
        <f aca="false">(1.2*S37-(S52-S44))/(INDEX(Annahmen!$D$9:$F$9,S$5)*12*(1-(INDEX(Annahmen!$D$45:$F$45,S$5)+S9)/100))</f>
        <v>52.4878956253302</v>
      </c>
      <c r="T58" s="10" t="n">
        <f aca="false">(1.2*T37-(T52-T44))/(INDEX(Annahmen!$D$9:$F$9,T$5)*12*(1-(INDEX(Annahmen!$D$45:$F$45,T$5)+T9)/100))</f>
        <v>40.9466727329318</v>
      </c>
      <c r="U58" s="10" t="n">
        <f aca="false">(1.2*U37-(U52-U44))/(INDEX(Annahmen!$D$9:$F$9,U$5)*12*(1-(INDEX(Annahmen!$D$45:$F$45,U$5)+U9)/100))</f>
        <v>43.6198462217865</v>
      </c>
      <c r="V58" s="10" t="n">
        <f aca="false">(1.2*V37-(V52-V44))/(INDEX(Annahmen!$D$9:$F$9,V$5)*12*(1-(INDEX(Annahmen!$D$45:$F$45,V$5)+V9)/100))</f>
        <v>39.0936073089594</v>
      </c>
    </row>
    <row r="59" customFormat="false" ht="15" hidden="false" customHeight="false" outlineLevel="0" collapsed="false">
      <c r="A59" s="6" t="s">
        <v>452</v>
      </c>
      <c r="B59" s="12" t="s">
        <v>448</v>
      </c>
      <c r="C59" s="10" t="n">
        <f aca="false">(1*C37+C48+C49)/(C47-C50)</f>
        <v>3.66189849949221</v>
      </c>
      <c r="D59" s="10" t="n">
        <f aca="false">(1*D37+D48+D49)/(D47-D50)</f>
        <v>2.32014309972856</v>
      </c>
      <c r="E59" s="10" t="n">
        <f aca="false">(1*E37+E48+E49)/(E47-E50)</f>
        <v>1.58490421102683</v>
      </c>
      <c r="F59" s="10" t="n">
        <f aca="false">(1*F37+F48+F49)/(F47-F50)</f>
        <v>4.60003721600046</v>
      </c>
      <c r="G59" s="10" t="n">
        <f aca="false">(1*G37+G48+G49)/(G47-G50)</f>
        <v>4.12706677170784</v>
      </c>
      <c r="H59" s="10" t="n">
        <f aca="false">(1*H37+H48+H49)/(H47-H50)</f>
        <v>3.20434092045859</v>
      </c>
      <c r="I59" s="10" t="n">
        <f aca="false">(1*I37+I48+I49)/(I47-I50)</f>
        <v>2.90204565273455</v>
      </c>
      <c r="J59" s="10" t="n">
        <f aca="false">(1*J37+J48+J49)/(J47-J50)</f>
        <v>2.60922868747497</v>
      </c>
      <c r="K59" s="10" t="n">
        <f aca="false">(1*K37+K48+K49)/(K47-K50)</f>
        <v>2.03471801743366</v>
      </c>
      <c r="L59" s="10" t="n">
        <f aca="false">(1*L37+L48+L49)/(L47-L50)</f>
        <v>1.97469620106257</v>
      </c>
      <c r="M59" s="10" t="n">
        <f aca="false">(1*M37+M48+M49)/(M47-M50)</f>
        <v>1.77886761637142</v>
      </c>
      <c r="N59" s="10" t="n">
        <f aca="false">(1*N37+N48+N49)/(N47-N50)</f>
        <v>1.39277946383624</v>
      </c>
      <c r="O59" s="10" t="n">
        <f aca="false">(1*O37+O48+O49)/(O47-O50)</f>
        <v>1.98375866235625</v>
      </c>
      <c r="P59" s="10" t="n">
        <f aca="false">(1*P37+P48+P49)/(P47-P50)</f>
        <v>2.51924466588326</v>
      </c>
      <c r="Q59" s="10" t="n">
        <f aca="false">(1*Q37+Q48+Q49)/(Q47-Q50)</f>
        <v>2.71834623203795</v>
      </c>
      <c r="R59" s="10" t="n">
        <f aca="false">(1*R37+R48+R49)/(R47-R50)</f>
        <v>2.68061873022833</v>
      </c>
      <c r="S59" s="10" t="n">
        <f aca="false">(1*S37+S48+S49)/(S47-S50)</f>
        <v>3.04804514953259</v>
      </c>
      <c r="T59" s="10" t="n">
        <f aca="false">(1*T37+T48+T49)/(T47-T50)</f>
        <v>2.44866217482816</v>
      </c>
      <c r="U59" s="10" t="n">
        <f aca="false">(1*U37+U48+U49)/(U47-U50)</f>
        <v>2.59225423003644</v>
      </c>
      <c r="V59" s="10" t="n">
        <f aca="false">(1*V37+V48+V49)/(V47-V50)</f>
        <v>2.57793677747617</v>
      </c>
    </row>
    <row r="60" customFormat="false" ht="15" hidden="false" customHeight="false" outlineLevel="0" collapsed="false">
      <c r="A60" s="6" t="s">
        <v>453</v>
      </c>
      <c r="B60" s="12" t="s">
        <v>448</v>
      </c>
      <c r="C60" s="10" t="n">
        <f aca="false">(1.2*C37+C48+C49)/(C47-C50)</f>
        <v>4.35433868614695</v>
      </c>
      <c r="D60" s="10" t="n">
        <f aca="false">(1.2*D37+D48+D49)/(D47-D50)</f>
        <v>2.75744286831256</v>
      </c>
      <c r="E60" s="10" t="n">
        <f aca="false">(1.2*E37+E48+E49)/(E47-E50)</f>
        <v>1.88243243702111</v>
      </c>
      <c r="F60" s="10" t="n">
        <f aca="false">(1.2*F37+F48+F49)/(F47-F50)</f>
        <v>5.48010514595685</v>
      </c>
      <c r="G60" s="10" t="n">
        <f aca="false">(1.2*G37+G48+G49)/(G47-G50)</f>
        <v>4.9125406128057</v>
      </c>
      <c r="H60" s="10" t="n">
        <f aca="false">(1.2*H37+H48+H49)/(H47-H50)</f>
        <v>3.80526959130661</v>
      </c>
      <c r="I60" s="10" t="n">
        <f aca="false">(1.2*I37+I48+I49)/(I47-I50)</f>
        <v>3.45572593191975</v>
      </c>
      <c r="J60" s="10" t="n">
        <f aca="false">(1.2*J37+J48+J49)/(J47-J50)</f>
        <v>3.10434557360826</v>
      </c>
      <c r="K60" s="10" t="n">
        <f aca="false">(1.2*K37+K48+K49)/(K47-K50)</f>
        <v>2.41493276955869</v>
      </c>
      <c r="L60" s="10" t="n">
        <f aca="false">(1.2*L37+L48+L49)/(L47-L50)</f>
        <v>2.35018282506401</v>
      </c>
      <c r="M60" s="10" t="n">
        <f aca="false">(1.2*M37+M48+M49)/(M47-M50)</f>
        <v>2.11518852343462</v>
      </c>
      <c r="N60" s="10" t="n">
        <f aca="false">(1.2*N37+N48+N49)/(N47-N50)</f>
        <v>1.65188274039241</v>
      </c>
      <c r="O60" s="10" t="n">
        <f aca="false">(1.2*O37+O48+O49)/(O47-O50)</f>
        <v>2.35378154346579</v>
      </c>
      <c r="P60" s="10" t="n">
        <f aca="false">(1.2*P37+P48+P49)/(P47-P50)</f>
        <v>2.9963647476982</v>
      </c>
      <c r="Q60" s="10" t="n">
        <f aca="false">(1.2*Q37+Q48+Q49)/(Q47-Q50)</f>
        <v>3.23528662708384</v>
      </c>
      <c r="R60" s="10" t="n">
        <f aca="false">(1.2*R37+R48+R49)/(R47-R50)</f>
        <v>3.19001362491228</v>
      </c>
      <c r="S60" s="10" t="n">
        <f aca="false">(1.2*S37+S48+S49)/(S47-S50)</f>
        <v>3.6309253280774</v>
      </c>
      <c r="T60" s="10" t="n">
        <f aca="false">(1.2*T37+T48+T49)/(T47-T50)</f>
        <v>2.91018517421473</v>
      </c>
      <c r="U60" s="10" t="n">
        <f aca="false">(1.2*U37+U48+U49)/(U47-U50)</f>
        <v>3.08084141030066</v>
      </c>
      <c r="V60" s="10" t="n">
        <f aca="false">(1.2*V37+V48+V49)/(V47-V50)</f>
        <v>3.06382540923618</v>
      </c>
    </row>
    <row r="61" customFormat="false" ht="15" hidden="false" customHeight="false" outlineLevel="0" collapsed="false">
      <c r="A61" s="6" t="s">
        <v>454</v>
      </c>
      <c r="B61" s="12" t="s">
        <v>76</v>
      </c>
      <c r="C61" s="7" t="n">
        <f aca="false">C52/(1.2*(C28+C29)/100)</f>
        <v>1296293.78743961</v>
      </c>
      <c r="D61" s="7" t="n">
        <f aca="false">D52/(1.2*(D28+D29)/100)</f>
        <v>1754436.00641026</v>
      </c>
      <c r="E61" s="7" t="n">
        <f aca="false">E52/(1.2*(E28+E29)/100)</f>
        <v>2234812.44945355</v>
      </c>
      <c r="F61" s="7" t="n">
        <f aca="false">F52/(1.2*(F28+F29)/100)</f>
        <v>1296293.78743961</v>
      </c>
      <c r="G61" s="7" t="n">
        <f aca="false">G52/(1.2*(G28+G29)/100)</f>
        <v>1296293.78743961</v>
      </c>
      <c r="H61" s="7" t="n">
        <f aca="false">H52/(1.2*(H28+H29)/100)</f>
        <v>1296293.78743961</v>
      </c>
      <c r="I61" s="7" t="n">
        <f aca="false">I52/(1.2*(I28+I29)/100)</f>
        <v>1754436.00641026</v>
      </c>
      <c r="J61" s="7" t="n">
        <f aca="false">J52/(1.2*(J28+J29)/100)</f>
        <v>1754436.00641026</v>
      </c>
      <c r="K61" s="7" t="n">
        <f aca="false">K52/(1.2*(K28+K29)/100)</f>
        <v>1754436.00641026</v>
      </c>
      <c r="L61" s="7" t="n">
        <f aca="false">L52/(1.2*(L28+L29)/100)</f>
        <v>2234812.44945355</v>
      </c>
      <c r="M61" s="7" t="n">
        <f aca="false">M52/(1.2*(M28+M29)/100)</f>
        <v>2234812.44945355</v>
      </c>
      <c r="N61" s="7" t="n">
        <f aca="false">N52/(1.2*(N28+N29)/100)</f>
        <v>2234812.44945355</v>
      </c>
      <c r="O61" s="7" t="n">
        <f aca="false">O52/(1.2*(O28+O29)/100)</f>
        <v>2073424.37121212</v>
      </c>
      <c r="P61" s="7" t="n">
        <f aca="false">P52/(1.2*(P28+P29)/100)</f>
        <v>1754436.00641026</v>
      </c>
      <c r="Q61" s="7" t="n">
        <f aca="false">Q52/(1.2*(Q28+Q29)/100)</f>
        <v>1754436.00641026</v>
      </c>
      <c r="R61" s="7" t="n">
        <f aca="false">R52/(1.2*(R28+R29)/100)</f>
        <v>1520511.20555556</v>
      </c>
      <c r="S61" s="7" t="n">
        <f aca="false">S52/(1.2*(S28+S29)/100)</f>
        <v>1341627.53431373</v>
      </c>
      <c r="T61" s="7" t="n">
        <f aca="false">T52/(1.2*(T28+T29)/100)</f>
        <v>1648149.0448718</v>
      </c>
      <c r="U61" s="7" t="n">
        <f aca="false">U52/(1.2*(U28+U29)/100)</f>
        <v>1541862.08333333</v>
      </c>
      <c r="V61" s="7" t="n">
        <f aca="false">V52/(1.2*(V28+V29)/100)</f>
        <v>1551928.43141026</v>
      </c>
    </row>
    <row r="62" customFormat="false" ht="15" hidden="false" customHeight="false" outlineLevel="0" collapsed="false">
      <c r="A62" s="6" t="s">
        <v>455</v>
      </c>
      <c r="B62" s="12" t="s">
        <v>67</v>
      </c>
      <c r="C62" s="9" t="n">
        <f aca="false">1-C61/(C27+C61*C30)</f>
        <v>0.837790544339694</v>
      </c>
      <c r="D62" s="9" t="n">
        <f aca="false">1-D61/(D27+D61*D30)</f>
        <v>0.726977547959725</v>
      </c>
      <c r="E62" s="9" t="n">
        <f aca="false">1-E61/(E27+E61*E30)</f>
        <v>0.587975757471278</v>
      </c>
      <c r="F62" s="9" t="n">
        <f aca="false">1-F61/(F27+F61*F30)</f>
        <v>0.837790544339694</v>
      </c>
      <c r="G62" s="9" t="n">
        <f aca="false">1-G61/(G27+G61*G30)</f>
        <v>0.837790544339694</v>
      </c>
      <c r="H62" s="9" t="n">
        <f aca="false">1-H61/(H27+H61*H30)</f>
        <v>0.837790544339694</v>
      </c>
      <c r="I62" s="9" t="n">
        <f aca="false">1-I61/(I27+I61*I30)</f>
        <v>0.726977547959725</v>
      </c>
      <c r="J62" s="9" t="n">
        <f aca="false">1-J61/(J27+J61*J30)</f>
        <v>0.726977547959725</v>
      </c>
      <c r="K62" s="9" t="n">
        <f aca="false">1-K61/(K27+K61*K30)</f>
        <v>0.726977547959725</v>
      </c>
      <c r="L62" s="9" t="n">
        <f aca="false">1-L61/(L27+L61*L30)</f>
        <v>0.587975757471278</v>
      </c>
      <c r="M62" s="9" t="n">
        <f aca="false">1-M61/(M27+M61*M30)</f>
        <v>0.587975757471278</v>
      </c>
      <c r="N62" s="9" t="n">
        <f aca="false">1-N61/(N27+N61*N30)</f>
        <v>0.587975757471278</v>
      </c>
      <c r="O62" s="9" t="n">
        <f aca="false">1-O61/(O27+O61*O30)</f>
        <v>0.678305227120913</v>
      </c>
      <c r="P62" s="9" t="n">
        <f aca="false">1-P61/(P27+P61*P30)</f>
        <v>0.749417767721402</v>
      </c>
      <c r="Q62" s="9" t="n">
        <f aca="false">1-Q61/(Q27+Q61*Q30)</f>
        <v>0.768449343948644</v>
      </c>
      <c r="R62" s="9" t="n">
        <f aca="false">1-R61/(R27+R61*R30)</f>
        <v>0.763488163301081</v>
      </c>
      <c r="S62" s="9" t="n">
        <f aca="false">1-S61/(S27+S61*S30)</f>
        <v>0.791385643742954</v>
      </c>
      <c r="T62" s="9" t="n">
        <f aca="false">1-T61/(T27+T61*T30)</f>
        <v>0.743260304810084</v>
      </c>
      <c r="U62" s="9" t="n">
        <f aca="false">1-U61/(U27+U61*U30)</f>
        <v>0.75957578234339</v>
      </c>
      <c r="V62" s="9" t="n">
        <f aca="false">1-V61/(V27+V61*V30)</f>
        <v>0.758029151879528</v>
      </c>
    </row>
    <row r="63" customFormat="false" ht="15" hidden="false" customHeight="false" outlineLevel="0" collapsed="false">
      <c r="A63" s="6" t="s">
        <v>456</v>
      </c>
      <c r="B63" s="12" t="s">
        <v>76</v>
      </c>
      <c r="C63" s="7" t="n">
        <f aca="false">C27/(1-(1-C62)*C30)-C61</f>
        <v>6695187.24036353</v>
      </c>
      <c r="D63" s="7" t="n">
        <f aca="false">D27/(1-(1-D62)*D30)-D61</f>
        <v>4671541.02697837</v>
      </c>
      <c r="E63" s="7" t="n">
        <f aca="false">E27/(1-(1-E62)*E30)-E61</f>
        <v>3189170.45926513</v>
      </c>
      <c r="F63" s="7" t="n">
        <f aca="false">F27/(1-(1-F62)*F30)-F61</f>
        <v>6695187.24036353</v>
      </c>
      <c r="G63" s="7" t="n">
        <f aca="false">G27/(1-(1-G62)*G30)-G61</f>
        <v>6695187.24036353</v>
      </c>
      <c r="H63" s="7" t="n">
        <f aca="false">H27/(1-(1-H62)*H30)-H61</f>
        <v>6695187.24036353</v>
      </c>
      <c r="I63" s="7" t="n">
        <f aca="false">I27/(1-(1-I62)*I30)-I61</f>
        <v>4671541.02697837</v>
      </c>
      <c r="J63" s="7" t="n">
        <f aca="false">J27/(1-(1-J62)*J30)-J61</f>
        <v>4671541.02697837</v>
      </c>
      <c r="K63" s="7" t="n">
        <f aca="false">K27/(1-(1-K62)*K30)-K61</f>
        <v>4671541.02697837</v>
      </c>
      <c r="L63" s="7" t="n">
        <f aca="false">L27/(1-(1-L62)*L30)-L61</f>
        <v>3189170.45926513</v>
      </c>
      <c r="M63" s="7" t="n">
        <f aca="false">M27/(1-(1-M62)*M30)-M61</f>
        <v>3189170.45926513</v>
      </c>
      <c r="N63" s="7" t="n">
        <f aca="false">N27/(1-(1-N62)*N30)-N61</f>
        <v>3189170.45926513</v>
      </c>
      <c r="O63" s="7" t="n">
        <f aca="false">O27/(1-(1-O62)*O30)-O61</f>
        <v>4371891.33179261</v>
      </c>
      <c r="P63" s="7" t="n">
        <f aca="false">P27/(1-(1-P62)*P30)-P61</f>
        <v>5247002.16602837</v>
      </c>
      <c r="Q63" s="7" t="n">
        <f aca="false">Q27/(1-(1-Q62)*Q30)-Q61</f>
        <v>5822463.30507837</v>
      </c>
      <c r="R63" s="7" t="n">
        <f aca="false">R27/(1-(1-R62)*R30)-R61</f>
        <v>4908389.88784375</v>
      </c>
      <c r="S63" s="7" t="n">
        <f aca="false">S27/(1-(1-S62)*S30)-S61</f>
        <v>5089509.6049761</v>
      </c>
      <c r="T63" s="7" t="n">
        <f aca="false">T27/(1-(1-T62)*T30)-T61</f>
        <v>4771384.34147356</v>
      </c>
      <c r="U63" s="7" t="n">
        <f aca="false">U27/(1-(1-U62)*U30)-U61</f>
        <v>4871227.65596875</v>
      </c>
      <c r="V63" s="7" t="n">
        <f aca="false">V27/(1-(1-V62)*V30)-V61</f>
        <v>4861771.58024399</v>
      </c>
    </row>
    <row r="64" customFormat="false" ht="15" hidden="false" customHeight="false" outlineLevel="0" collapsed="false">
      <c r="A64" s="6" t="s">
        <v>457</v>
      </c>
      <c r="B64" s="12" t="s">
        <v>67</v>
      </c>
      <c r="C64" s="9" t="n">
        <f aca="false">(INDEX(Annahmen!$D$7:$F$7,C$5)+INDEX(Annahmen!$D$8:$F$8,C$5)+INDEX(Annahmen!$D$6:$F$6,C$5)-INDEX(Annahmen!$D$13:$F$13,C$5))/C16</f>
        <v>0.716065935799353</v>
      </c>
      <c r="D64" s="9" t="n">
        <f aca="false">(INDEX(Annahmen!$D$7:$F$7,D$5)+INDEX(Annahmen!$D$8:$F$8,D$5)+INDEX(Annahmen!$D$6:$F$6,D$5)-INDEX(Annahmen!$D$13:$F$13,D$5))/D16</f>
        <v>0.716065935799353</v>
      </c>
      <c r="E64" s="9" t="n">
        <f aca="false">(INDEX(Annahmen!$D$7:$F$7,E$5)+INDEX(Annahmen!$D$8:$F$8,E$5)+INDEX(Annahmen!$D$6:$F$6,E$5)-INDEX(Annahmen!$D$13:$F$13,E$5))/E16</f>
        <v>0.716065935799353</v>
      </c>
      <c r="F64" s="9" t="n">
        <f aca="false">(INDEX(Annahmen!$D$7:$F$7,F$5)+INDEX(Annahmen!$D$8:$F$8,F$5)+INDEX(Annahmen!$D$6:$F$6,F$5)-INDEX(Annahmen!$D$13:$F$13,F$5))/F16</f>
        <v>0.716065935799353</v>
      </c>
      <c r="G64" s="9" t="n">
        <f aca="false">(INDEX(Annahmen!$D$7:$F$7,G$5)+INDEX(Annahmen!$D$8:$F$8,G$5)+INDEX(Annahmen!$D$6:$F$6,G$5)-INDEX(Annahmen!$D$13:$F$13,G$5))/G16</f>
        <v>0.716065935799353</v>
      </c>
      <c r="H64" s="9" t="n">
        <f aca="false">(INDEX(Annahmen!$D$7:$F$7,H$5)+INDEX(Annahmen!$D$8:$F$8,H$5)+INDEX(Annahmen!$D$6:$F$6,H$5)-INDEX(Annahmen!$D$13:$F$13,H$5))/H16</f>
        <v>0.716065935799353</v>
      </c>
      <c r="I64" s="9" t="n">
        <f aca="false">(INDEX(Annahmen!$D$7:$F$7,I$5)+INDEX(Annahmen!$D$8:$F$8,I$5)+INDEX(Annahmen!$D$6:$F$6,I$5)-INDEX(Annahmen!$D$13:$F$13,I$5))/I16</f>
        <v>0.716065935799353</v>
      </c>
      <c r="J64" s="9" t="n">
        <f aca="false">(INDEX(Annahmen!$D$7:$F$7,J$5)+INDEX(Annahmen!$D$8:$F$8,J$5)+INDEX(Annahmen!$D$6:$F$6,J$5)-INDEX(Annahmen!$D$13:$F$13,J$5))/J16</f>
        <v>0.716065935799353</v>
      </c>
      <c r="K64" s="9" t="n">
        <f aca="false">(INDEX(Annahmen!$D$7:$F$7,K$5)+INDEX(Annahmen!$D$8:$F$8,K$5)+INDEX(Annahmen!$D$6:$F$6,K$5)-INDEX(Annahmen!$D$13:$F$13,K$5))/K16</f>
        <v>0.716065935799353</v>
      </c>
      <c r="L64" s="9" t="n">
        <f aca="false">(INDEX(Annahmen!$D$7:$F$7,L$5)+INDEX(Annahmen!$D$8:$F$8,L$5)+INDEX(Annahmen!$D$6:$F$6,L$5)-INDEX(Annahmen!$D$13:$F$13,L$5))/L16</f>
        <v>0.716065935799353</v>
      </c>
      <c r="M64" s="9" t="n">
        <f aca="false">(INDEX(Annahmen!$D$7:$F$7,M$5)+INDEX(Annahmen!$D$8:$F$8,M$5)+INDEX(Annahmen!$D$6:$F$6,M$5)-INDEX(Annahmen!$D$13:$F$13,M$5))/M16</f>
        <v>0.716065935799353</v>
      </c>
      <c r="N64" s="9" t="n">
        <f aca="false">(INDEX(Annahmen!$D$7:$F$7,N$5)+INDEX(Annahmen!$D$8:$F$8,N$5)+INDEX(Annahmen!$D$6:$F$6,N$5)-INDEX(Annahmen!$D$13:$F$13,N$5))/N16</f>
        <v>0.716065935799353</v>
      </c>
      <c r="O64" s="9" t="n">
        <f aca="false">(INDEX(Annahmen!$D$7:$F$7,O$5)+INDEX(Annahmen!$D$8:$F$8,O$5)+INDEX(Annahmen!$D$6:$F$6,O$5)-INDEX(Annahmen!$D$13:$F$13,O$5))/O16</f>
        <v>0.716065935799353</v>
      </c>
      <c r="P64" s="9" t="n">
        <f aca="false">(INDEX(Annahmen!$D$7:$F$7,P$5)+INDEX(Annahmen!$D$8:$F$8,P$5)+INDEX(Annahmen!$D$6:$F$6,P$5)-INDEX(Annahmen!$D$13:$F$13,P$5))/P16</f>
        <v>0.716065935799353</v>
      </c>
      <c r="Q64" s="9" t="n">
        <f aca="false">(INDEX(Annahmen!$D$7:$F$7,Q$5)+INDEX(Annahmen!$D$8:$F$8,Q$5)+INDEX(Annahmen!$D$6:$F$6,Q$5)-INDEX(Annahmen!$D$13:$F$13,Q$5))/Q16</f>
        <v>0.716065935799353</v>
      </c>
      <c r="R64" s="9" t="n">
        <f aca="false">(INDEX(Annahmen!$D$7:$F$7,R$5)+INDEX(Annahmen!$D$8:$F$8,R$5)+INDEX(Annahmen!$D$6:$F$6,R$5)-INDEX(Annahmen!$D$13:$F$13,R$5))/R16</f>
        <v>0.716065935799353</v>
      </c>
      <c r="S64" s="9" t="n">
        <f aca="false">(INDEX(Annahmen!$D$7:$F$7,S$5)+INDEX(Annahmen!$D$8:$F$8,S$5)+INDEX(Annahmen!$D$6:$F$6,S$5)-INDEX(Annahmen!$D$13:$F$13,S$5))/S16</f>
        <v>0.716065935799353</v>
      </c>
      <c r="T64" s="9" t="n">
        <f aca="false">(INDEX(Annahmen!$D$7:$F$7,T$5)+INDEX(Annahmen!$D$8:$F$8,T$5)+INDEX(Annahmen!$D$6:$F$6,T$5)-INDEX(Annahmen!$D$13:$F$13,T$5))/T16</f>
        <v>0.716065935799353</v>
      </c>
      <c r="U64" s="9" t="n">
        <f aca="false">(INDEX(Annahmen!$D$7:$F$7,U$5)+INDEX(Annahmen!$D$8:$F$8,U$5)+INDEX(Annahmen!$D$6:$F$6,U$5)-INDEX(Annahmen!$D$13:$F$13,U$5))/U16</f>
        <v>0.716065935799353</v>
      </c>
      <c r="V64" s="9" t="n">
        <f aca="false">(INDEX(Annahmen!$D$7:$F$7,V$5)+INDEX(Annahmen!$D$8:$F$8,V$5)+INDEX(Annahmen!$D$6:$F$6,V$5)-INDEX(Annahmen!$D$13:$F$13,V$5))/V16</f>
        <v>0.716065935799353</v>
      </c>
    </row>
    <row r="65" customFormat="false" ht="15" hidden="false" customHeight="false" outlineLevel="0" collapsed="false">
      <c r="A65" s="6" t="s">
        <v>458</v>
      </c>
      <c r="B65" s="12" t="s">
        <v>76</v>
      </c>
      <c r="C65" s="7" t="n">
        <f aca="false">MIN(INDEX(Annahmen!$D$10:$F$10,C$5)*INDEX(Annahmen!$D$58:$F$58,C$5),C64*C33)</f>
        <v>2400000</v>
      </c>
      <c r="D65" s="7" t="n">
        <f aca="false">MIN(INDEX(Annahmen!$D$10:$F$10,D$5)*INDEX(Annahmen!$D$58:$F$58,D$5),D64*D33)</f>
        <v>2400000</v>
      </c>
      <c r="E65" s="7" t="n">
        <f aca="false">MIN(INDEX(Annahmen!$D$10:$F$10,E$5)*INDEX(Annahmen!$D$58:$F$58,E$5),E64*E33)</f>
        <v>2400000</v>
      </c>
      <c r="F65" s="7" t="n">
        <f aca="false">MIN(INDEX(Annahmen!$D$10:$F$10,F$5)*INDEX(Annahmen!$D$58:$F$58,F$5),F64*F33)</f>
        <v>2400000</v>
      </c>
      <c r="G65" s="7" t="n">
        <f aca="false">MIN(INDEX(Annahmen!$D$10:$F$10,G$5)*INDEX(Annahmen!$D$58:$F$58,G$5),G64*G33)</f>
        <v>2400000</v>
      </c>
      <c r="H65" s="7" t="n">
        <f aca="false">MIN(INDEX(Annahmen!$D$10:$F$10,H$5)*INDEX(Annahmen!$D$58:$F$58,H$5),H64*H33)</f>
        <v>2400000</v>
      </c>
      <c r="I65" s="7" t="n">
        <f aca="false">MIN(INDEX(Annahmen!$D$10:$F$10,I$5)*INDEX(Annahmen!$D$58:$F$58,I$5),I64*I33)</f>
        <v>2400000</v>
      </c>
      <c r="J65" s="7" t="n">
        <f aca="false">MIN(INDEX(Annahmen!$D$10:$F$10,J$5)*INDEX(Annahmen!$D$58:$F$58,J$5),J64*J33)</f>
        <v>2400000</v>
      </c>
      <c r="K65" s="7" t="n">
        <f aca="false">MIN(INDEX(Annahmen!$D$10:$F$10,K$5)*INDEX(Annahmen!$D$58:$F$58,K$5),K64*K33)</f>
        <v>2400000</v>
      </c>
      <c r="L65" s="7" t="n">
        <f aca="false">MIN(INDEX(Annahmen!$D$10:$F$10,L$5)*INDEX(Annahmen!$D$58:$F$58,L$5),L64*L33)</f>
        <v>2400000</v>
      </c>
      <c r="M65" s="7" t="n">
        <f aca="false">MIN(INDEX(Annahmen!$D$10:$F$10,M$5)*INDEX(Annahmen!$D$58:$F$58,M$5),M64*M33)</f>
        <v>2400000</v>
      </c>
      <c r="N65" s="7" t="n">
        <f aca="false">MIN(INDEX(Annahmen!$D$10:$F$10,N$5)*INDEX(Annahmen!$D$58:$F$58,N$5),N64*N33)</f>
        <v>2400000</v>
      </c>
      <c r="O65" s="7" t="n">
        <f aca="false">MIN(INDEX(Annahmen!$D$10:$F$10,O$5)*INDEX(Annahmen!$D$58:$F$58,O$5),O64*O33)</f>
        <v>2400000</v>
      </c>
      <c r="P65" s="7" t="n">
        <f aca="false">MIN(INDEX(Annahmen!$D$10:$F$10,P$5)*INDEX(Annahmen!$D$58:$F$58,P$5),P64*P33)</f>
        <v>2400000</v>
      </c>
      <c r="Q65" s="7" t="n">
        <f aca="false">MIN(INDEX(Annahmen!$D$10:$F$10,Q$5)*INDEX(Annahmen!$D$58:$F$58,Q$5),Q64*Q33)</f>
        <v>2400000</v>
      </c>
      <c r="R65" s="7" t="n">
        <f aca="false">MIN(INDEX(Annahmen!$D$10:$F$10,R$5)*INDEX(Annahmen!$D$58:$F$58,R$5),R64*R33)</f>
        <v>2400000</v>
      </c>
      <c r="S65" s="7" t="n">
        <f aca="false">MIN(INDEX(Annahmen!$D$10:$F$10,S$5)*INDEX(Annahmen!$D$58:$F$58,S$5),S64*S33)</f>
        <v>2400000</v>
      </c>
      <c r="T65" s="7" t="n">
        <f aca="false">MIN(INDEX(Annahmen!$D$10:$F$10,T$5)*INDEX(Annahmen!$D$58:$F$58,T$5),T64*T33)</f>
        <v>2400000</v>
      </c>
      <c r="U65" s="7" t="n">
        <f aca="false">MIN(INDEX(Annahmen!$D$10:$F$10,U$5)*INDEX(Annahmen!$D$58:$F$58,U$5),U64*U33)</f>
        <v>2400000</v>
      </c>
      <c r="V65" s="7" t="n">
        <f aca="false">MIN(INDEX(Annahmen!$D$10:$F$10,V$5)*INDEX(Annahmen!$D$58:$F$58,V$5),V64*V33)</f>
        <v>2400000</v>
      </c>
    </row>
    <row r="66" customFormat="false" ht="15" hidden="false" customHeight="false" outlineLevel="0" collapsed="false">
      <c r="A66" s="6" t="s">
        <v>459</v>
      </c>
      <c r="B66" s="12" t="s">
        <v>76</v>
      </c>
      <c r="C66" s="7" t="n">
        <f aca="false">MIN(INDEX(Annahmen!$D$13:$F$13,C$5)*INDEX(Annahmen!$D$59:$F$59,C$5),(1-C64)*C33)</f>
        <v>756000</v>
      </c>
      <c r="D66" s="7" t="n">
        <f aca="false">MIN(INDEX(Annahmen!$D$13:$F$13,D$5)*INDEX(Annahmen!$D$59:$F$59,D$5),(1-D64)*D33)</f>
        <v>756000</v>
      </c>
      <c r="E66" s="7" t="n">
        <f aca="false">MIN(INDEX(Annahmen!$D$13:$F$13,E$5)*INDEX(Annahmen!$D$59:$F$59,E$5),(1-E64)*E33)</f>
        <v>756000</v>
      </c>
      <c r="F66" s="7" t="n">
        <f aca="false">MIN(INDEX(Annahmen!$D$13:$F$13,F$5)*INDEX(Annahmen!$D$59:$F$59,F$5),(1-F64)*F33)</f>
        <v>756000</v>
      </c>
      <c r="G66" s="7" t="n">
        <f aca="false">MIN(INDEX(Annahmen!$D$13:$F$13,G$5)*INDEX(Annahmen!$D$59:$F$59,G$5),(1-G64)*G33)</f>
        <v>756000</v>
      </c>
      <c r="H66" s="7" t="n">
        <f aca="false">MIN(INDEX(Annahmen!$D$13:$F$13,H$5)*INDEX(Annahmen!$D$59:$F$59,H$5),(1-H64)*H33)</f>
        <v>756000</v>
      </c>
      <c r="I66" s="7" t="n">
        <f aca="false">MIN(INDEX(Annahmen!$D$13:$F$13,I$5)*INDEX(Annahmen!$D$59:$F$59,I$5),(1-I64)*I33)</f>
        <v>756000</v>
      </c>
      <c r="J66" s="7" t="n">
        <f aca="false">MIN(INDEX(Annahmen!$D$13:$F$13,J$5)*INDEX(Annahmen!$D$59:$F$59,J$5),(1-J64)*J33)</f>
        <v>756000</v>
      </c>
      <c r="K66" s="7" t="n">
        <f aca="false">MIN(INDEX(Annahmen!$D$13:$F$13,K$5)*INDEX(Annahmen!$D$59:$F$59,K$5),(1-K64)*K33)</f>
        <v>756000</v>
      </c>
      <c r="L66" s="7" t="n">
        <f aca="false">MIN(INDEX(Annahmen!$D$13:$F$13,L$5)*INDEX(Annahmen!$D$59:$F$59,L$5),(1-L64)*L33)</f>
        <v>756000</v>
      </c>
      <c r="M66" s="7" t="n">
        <f aca="false">MIN(INDEX(Annahmen!$D$13:$F$13,M$5)*INDEX(Annahmen!$D$59:$F$59,M$5),(1-M64)*M33)</f>
        <v>756000</v>
      </c>
      <c r="N66" s="7" t="n">
        <f aca="false">MIN(INDEX(Annahmen!$D$13:$F$13,N$5)*INDEX(Annahmen!$D$59:$F$59,N$5),(1-N64)*N33)</f>
        <v>756000</v>
      </c>
      <c r="O66" s="7" t="n">
        <f aca="false">MIN(INDEX(Annahmen!$D$13:$F$13,O$5)*INDEX(Annahmen!$D$59:$F$59,O$5),(1-O64)*O33)</f>
        <v>756000</v>
      </c>
      <c r="P66" s="7" t="n">
        <f aca="false">MIN(INDEX(Annahmen!$D$13:$F$13,P$5)*INDEX(Annahmen!$D$59:$F$59,P$5),(1-P64)*P33)</f>
        <v>756000</v>
      </c>
      <c r="Q66" s="7" t="n">
        <f aca="false">MIN(INDEX(Annahmen!$D$13:$F$13,Q$5)*INDEX(Annahmen!$D$59:$F$59,Q$5),(1-Q64)*Q33)</f>
        <v>756000</v>
      </c>
      <c r="R66" s="7" t="n">
        <f aca="false">MIN(INDEX(Annahmen!$D$13:$F$13,R$5)*INDEX(Annahmen!$D$59:$F$59,R$5),(1-R64)*R33)</f>
        <v>756000</v>
      </c>
      <c r="S66" s="7" t="n">
        <f aca="false">MIN(INDEX(Annahmen!$D$13:$F$13,S$5)*INDEX(Annahmen!$D$59:$F$59,S$5),(1-S64)*S33)</f>
        <v>756000</v>
      </c>
      <c r="T66" s="7" t="n">
        <f aca="false">MIN(INDEX(Annahmen!$D$13:$F$13,T$5)*INDEX(Annahmen!$D$59:$F$59,T$5),(1-T64)*T33)</f>
        <v>756000</v>
      </c>
      <c r="U66" s="7" t="n">
        <f aca="false">MIN(INDEX(Annahmen!$D$13:$F$13,U$5)*INDEX(Annahmen!$D$59:$F$59,U$5),(1-U64)*U33)</f>
        <v>756000</v>
      </c>
      <c r="V66" s="7" t="n">
        <f aca="false">MIN(INDEX(Annahmen!$D$13:$F$13,V$5)*INDEX(Annahmen!$D$59:$F$59,V$5),(1-V64)*V33)</f>
        <v>756000</v>
      </c>
    </row>
    <row r="67" customFormat="false" ht="15" hidden="false" customHeight="false" outlineLevel="0" collapsed="false">
      <c r="A67" s="6" t="s">
        <v>460</v>
      </c>
      <c r="B67" s="12" t="s">
        <v>76</v>
      </c>
      <c r="C67" s="7" t="n">
        <f aca="false">C33-C65-C66</f>
        <v>3573500.30572434</v>
      </c>
      <c r="D67" s="7" t="n">
        <f aca="false">D33-D65-D66</f>
        <v>2157390.94104046</v>
      </c>
      <c r="E67" s="7" t="n">
        <f aca="false">E33-E65-E66</f>
        <v>1263359.19244265</v>
      </c>
      <c r="F67" s="7" t="n">
        <f aca="false">F33-F65-F66</f>
        <v>5396966.04362552</v>
      </c>
      <c r="G67" s="7" t="n">
        <f aca="false">G33-G65-G66</f>
        <v>4477650.6108103</v>
      </c>
      <c r="H67" s="7" t="n">
        <f aca="false">H33-H65-H66</f>
        <v>2684142.94971388</v>
      </c>
      <c r="I67" s="7" t="n">
        <f aca="false">I33-I65-I66</f>
        <v>3571467.03978709</v>
      </c>
      <c r="J67" s="7" t="n">
        <f aca="false">J33-J65-J66</f>
        <v>2859895.19714418</v>
      </c>
      <c r="K67" s="7" t="n">
        <f aca="false">K33-K65-K66</f>
        <v>1463782.0459239</v>
      </c>
      <c r="L67" s="7" t="n">
        <f aca="false">L33-L65-L66</f>
        <v>2421320.46388052</v>
      </c>
      <c r="M67" s="7" t="n">
        <f aca="false">M33-M65-M66</f>
        <v>1839569.36916959</v>
      </c>
      <c r="N67" s="7" t="n">
        <f aca="false">N33-N65-N66</f>
        <v>692611.146770674</v>
      </c>
      <c r="O67" s="7" t="n">
        <f aca="false">O33-O65-O66</f>
        <v>2157390.94104046</v>
      </c>
      <c r="P67" s="7" t="n">
        <f aca="false">P33-P65-P66</f>
        <v>2641225.84512875</v>
      </c>
      <c r="Q67" s="7" t="n">
        <f aca="false">Q33-Q65-Q66</f>
        <v>3125060.74921703</v>
      </c>
      <c r="R67" s="7" t="n">
        <f aca="false">R33-R65-R66</f>
        <v>2208128.89167109</v>
      </c>
      <c r="S67" s="7" t="n">
        <f aca="false">S33-S65-S66</f>
        <v>2259845.18521693</v>
      </c>
      <c r="T67" s="7" t="n">
        <f aca="false">T33-T65-T66</f>
        <v>2157390.94104046</v>
      </c>
      <c r="U67" s="7" t="n">
        <f aca="false">U33-U65-U66</f>
        <v>2157390.94104046</v>
      </c>
      <c r="V67" s="7" t="n">
        <f aca="false">V33-V65-V66</f>
        <v>2157390.94104046</v>
      </c>
    </row>
    <row r="68" customFormat="false" ht="15" hidden="false" customHeight="false" outlineLevel="0" collapsed="false">
      <c r="A68" s="6" t="s">
        <v>461</v>
      </c>
      <c r="B68" s="12" t="s">
        <v>76</v>
      </c>
      <c r="C68" s="7" t="n">
        <f aca="false">C65*(INDEX(Annahmen!$D$40:$F$40,C$5)+C29)/100+C66*(INDEX(Annahmen!$D$41:$F$41,C$5)+C29)/100+C67*(C28+C29)/100</f>
        <v>423175.521094979</v>
      </c>
      <c r="D68" s="7" t="n">
        <f aca="false">D65*(INDEX(Annahmen!$D$40:$F$40,D$5)+D29)/100+D66*(INDEX(Annahmen!$D$41:$F$41,D$5)+D29)/100+D67*(D28+D29)/100</f>
        <v>301054.41116763</v>
      </c>
      <c r="E68" s="7" t="n">
        <f aca="false">E65*(INDEX(Annahmen!$D$40:$F$40,E$5)+E29)/100+E66*(INDEX(Annahmen!$D$41:$F$41,E$5)+E29)/100+E67*(E28+E29)/100</f>
        <v>207840.910739001</v>
      </c>
      <c r="F68" s="7" t="n">
        <f aca="false">F65*(INDEX(Annahmen!$D$40:$F$40,F$5)+F29)/100+F66*(INDEX(Annahmen!$D$41:$F$41,F$5)+F29)/100+F67*(F28+F29)/100</f>
        <v>548994.657010161</v>
      </c>
      <c r="G68" s="7" t="n">
        <f aca="false">G65*(INDEX(Annahmen!$D$40:$F$40,G$5)+G29)/100+G66*(INDEX(Annahmen!$D$41:$F$41,G$5)+G29)/100+G67*(G28+G29)/100</f>
        <v>485561.892145911</v>
      </c>
      <c r="H68" s="7" t="n">
        <f aca="false">H65*(INDEX(Annahmen!$D$40:$F$40,H$5)+H29)/100+H66*(INDEX(Annahmen!$D$41:$F$41,H$5)+H29)/100+H67*(H28+H29)/100</f>
        <v>361809.863530258</v>
      </c>
      <c r="I68" s="7" t="n">
        <f aca="false">I65*(INDEX(Annahmen!$D$40:$F$40,I$5)+I29)/100+I66*(INDEX(Annahmen!$D$41:$F$41,I$5)+I29)/100+I67*(I28+I29)/100</f>
        <v>392969.357586161</v>
      </c>
      <c r="J68" s="7" t="n">
        <f aca="false">J65*(INDEX(Annahmen!$D$40:$F$40,J$5)+J29)/100+J66*(INDEX(Annahmen!$D$41:$F$41,J$5)+J29)/100+J67*(J28+J29)/100</f>
        <v>346717.187814372</v>
      </c>
      <c r="K68" s="7" t="n">
        <f aca="false">K65*(INDEX(Annahmen!$D$40:$F$40,K$5)+K29)/100+K66*(INDEX(Annahmen!$D$41:$F$41,K$5)+K29)/100+K67*(K28+K29)/100</f>
        <v>255969.832985053</v>
      </c>
      <c r="L68" s="7" t="n">
        <f aca="false">L65*(INDEX(Annahmen!$D$40:$F$40,L$5)+L29)/100+L66*(INDEX(Annahmen!$D$41:$F$41,L$5)+L29)/100+L67*(L28+L29)/100</f>
        <v>278476.548296712</v>
      </c>
      <c r="M68" s="7" t="n">
        <f aca="false">M65*(INDEX(Annahmen!$D$40:$F$40,M$5)+M29)/100+M66*(INDEX(Annahmen!$D$41:$F$41,M$5)+M29)/100+M67*(M28+M29)/100</f>
        <v>242989.731519345</v>
      </c>
      <c r="N68" s="7" t="n">
        <f aca="false">N65*(INDEX(Annahmen!$D$40:$F$40,N$5)+N29)/100+N66*(INDEX(Annahmen!$D$41:$F$41,N$5)+N29)/100+N67*(N28+N29)/100</f>
        <v>173025.279953011</v>
      </c>
      <c r="O68" s="7" t="n">
        <f aca="false">O65*(INDEX(Annahmen!$D$40:$F$40,O$5)+O29)/100+O66*(INDEX(Annahmen!$D$41:$F$41,O$5)+O29)/100+O67*(O28+O29)/100</f>
        <v>247920.501757225</v>
      </c>
      <c r="P68" s="7" t="n">
        <f aca="false">P65*(INDEX(Annahmen!$D$40:$F$40,P$5)+P29)/100+P66*(INDEX(Annahmen!$D$41:$F$41,P$5)+P29)/100+P67*(P28+P29)/100</f>
        <v>332503.679933368</v>
      </c>
      <c r="Q68" s="7" t="n">
        <f aca="false">Q65*(INDEX(Annahmen!$D$40:$F$40,Q$5)+Q29)/100+Q66*(INDEX(Annahmen!$D$41:$F$41,Q$5)+Q29)/100+Q67*(Q28+Q29)/100</f>
        <v>363952.948699107</v>
      </c>
      <c r="R68" s="7" t="n">
        <f aca="false">R65*(INDEX(Annahmen!$D$40:$F$40,R$5)+R29)/100+R66*(INDEX(Annahmen!$D$41:$F$41,R$5)+R29)/100+R67*(R28+R29)/100</f>
        <v>326433.666875332</v>
      </c>
      <c r="S68" s="7" t="n">
        <f aca="false">S65*(INDEX(Annahmen!$D$40:$F$40,S$5)+S29)/100+S66*(INDEX(Annahmen!$D$41:$F$41,S$5)+S29)/100+S67*(S28+S29)/100</f>
        <v>352910.840743439</v>
      </c>
      <c r="T68" s="7" t="n">
        <f aca="false">T65*(INDEX(Annahmen!$D$40:$F$40,T$5)+T29)/100+T66*(INDEX(Annahmen!$D$41:$F$41,T$5)+T29)/100+T67*(T28+T29)/100</f>
        <v>301054.41116763</v>
      </c>
      <c r="U68" s="7" t="n">
        <f aca="false">U65*(INDEX(Annahmen!$D$40:$F$40,U$5)+U29)/100+U66*(INDEX(Annahmen!$D$41:$F$41,U$5)+U29)/100+U67*(U28+U29)/100</f>
        <v>301054.41116763</v>
      </c>
      <c r="V68" s="7" t="n">
        <f aca="false">V65*(INDEX(Annahmen!$D$40:$F$40,V$5)+V29)/100+V66*(INDEX(Annahmen!$D$41:$F$41,V$5)+V29)/100+V67*(V28+V29)/100</f>
        <v>301054.41116763</v>
      </c>
    </row>
    <row r="69" customFormat="false" ht="15" hidden="false" customHeight="false" outlineLevel="0" collapsed="false">
      <c r="A69" s="6" t="s">
        <v>462</v>
      </c>
      <c r="B69" s="12" t="s">
        <v>448</v>
      </c>
      <c r="C69" s="10" t="n">
        <f aca="false">C52/C68</f>
        <v>0.253637368537463</v>
      </c>
      <c r="D69" s="10" t="n">
        <f aca="false">D52/D68</f>
        <v>0.454555732863196</v>
      </c>
      <c r="E69" s="10" t="n">
        <f aca="false">E52/E68</f>
        <v>0.787084076558093</v>
      </c>
      <c r="F69" s="10" t="n">
        <f aca="false">F52/F68</f>
        <v>0.195508506739463</v>
      </c>
      <c r="G69" s="10" t="n">
        <f aca="false">G52/G68</f>
        <v>0.221049319018113</v>
      </c>
      <c r="H69" s="10" t="n">
        <f aca="false">H52/H68</f>
        <v>0.296656162307814</v>
      </c>
      <c r="I69" s="10" t="n">
        <f aca="false">I52/I68</f>
        <v>0.348235825155898</v>
      </c>
      <c r="J69" s="10" t="n">
        <f aca="false">J52/J68</f>
        <v>0.39469058157355</v>
      </c>
      <c r="K69" s="10" t="n">
        <f aca="false">K52/K68</f>
        <v>0.53461772000293</v>
      </c>
      <c r="L69" s="10" t="n">
        <f aca="false">L52/L68</f>
        <v>0.587440027896711</v>
      </c>
      <c r="M69" s="10" t="n">
        <f aca="false">M52/M68</f>
        <v>0.673231211364898</v>
      </c>
      <c r="N69" s="10" t="n">
        <f aca="false">N52/N68</f>
        <v>0.945458786972783</v>
      </c>
      <c r="O69" s="10" t="n">
        <f aca="false">O52/O68</f>
        <v>0.551975361174469</v>
      </c>
      <c r="P69" s="10" t="n">
        <f aca="false">P52/P68</f>
        <v>0.411562387903265</v>
      </c>
      <c r="Q69" s="10" t="n">
        <f aca="false">Q52/Q68</f>
        <v>0.375999175138256</v>
      </c>
      <c r="R69" s="10" t="n">
        <f aca="false">R52/R68</f>
        <v>0.419215364058214</v>
      </c>
      <c r="S69" s="10" t="n">
        <f aca="false">S52/S68</f>
        <v>0.38776368618125</v>
      </c>
      <c r="T69" s="10" t="n">
        <f aca="false">T52/T68</f>
        <v>0.427017910155845</v>
      </c>
      <c r="U69" s="10" t="n">
        <f aca="false">U52/U68</f>
        <v>0.399480087448495</v>
      </c>
      <c r="V69" s="10" t="n">
        <f aca="false">V52/V68</f>
        <v>0.40208817130601</v>
      </c>
    </row>
    <row r="70" customFormat="false" ht="15" hidden="false" customHeight="false" outlineLevel="0" collapsed="false">
      <c r="A70" s="6" t="s">
        <v>463</v>
      </c>
      <c r="B70" s="12" t="s">
        <v>76</v>
      </c>
      <c r="C70" s="7" t="n">
        <f aca="false">C52-C68</f>
        <v>-315842.395494979</v>
      </c>
      <c r="D70" s="7" t="n">
        <f aca="false">D52-D68</f>
        <v>-164208.40266763</v>
      </c>
      <c r="E70" s="7" t="n">
        <f aca="false">E52-E68</f>
        <v>-44252.6394390014</v>
      </c>
      <c r="F70" s="7" t="n">
        <f aca="false">F52-F68</f>
        <v>-441661.531410161</v>
      </c>
      <c r="G70" s="7" t="n">
        <f aca="false">G52-G68</f>
        <v>-378228.766545911</v>
      </c>
      <c r="H70" s="7" t="n">
        <f aca="false">H52-H68</f>
        <v>-254476.737930258</v>
      </c>
      <c r="I70" s="7" t="n">
        <f aca="false">I52-I68</f>
        <v>-256123.349086161</v>
      </c>
      <c r="J70" s="7" t="n">
        <f aca="false">J52-J68</f>
        <v>-209871.179314372</v>
      </c>
      <c r="K70" s="7" t="n">
        <f aca="false">K52-K68</f>
        <v>-119123.824485053</v>
      </c>
      <c r="L70" s="7" t="n">
        <f aca="false">L52-L68</f>
        <v>-114888.276996712</v>
      </c>
      <c r="M70" s="7" t="n">
        <f aca="false">M52-M68</f>
        <v>-79401.460219345</v>
      </c>
      <c r="N70" s="7" t="n">
        <f aca="false">N52-N68</f>
        <v>-9437.00865301112</v>
      </c>
      <c r="O70" s="7" t="n">
        <f aca="false">O52-O68</f>
        <v>-111074.493257225</v>
      </c>
      <c r="P70" s="7" t="n">
        <f aca="false">P52-P68</f>
        <v>-195657.671433368</v>
      </c>
      <c r="Q70" s="7" t="n">
        <f aca="false">Q52-Q68</f>
        <v>-227106.940199107</v>
      </c>
      <c r="R70" s="7" t="n">
        <f aca="false">R52-R68</f>
        <v>-189587.658375332</v>
      </c>
      <c r="S70" s="7" t="n">
        <f aca="false">S52-S68</f>
        <v>-216064.832243439</v>
      </c>
      <c r="T70" s="7" t="n">
        <f aca="false">T52-T68</f>
        <v>-172498.78566763</v>
      </c>
      <c r="U70" s="7" t="n">
        <f aca="false">U52-U68</f>
        <v>-180789.16866763</v>
      </c>
      <c r="V70" s="7" t="n">
        <f aca="false">V52-V68</f>
        <v>-180003.99351763</v>
      </c>
    </row>
    <row r="71" customFormat="false" ht="15" hidden="false" customHeight="false" outlineLevel="0" collapsed="false">
      <c r="A71" s="6" t="s">
        <v>464</v>
      </c>
      <c r="B71" s="12" t="s">
        <v>76</v>
      </c>
      <c r="C71" s="7" t="n">
        <f aca="false">INDEX(Annahmen!$D$60:$F$60,C$5)/100*MIN(C64*C27,INDEX(Annahmen!$D$62:$F$62,C$5)*INDEX(Annahmen!$D$9:$F$9,C$5))</f>
        <v>1803522.76</v>
      </c>
      <c r="D71" s="7" t="n">
        <f aca="false">INDEX(Annahmen!$D$60:$F$60,D$5)/100*MIN(D64*D27,INDEX(Annahmen!$D$62:$F$62,D$5)*INDEX(Annahmen!$D$9:$F$9,D$5))</f>
        <v>1803522.76</v>
      </c>
      <c r="E71" s="7" t="n">
        <f aca="false">INDEX(Annahmen!$D$60:$F$60,E$5)/100*MIN(E64*E27,INDEX(Annahmen!$D$62:$F$62,E$5)*INDEX(Annahmen!$D$9:$F$9,E$5))</f>
        <v>1524206.74811958</v>
      </c>
      <c r="F71" s="7" t="n">
        <f aca="false">INDEX(Annahmen!$D$60:$F$60,F$5)/100*MIN(F64*F27,INDEX(Annahmen!$D$62:$F$62,F$5)*INDEX(Annahmen!$D$9:$F$9,F$5))</f>
        <v>1803522.76</v>
      </c>
      <c r="G71" s="7" t="n">
        <f aca="false">INDEX(Annahmen!$D$60:$F$60,G$5)/100*MIN(G64*G27,INDEX(Annahmen!$D$62:$F$62,G$5)*INDEX(Annahmen!$D$9:$F$9,G$5))</f>
        <v>1803522.76</v>
      </c>
      <c r="H71" s="7" t="n">
        <f aca="false">INDEX(Annahmen!$D$60:$F$60,H$5)/100*MIN(H64*H27,INDEX(Annahmen!$D$62:$F$62,H$5)*INDEX(Annahmen!$D$9:$F$9,H$5))</f>
        <v>1803522.76</v>
      </c>
      <c r="I71" s="7" t="n">
        <f aca="false">INDEX(Annahmen!$D$60:$F$60,I$5)/100*MIN(I64*I27,INDEX(Annahmen!$D$62:$F$62,I$5)*INDEX(Annahmen!$D$9:$F$9,I$5))</f>
        <v>1803522.76</v>
      </c>
      <c r="J71" s="7" t="n">
        <f aca="false">INDEX(Annahmen!$D$60:$F$60,J$5)/100*MIN(J64*J27,INDEX(Annahmen!$D$62:$F$62,J$5)*INDEX(Annahmen!$D$9:$F$9,J$5))</f>
        <v>1803522.76</v>
      </c>
      <c r="K71" s="7" t="n">
        <f aca="false">INDEX(Annahmen!$D$60:$F$60,K$5)/100*MIN(K64*K27,INDEX(Annahmen!$D$62:$F$62,K$5)*INDEX(Annahmen!$D$9:$F$9,K$5))</f>
        <v>1803522.76</v>
      </c>
      <c r="L71" s="7" t="n">
        <f aca="false">INDEX(Annahmen!$D$60:$F$60,L$5)/100*MIN(L64*L27,INDEX(Annahmen!$D$62:$F$62,L$5)*INDEX(Annahmen!$D$9:$F$9,L$5))</f>
        <v>1524206.74811958</v>
      </c>
      <c r="M71" s="7" t="n">
        <f aca="false">INDEX(Annahmen!$D$60:$F$60,M$5)/100*MIN(M64*M27,INDEX(Annahmen!$D$62:$F$62,M$5)*INDEX(Annahmen!$D$9:$F$9,M$5))</f>
        <v>1524206.74811958</v>
      </c>
      <c r="N71" s="7" t="n">
        <f aca="false">INDEX(Annahmen!$D$60:$F$60,N$5)/100*MIN(N64*N27,INDEX(Annahmen!$D$62:$F$62,N$5)*INDEX(Annahmen!$D$9:$F$9,N$5))</f>
        <v>1524206.74811958</v>
      </c>
      <c r="O71" s="7" t="n">
        <f aca="false">INDEX(Annahmen!$D$60:$F$60,O$5)/100*MIN(O64*O27,INDEX(Annahmen!$D$62:$F$62,O$5)*INDEX(Annahmen!$D$9:$F$9,O$5))</f>
        <v>1803522.76</v>
      </c>
      <c r="P71" s="7" t="n">
        <f aca="false">INDEX(Annahmen!$D$60:$F$60,P$5)/100*MIN(P64*P27,INDEX(Annahmen!$D$62:$F$62,P$5)*INDEX(Annahmen!$D$9:$F$9,P$5))</f>
        <v>1803522.76</v>
      </c>
      <c r="Q71" s="7" t="n">
        <f aca="false">INDEX(Annahmen!$D$60:$F$60,Q$5)/100*MIN(Q64*Q27,INDEX(Annahmen!$D$62:$F$62,Q$5)*INDEX(Annahmen!$D$9:$F$9,Q$5))</f>
        <v>1803522.76</v>
      </c>
      <c r="R71" s="7" t="n">
        <f aca="false">INDEX(Annahmen!$D$60:$F$60,R$5)/100*MIN(R64*R27,INDEX(Annahmen!$D$62:$F$62,R$5)*INDEX(Annahmen!$D$9:$F$9,R$5))</f>
        <v>1803522.76</v>
      </c>
      <c r="S71" s="7" t="n">
        <f aca="false">INDEX(Annahmen!$D$60:$F$60,S$5)/100*MIN(S64*S27,INDEX(Annahmen!$D$62:$F$62,S$5)*INDEX(Annahmen!$D$9:$F$9,S$5))</f>
        <v>1803522.76</v>
      </c>
      <c r="T71" s="7" t="n">
        <f aca="false">INDEX(Annahmen!$D$60:$F$60,T$5)/100*MIN(T64*T27,INDEX(Annahmen!$D$62:$F$62,T$5)*INDEX(Annahmen!$D$9:$F$9,T$5))</f>
        <v>1803522.76</v>
      </c>
      <c r="U71" s="7" t="n">
        <f aca="false">INDEX(Annahmen!$D$60:$F$60,U$5)/100*MIN(U64*U27,INDEX(Annahmen!$D$62:$F$62,U$5)*INDEX(Annahmen!$D$9:$F$9,U$5))</f>
        <v>1803522.76</v>
      </c>
      <c r="V71" s="7" t="n">
        <f aca="false">INDEX(Annahmen!$D$60:$F$60,V$5)/100*MIN(V64*V27,INDEX(Annahmen!$D$62:$F$62,V$5)*INDEX(Annahmen!$D$9:$F$9,V$5))</f>
        <v>1803522.76</v>
      </c>
    </row>
    <row r="72" customFormat="false" ht="15" hidden="false" customHeight="false" outlineLevel="0" collapsed="false">
      <c r="A72" s="6" t="s">
        <v>465</v>
      </c>
      <c r="B72" s="12" t="s">
        <v>76</v>
      </c>
      <c r="C72" s="7" t="n">
        <f aca="false">C33-C71</f>
        <v>4925977.54572434</v>
      </c>
      <c r="D72" s="7" t="n">
        <f aca="false">D33-D71</f>
        <v>3509868.18104046</v>
      </c>
      <c r="E72" s="7" t="n">
        <f aca="false">E33-E71</f>
        <v>2895152.44432307</v>
      </c>
      <c r="F72" s="7" t="n">
        <f aca="false">F33-F71</f>
        <v>6749443.28362552</v>
      </c>
      <c r="G72" s="7" t="n">
        <f aca="false">G33-G71</f>
        <v>5830127.8508103</v>
      </c>
      <c r="H72" s="7" t="n">
        <f aca="false">H33-H71</f>
        <v>4036620.18971388</v>
      </c>
      <c r="I72" s="7" t="n">
        <f aca="false">I33-I71</f>
        <v>4923944.27978709</v>
      </c>
      <c r="J72" s="7" t="n">
        <f aca="false">J33-J71</f>
        <v>4212372.43714418</v>
      </c>
      <c r="K72" s="7" t="n">
        <f aca="false">K33-K71</f>
        <v>2816259.2859239</v>
      </c>
      <c r="L72" s="7" t="n">
        <f aca="false">L33-L71</f>
        <v>4053113.71576094</v>
      </c>
      <c r="M72" s="7" t="n">
        <f aca="false">M33-M71</f>
        <v>3471362.62105001</v>
      </c>
      <c r="N72" s="7" t="n">
        <f aca="false">N33-N71</f>
        <v>2324404.39865109</v>
      </c>
      <c r="O72" s="7" t="n">
        <f aca="false">O33-O71</f>
        <v>3509868.18104046</v>
      </c>
      <c r="P72" s="7" t="n">
        <f aca="false">P33-P71</f>
        <v>3993703.08512875</v>
      </c>
      <c r="Q72" s="7" t="n">
        <f aca="false">Q33-Q71</f>
        <v>4477537.98921703</v>
      </c>
      <c r="R72" s="7" t="n">
        <f aca="false">R33-R71</f>
        <v>3560606.13167109</v>
      </c>
      <c r="S72" s="7" t="n">
        <f aca="false">S33-S71</f>
        <v>3612322.42521693</v>
      </c>
      <c r="T72" s="7" t="n">
        <f aca="false">T33-T71</f>
        <v>3509868.18104046</v>
      </c>
      <c r="U72" s="7" t="n">
        <f aca="false">U33-U71</f>
        <v>3509868.18104046</v>
      </c>
      <c r="V72" s="7" t="n">
        <f aca="false">V33-V71</f>
        <v>3509868.18104046</v>
      </c>
    </row>
    <row r="73" customFormat="false" ht="15" hidden="false" customHeight="false" outlineLevel="0" collapsed="false">
      <c r="A73" s="6" t="s">
        <v>466</v>
      </c>
      <c r="B73" s="12" t="s">
        <v>76</v>
      </c>
      <c r="C73" s="7" t="n">
        <f aca="false">C52-C44+INDEX(Annahmen!$D$9:$F$9,C$5)*INDEX(Annahmen!$D$61:$F$61,C$5)*12*(1-INDEX(Annahmen!$D$45:$F$45,C$5)/100)</f>
        <v>90766.43248</v>
      </c>
      <c r="D73" s="7" t="n">
        <f aca="false">D52-D44+INDEX(Annahmen!$D$9:$F$9,D$5)*INDEX(Annahmen!$D$61:$F$61,D$5)*12*(1-INDEX(Annahmen!$D$45:$F$45,D$5)/100)</f>
        <v>110123.0798</v>
      </c>
      <c r="E73" s="7" t="n">
        <f aca="false">E52-E44+INDEX(Annahmen!$D$9:$F$9,E$5)*INDEX(Annahmen!$D$61:$F$61,E$5)*12*(1-INDEX(Annahmen!$D$45:$F$45,E$5)/100)</f>
        <v>126592.36868</v>
      </c>
      <c r="F73" s="7" t="n">
        <f aca="false">F52-F44+INDEX(Annahmen!$D$9:$F$9,F$5)*INDEX(Annahmen!$D$61:$F$61,F$5)*12*(1-INDEX(Annahmen!$D$45:$F$45,F$5)/100)</f>
        <v>90766.43248</v>
      </c>
      <c r="G73" s="7" t="n">
        <f aca="false">G52-G44+INDEX(Annahmen!$D$9:$F$9,G$5)*INDEX(Annahmen!$D$61:$F$61,G$5)*12*(1-INDEX(Annahmen!$D$45:$F$45,G$5)/100)</f>
        <v>90766.43248</v>
      </c>
      <c r="H73" s="7" t="n">
        <f aca="false">H52-H44+INDEX(Annahmen!$D$9:$F$9,H$5)*INDEX(Annahmen!$D$61:$F$61,H$5)*12*(1-INDEX(Annahmen!$D$45:$F$45,H$5)/100)</f>
        <v>90766.43248</v>
      </c>
      <c r="I73" s="7" t="n">
        <f aca="false">I52-I44+INDEX(Annahmen!$D$9:$F$9,I$5)*INDEX(Annahmen!$D$61:$F$61,I$5)*12*(1-INDEX(Annahmen!$D$45:$F$45,I$5)/100)</f>
        <v>110123.0798</v>
      </c>
      <c r="J73" s="7" t="n">
        <f aca="false">J52-J44+INDEX(Annahmen!$D$9:$F$9,J$5)*INDEX(Annahmen!$D$61:$F$61,J$5)*12*(1-INDEX(Annahmen!$D$45:$F$45,J$5)/100)</f>
        <v>110123.0798</v>
      </c>
      <c r="K73" s="7" t="n">
        <f aca="false">K52-K44+INDEX(Annahmen!$D$9:$F$9,K$5)*INDEX(Annahmen!$D$61:$F$61,K$5)*12*(1-INDEX(Annahmen!$D$45:$F$45,K$5)/100)</f>
        <v>110123.0798</v>
      </c>
      <c r="L73" s="7" t="n">
        <f aca="false">L52-L44+INDEX(Annahmen!$D$9:$F$9,L$5)*INDEX(Annahmen!$D$61:$F$61,L$5)*12*(1-INDEX(Annahmen!$D$45:$F$45,L$5)/100)</f>
        <v>126592.36868</v>
      </c>
      <c r="M73" s="7" t="n">
        <f aca="false">M52-M44+INDEX(Annahmen!$D$9:$F$9,M$5)*INDEX(Annahmen!$D$61:$F$61,M$5)*12*(1-INDEX(Annahmen!$D$45:$F$45,M$5)/100)</f>
        <v>126592.36868</v>
      </c>
      <c r="N73" s="7" t="n">
        <f aca="false">N52-N44+INDEX(Annahmen!$D$9:$F$9,N$5)*INDEX(Annahmen!$D$61:$F$61,N$5)*12*(1-INDEX(Annahmen!$D$45:$F$45,N$5)/100)</f>
        <v>126592.36868</v>
      </c>
      <c r="O73" s="7" t="n">
        <f aca="false">O52-O44+INDEX(Annahmen!$D$9:$F$9,O$5)*INDEX(Annahmen!$D$61:$F$61,O$5)*12*(1-INDEX(Annahmen!$D$45:$F$45,O$5)/100)</f>
        <v>110123.0798</v>
      </c>
      <c r="P73" s="7" t="n">
        <f aca="false">P52-P44+INDEX(Annahmen!$D$9:$F$9,P$5)*INDEX(Annahmen!$D$61:$F$61,P$5)*12*(1-INDEX(Annahmen!$D$45:$F$45,P$5)/100)</f>
        <v>110123.0798</v>
      </c>
      <c r="Q73" s="7" t="n">
        <f aca="false">Q52-Q44+INDEX(Annahmen!$D$9:$F$9,Q$5)*INDEX(Annahmen!$D$61:$F$61,Q$5)*12*(1-INDEX(Annahmen!$D$45:$F$45,Q$5)/100)</f>
        <v>110123.0798</v>
      </c>
      <c r="R73" s="7" t="n">
        <f aca="false">R52-R44+INDEX(Annahmen!$D$9:$F$9,R$5)*INDEX(Annahmen!$D$61:$F$61,R$5)*12*(1-INDEX(Annahmen!$D$45:$F$45,R$5)/100)</f>
        <v>110123.0798</v>
      </c>
      <c r="S73" s="7" t="n">
        <f aca="false">S52-S44+INDEX(Annahmen!$D$9:$F$9,S$5)*INDEX(Annahmen!$D$61:$F$61,S$5)*12*(1-INDEX(Annahmen!$D$45:$F$45,S$5)/100)</f>
        <v>110123.0798</v>
      </c>
      <c r="T73" s="7" t="n">
        <f aca="false">T52-T44+INDEX(Annahmen!$D$9:$F$9,T$5)*INDEX(Annahmen!$D$61:$F$61,T$5)*12*(1-INDEX(Annahmen!$D$45:$F$45,T$5)/100)</f>
        <v>107162.0558</v>
      </c>
      <c r="U73" s="7" t="n">
        <f aca="false">U52-U44+INDEX(Annahmen!$D$9:$F$9,U$5)*INDEX(Annahmen!$D$61:$F$61,U$5)*12*(1-INDEX(Annahmen!$D$45:$F$45,U$5)/100)</f>
        <v>104201.0318</v>
      </c>
      <c r="V73" s="7" t="n">
        <f aca="false">V52-V44+INDEX(Annahmen!$D$9:$F$9,V$5)*INDEX(Annahmen!$D$61:$F$61,V$5)*12*(1-INDEX(Annahmen!$D$45:$F$45,V$5)/100)</f>
        <v>104719.739</v>
      </c>
    </row>
    <row r="74" customFormat="false" ht="15" hidden="false" customHeight="false" outlineLevel="0" collapsed="false">
      <c r="A74" s="6" t="s">
        <v>467</v>
      </c>
      <c r="B74" s="12" t="s">
        <v>76</v>
      </c>
      <c r="C74" s="7" t="n">
        <f aca="false">C72*(C28+C29)/100</f>
        <v>339892.450654979</v>
      </c>
      <c r="D74" s="7" t="n">
        <f aca="false">D72*(D28+D29)/100</f>
        <v>228141.43176763</v>
      </c>
      <c r="E74" s="7" t="n">
        <f aca="false">E72*(E28+E29)/100</f>
        <v>176604.299103707</v>
      </c>
      <c r="F74" s="7" t="n">
        <f aca="false">F72*(F28+F29)/100</f>
        <v>465711.586570161</v>
      </c>
      <c r="G74" s="7" t="n">
        <f aca="false">G72*(G28+G29)/100</f>
        <v>402278.821705911</v>
      </c>
      <c r="H74" s="7" t="n">
        <f aca="false">H72*(H28+H29)/100</f>
        <v>278526.793090258</v>
      </c>
      <c r="I74" s="7" t="n">
        <f aca="false">I72*(I28+I29)/100</f>
        <v>320056.378186161</v>
      </c>
      <c r="J74" s="7" t="n">
        <f aca="false">J72*(J28+J29)/100</f>
        <v>273804.208414372</v>
      </c>
      <c r="K74" s="7" t="n">
        <f aca="false">K72*(K28+K29)/100</f>
        <v>183056.853585053</v>
      </c>
      <c r="L74" s="7" t="n">
        <f aca="false">L72*(L28+L29)/100</f>
        <v>247239.936661417</v>
      </c>
      <c r="M74" s="7" t="n">
        <f aca="false">M72*(M28+M29)/100</f>
        <v>211753.119884051</v>
      </c>
      <c r="N74" s="7" t="n">
        <f aca="false">N72*(N28+N29)/100</f>
        <v>141788.668317717</v>
      </c>
      <c r="O74" s="7" t="n">
        <f aca="false">O72*(O28+O29)/100</f>
        <v>193042.749957225</v>
      </c>
      <c r="P74" s="7" t="n">
        <f aca="false">P72*(P28+P29)/100</f>
        <v>259590.700533368</v>
      </c>
      <c r="Q74" s="7" t="n">
        <f aca="false">Q72*(Q28+Q29)/100</f>
        <v>291039.969299107</v>
      </c>
      <c r="R74" s="7" t="n">
        <f aca="false">R72*(R28+R29)/100</f>
        <v>267045.459875332</v>
      </c>
      <c r="S74" s="7" t="n">
        <f aca="false">S72*(S28+S29)/100</f>
        <v>307047.406143439</v>
      </c>
      <c r="T74" s="7" t="n">
        <f aca="false">T72*(T28+T29)/100</f>
        <v>228141.43176763</v>
      </c>
      <c r="U74" s="7" t="n">
        <f aca="false">U72*(U28+U29)/100</f>
        <v>228141.43176763</v>
      </c>
      <c r="V74" s="7" t="n">
        <f aca="false">V72*(V28+V29)/100</f>
        <v>228141.43176763</v>
      </c>
    </row>
    <row r="75" customFormat="false" ht="15" hidden="false" customHeight="false" outlineLevel="0" collapsed="false">
      <c r="A75" s="6" t="s">
        <v>468</v>
      </c>
      <c r="B75" s="12" t="s">
        <v>448</v>
      </c>
      <c r="C75" s="10" t="n">
        <f aca="false">C73/C74</f>
        <v>0.267044567495075</v>
      </c>
      <c r="D75" s="10" t="n">
        <f aca="false">D73/D74</f>
        <v>0.4826965402416</v>
      </c>
      <c r="E75" s="10" t="n">
        <f aca="false">E73/E74</f>
        <v>0.716813629806721</v>
      </c>
      <c r="F75" s="10" t="n">
        <f aca="false">F73/F74</f>
        <v>0.194898377230573</v>
      </c>
      <c r="G75" s="10" t="n">
        <f aca="false">G73/G74</f>
        <v>0.225630651136677</v>
      </c>
      <c r="H75" s="10" t="n">
        <f aca="false">H73/H74</f>
        <v>0.325880434959041</v>
      </c>
      <c r="I75" s="10" t="n">
        <f aca="false">I73/I74</f>
        <v>0.344074004786578</v>
      </c>
      <c r="J75" s="10" t="n">
        <f aca="false">J73/J74</f>
        <v>0.402196447007641</v>
      </c>
      <c r="K75" s="10" t="n">
        <f aca="false">K73/K74</f>
        <v>0.601578567769023</v>
      </c>
      <c r="L75" s="10" t="n">
        <f aca="false">L73/L74</f>
        <v>0.512022330977062</v>
      </c>
      <c r="M75" s="10" t="n">
        <f aca="false">M73/M74</f>
        <v>0.597830004815599</v>
      </c>
      <c r="N75" s="10" t="n">
        <f aca="false">N73/N74</f>
        <v>0.892824300996571</v>
      </c>
      <c r="O75" s="10" t="n">
        <f aca="false">O73/O74</f>
        <v>0.570459547558254</v>
      </c>
      <c r="P75" s="10" t="n">
        <f aca="false">P73/P74</f>
        <v>0.424218123275354</v>
      </c>
      <c r="Q75" s="10" t="n">
        <f aca="false">Q73/Q74</f>
        <v>0.378377856708831</v>
      </c>
      <c r="R75" s="10" t="n">
        <f aca="false">R73/R74</f>
        <v>0.412375779956754</v>
      </c>
      <c r="S75" s="10" t="n">
        <f aca="false">S73/S74</f>
        <v>0.35865171825798</v>
      </c>
      <c r="T75" s="10" t="n">
        <f aca="false">T73/T74</f>
        <v>0.469717643874297</v>
      </c>
      <c r="U75" s="10" t="n">
        <f aca="false">U73/U74</f>
        <v>0.456738747506995</v>
      </c>
      <c r="V75" s="10" t="n">
        <f aca="false">V73/V74</f>
        <v>0.459012368725119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0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469</v>
      </c>
    </row>
    <row r="2" customFormat="false" ht="15" hidden="false" customHeight="false" outlineLevel="0" collapsed="false">
      <c r="A2" s="2" t="s">
        <v>470</v>
      </c>
    </row>
    <row r="4" customFormat="false" ht="15" hidden="false" customHeight="false" outlineLevel="0" collapsed="false">
      <c r="A4" s="3" t="s">
        <v>471</v>
      </c>
      <c r="B4" s="3" t="s">
        <v>472</v>
      </c>
      <c r="C4" s="3" t="s">
        <v>473</v>
      </c>
      <c r="D4" s="3" t="s">
        <v>474</v>
      </c>
    </row>
    <row r="5" customFormat="false" ht="15" hidden="false" customHeight="false" outlineLevel="0" collapsed="false">
      <c r="A5" s="6" t="s">
        <v>475</v>
      </c>
      <c r="B5" s="31" t="n">
        <f aca="false">Rechenkern!D31</f>
        <v>6641738.67630058</v>
      </c>
      <c r="C5" s="31" t="n">
        <f aca="false">Rechenkern!D14+Rechenkern!D15+Rechenkern!D20+Rechenkern!D25+Rechenkern!D26+Rechenkern!D32</f>
        <v>6641738.67630058</v>
      </c>
      <c r="D5" s="14" t="b">
        <f aca="false">ABS(B5-C5)&lt;0.01</f>
        <v>1</v>
      </c>
    </row>
    <row r="6" customFormat="false" ht="15" hidden="false" customHeight="false" outlineLevel="0" collapsed="false">
      <c r="A6" s="6" t="s">
        <v>476</v>
      </c>
      <c r="B6" s="31" t="n">
        <f aca="false">Rechenkern!D34+Rechenkern!D33</f>
        <v>6641738.67630058</v>
      </c>
      <c r="C6" s="31" t="n">
        <f aca="false">Rechenkern!D31</f>
        <v>6641738.67630058</v>
      </c>
      <c r="D6" s="14" t="b">
        <f aca="false">ABS(B6-C6)&lt;0.01</f>
        <v>1</v>
      </c>
    </row>
    <row r="7" customFormat="false" ht="15" hidden="false" customHeight="false" outlineLevel="0" collapsed="false">
      <c r="A7" s="6" t="s">
        <v>477</v>
      </c>
      <c r="B7" s="31" t="n">
        <f aca="false">Flächen!E21</f>
        <v>845.9264</v>
      </c>
      <c r="C7" s="31" t="n">
        <f aca="false">Annahmen!E9</f>
        <v>845.93</v>
      </c>
      <c r="D7" s="14" t="b">
        <f aca="false">ABS(B7-C7)&lt;0.01</f>
        <v>1</v>
      </c>
    </row>
    <row r="8" customFormat="false" ht="15" hidden="false" customHeight="false" outlineLevel="0" collapsed="false">
      <c r="A8" s="6" t="s">
        <v>478</v>
      </c>
      <c r="B8" s="31" t="n">
        <f aca="false">Rechenkern!D37</f>
        <v>345370.41116763</v>
      </c>
      <c r="C8" s="31" t="n">
        <f aca="false">Rechenkern!D35+Rechenkern!D36</f>
        <v>345370.41116763</v>
      </c>
      <c r="D8" s="14" t="b">
        <f aca="false">ABS(B8-C8)&lt;0.01</f>
        <v>1</v>
      </c>
    </row>
    <row r="9" customFormat="false" ht="15" hidden="false" customHeight="false" outlineLevel="0" collapsed="false">
      <c r="A9" s="6" t="s">
        <v>479</v>
      </c>
      <c r="B9" s="31" t="n">
        <f aca="false">Rechenkern!D52</f>
        <v>136846.0085</v>
      </c>
      <c r="C9" s="31" t="n">
        <f aca="false">Rechenkern!D47-Rechenkern!D51</f>
        <v>136846.0085</v>
      </c>
      <c r="D9" s="14" t="b">
        <f aca="false">ABS(B9-C9)&lt;0.01</f>
        <v>1</v>
      </c>
    </row>
    <row r="10" customFormat="false" ht="15" hidden="false" customHeight="false" outlineLevel="0" collapsed="false">
      <c r="A10" s="6" t="s">
        <v>480</v>
      </c>
      <c r="B10" s="31" t="n">
        <f aca="false">Rechenkern!D52-Rechenkern!D44+Annahmen!E9*Rechenkern!D57*12*(1-Annahmen!E45/100)</f>
        <v>345370.41116763</v>
      </c>
      <c r="C10" s="31" t="n">
        <f aca="false">Rechenkern!D37</f>
        <v>345370.41116763</v>
      </c>
      <c r="D10" s="14" t="b">
        <f aca="false">ABS(B10-C10)&lt;0.01</f>
        <v>1</v>
      </c>
    </row>
    <row r="12" customFormat="false" ht="15" hidden="false" customHeight="false" outlineLevel="0" collapsed="false">
      <c r="A12" s="4" t="s">
        <v>481</v>
      </c>
      <c r="D12" s="32" t="b">
        <f aca="false">AND(D5:D10)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2026-10-22T19:15:14Z</dcterms:created>
  <dc:creator>openpyxl</dc:creator>
  <dc:description/>
  <dc:language>en-US</dc:language>
  <cp:lastModifiedBy/>
  <dcterms:modified xsi:type="dcterms:W3CDTF">2026-10-22T19:15:14Z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